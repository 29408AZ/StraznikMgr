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zaken\source\repos\Straznik\"/>
    </mc:Choice>
  </mc:AlternateContent>
  <xr:revisionPtr revIDLastSave="0" documentId="13_ncr:1_{026D9A22-503E-4D7F-8D0C-38ABC8531897}" xr6:coauthVersionLast="47" xr6:coauthVersionMax="47" xr10:uidLastSave="{00000000-0000-0000-0000-000000000000}"/>
  <bookViews>
    <workbookView xWindow="-103" yWindow="-103" windowWidth="24892" windowHeight="14914" tabRatio="500" firstSheet="3" activeTab="34" xr2:uid="{00000000-000D-0000-FFFF-FFFF00000000}"/>
  </bookViews>
  <sheets>
    <sheet name="LISTOPAD (2)" sheetId="2" state="hidden" r:id="rId1"/>
    <sheet name="Swiadectwa" sheetId="38" r:id="rId2"/>
    <sheet name="Jednostki" sheetId="39" r:id="rId3"/>
    <sheet name="Zalogi" sheetId="40" r:id="rId4"/>
    <sheet name="Zasoby" sheetId="4" r:id="rId5"/>
    <sheet name="KAT II" sheetId="37" r:id="rId6"/>
    <sheet name="KAT III" sheetId="36" r:id="rId7"/>
    <sheet name="KAT IV" sheetId="35" r:id="rId8"/>
    <sheet name="STYCZEŃ" sheetId="5" state="hidden" r:id="rId9"/>
    <sheet name="służby druk" sheetId="6" state="hidden" r:id="rId10"/>
    <sheet name="LUTY" sheetId="7" state="hidden" r:id="rId11"/>
    <sheet name="służby druk luty" sheetId="8" state="hidden" r:id="rId12"/>
    <sheet name="MARZEC" sheetId="9" state="hidden" r:id="rId13"/>
    <sheet name="służby druk marzec" sheetId="10" state="hidden" r:id="rId14"/>
    <sheet name="KWIECIEŃ" sheetId="11" state="hidden" r:id="rId15"/>
    <sheet name="służby druk kwiecień" sheetId="12" state="hidden" r:id="rId16"/>
    <sheet name="MAJ" sheetId="13" state="hidden" r:id="rId17"/>
    <sheet name="służby druk maj" sheetId="14" state="hidden" r:id="rId18"/>
    <sheet name="CZERWIEC" sheetId="15" state="hidden" r:id="rId19"/>
    <sheet name="służby druk czerwiec" sheetId="16" state="hidden" r:id="rId20"/>
    <sheet name="wachta K-g" sheetId="17" state="hidden" r:id="rId21"/>
    <sheet name="LIPIEC" sheetId="18" state="hidden" r:id="rId22"/>
    <sheet name="służby druk lipiec" sheetId="19" state="hidden" r:id="rId23"/>
    <sheet name="wachta K-g (2)" sheetId="20" state="hidden" r:id="rId24"/>
    <sheet name="SIERPIEŃ" sheetId="21" state="hidden" r:id="rId25"/>
    <sheet name="służby druk lipiec (2)" sheetId="22" state="hidden" r:id="rId26"/>
    <sheet name="wachta K-g (3)" sheetId="23" state="hidden" r:id="rId27"/>
    <sheet name="WRZESIEŃ" sheetId="24" state="hidden" r:id="rId28"/>
    <sheet name="służby druk wrzesien" sheetId="25" state="hidden" r:id="rId29"/>
    <sheet name="PAŹDZIERNIK" sheetId="26" state="hidden" r:id="rId30"/>
    <sheet name="służby druk pazdziernik" sheetId="27" state="hidden" r:id="rId31"/>
    <sheet name="wachta K-g (4)" sheetId="28" state="hidden" r:id="rId32"/>
    <sheet name="służby listopad" sheetId="30" r:id="rId33"/>
    <sheet name="LISTOPAD" sheetId="29" r:id="rId34"/>
    <sheet name="GRUDZIEŃ" sheetId="32" r:id="rId35"/>
    <sheet name="sluzby grudzien" sheetId="34" r:id="rId36"/>
  </sheets>
  <externalReferences>
    <externalReference r:id="rId37"/>
  </externalReferences>
  <definedNames>
    <definedName name="_xlnm._FilterDatabase" localSheetId="18" hidden="1">CZERWIEC!$A$50:$AH$106</definedName>
    <definedName name="_xlnm._FilterDatabase" localSheetId="14">KWIECIEŃ!$A$1:$AH$37</definedName>
    <definedName name="_xlnm._FilterDatabase" localSheetId="21" hidden="1">LIPIEC!$A$48:$AO$105</definedName>
    <definedName name="_xlnm._FilterDatabase" localSheetId="0" hidden="1">'LISTOPAD (2)'!$B$47:$AK$100</definedName>
    <definedName name="_xlnm._FilterDatabase" localSheetId="10">LUTY!$A$1:$AQ$32</definedName>
    <definedName name="_xlnm._FilterDatabase" localSheetId="16" hidden="1">MAJ!$A$50:$AK$106</definedName>
    <definedName name="_xlnm._FilterDatabase" localSheetId="12" hidden="1">MARZEC!$A$50:$AI$111</definedName>
    <definedName name="_xlnm._FilterDatabase" localSheetId="29" hidden="1">PAŹDZIERNIK!$B$47:$AK$105</definedName>
    <definedName name="_xlnm._FilterDatabase" localSheetId="24">SIERPIEŃ!$A$51:$AK$107</definedName>
    <definedName name="_xlnm._FilterDatabase" localSheetId="8">STYCZEŃ!$A$1:$AT$39</definedName>
    <definedName name="_xlnm._FilterDatabase" localSheetId="27" hidden="1">WRZESIEŃ!$A$47:$AK$105</definedName>
    <definedName name="imie">LUTY!$C$1</definedName>
    <definedName name="Kat">[1]Świadectwa!$N$18:$N$21</definedName>
    <definedName name="test">[1]Świadectwa!$P$26,[1]Świadectwa!$P$27,[1]Świadectwa!$Q$31,[1]Świadectwa!$Q$32,[1]Świadectwa!$R$23,[1]Świadectwa!$R$22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Q3" i="29" l="1"/>
  <c r="AQ4" i="29"/>
  <c r="AQ5" i="29"/>
  <c r="AQ6" i="29"/>
  <c r="AQ7" i="29"/>
  <c r="AQ8" i="29"/>
  <c r="AQ9" i="29"/>
  <c r="AQ10" i="29"/>
  <c r="AQ11" i="29"/>
  <c r="AQ12" i="29"/>
  <c r="AQ13" i="29"/>
  <c r="AQ14" i="29"/>
  <c r="AQ15" i="29"/>
  <c r="AQ16" i="29"/>
  <c r="AQ17" i="29"/>
  <c r="AQ18" i="29"/>
  <c r="AQ19" i="29"/>
  <c r="AQ20" i="29"/>
  <c r="AQ21" i="29"/>
  <c r="AQ22" i="29"/>
  <c r="AQ23" i="29"/>
  <c r="AQ24" i="29"/>
  <c r="AQ25" i="29"/>
  <c r="AQ26" i="29"/>
  <c r="AQ27" i="29"/>
  <c r="AQ28" i="29"/>
  <c r="AQ29" i="29"/>
  <c r="AQ2" i="29"/>
  <c r="AP2" i="29"/>
  <c r="AP3" i="29"/>
  <c r="AP4" i="29"/>
  <c r="AP5" i="29"/>
  <c r="AP6" i="29"/>
  <c r="AP8" i="29"/>
  <c r="AP9" i="29"/>
  <c r="AP10" i="29"/>
  <c r="AP12" i="29"/>
  <c r="AP13" i="29"/>
  <c r="AP14" i="29"/>
  <c r="AP15" i="29"/>
  <c r="AP16" i="29"/>
  <c r="AP17" i="29"/>
  <c r="AP19" i="29"/>
  <c r="AP20" i="29"/>
  <c r="AP22" i="29"/>
  <c r="AP23" i="29"/>
  <c r="AP24" i="29"/>
  <c r="AP25" i="29"/>
  <c r="AP27" i="29"/>
  <c r="AP28" i="29"/>
  <c r="AP29" i="29"/>
  <c r="E31" i="29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W31" i="29"/>
  <c r="X31" i="29"/>
  <c r="Y31" i="29"/>
  <c r="Z31" i="29"/>
  <c r="AA31" i="29"/>
  <c r="AB31" i="29"/>
  <c r="AC31" i="29"/>
  <c r="AD31" i="29"/>
  <c r="AE31" i="29"/>
  <c r="AF31" i="29"/>
  <c r="AG31" i="29"/>
  <c r="AH31" i="29"/>
  <c r="AP3" i="32"/>
  <c r="AP4" i="32"/>
  <c r="AP5" i="32"/>
  <c r="AP6" i="32"/>
  <c r="AP7" i="32"/>
  <c r="AP8" i="32"/>
  <c r="AP9" i="32"/>
  <c r="AP10" i="32"/>
  <c r="AP11" i="32"/>
  <c r="AP12" i="32"/>
  <c r="AP13" i="32"/>
  <c r="AP14" i="32"/>
  <c r="AP15" i="32"/>
  <c r="AP16" i="32"/>
  <c r="AP17" i="32"/>
  <c r="AP18" i="32"/>
  <c r="AP19" i="32"/>
  <c r="AP20" i="32"/>
  <c r="AP21" i="32"/>
  <c r="AP22" i="32"/>
  <c r="AP23" i="32"/>
  <c r="AP24" i="32"/>
  <c r="AP25" i="32"/>
  <c r="AP26" i="32"/>
  <c r="AP27" i="32"/>
  <c r="AP28" i="32"/>
  <c r="AP29" i="32"/>
  <c r="AP2" i="32"/>
  <c r="AO3" i="32"/>
  <c r="AO4" i="32"/>
  <c r="AO5" i="32"/>
  <c r="AO6" i="32"/>
  <c r="AO7" i="32"/>
  <c r="AO8" i="32"/>
  <c r="AO9" i="32"/>
  <c r="AO10" i="32"/>
  <c r="AO11" i="32"/>
  <c r="AO12" i="32"/>
  <c r="AO13" i="32"/>
  <c r="AO14" i="32"/>
  <c r="AO15" i="32"/>
  <c r="AO16" i="32"/>
  <c r="AO17" i="32"/>
  <c r="AO18" i="32"/>
  <c r="AO19" i="32"/>
  <c r="AO20" i="32"/>
  <c r="AO21" i="32"/>
  <c r="AO22" i="32"/>
  <c r="AO23" i="32"/>
  <c r="AO24" i="32"/>
  <c r="AO25" i="32"/>
  <c r="AO26" i="32"/>
  <c r="AO27" i="32"/>
  <c r="AO28" i="32"/>
  <c r="AO29" i="32"/>
  <c r="AO2" i="32"/>
  <c r="AN3" i="32"/>
  <c r="AN4" i="32"/>
  <c r="AN5" i="32"/>
  <c r="AN6" i="32"/>
  <c r="AN7" i="32"/>
  <c r="AN8" i="32"/>
  <c r="AN9" i="32"/>
  <c r="AN10" i="32"/>
  <c r="AN11" i="32"/>
  <c r="AN12" i="32"/>
  <c r="AN13" i="32"/>
  <c r="AN14" i="32"/>
  <c r="AN15" i="32"/>
  <c r="AN16" i="32"/>
  <c r="AN17" i="32"/>
  <c r="AN18" i="32"/>
  <c r="AN19" i="32"/>
  <c r="AN20" i="32"/>
  <c r="AN21" i="32"/>
  <c r="AN22" i="32"/>
  <c r="AN23" i="32"/>
  <c r="AN24" i="32"/>
  <c r="AN25" i="32"/>
  <c r="AN26" i="32"/>
  <c r="AN27" i="32"/>
  <c r="AN28" i="32"/>
  <c r="AN29" i="32"/>
  <c r="AN2" i="32"/>
  <c r="AL2" i="32"/>
  <c r="AM2" i="32"/>
  <c r="AL3" i="32"/>
  <c r="AM3" i="32"/>
  <c r="AL4" i="32"/>
  <c r="AM4" i="32"/>
  <c r="AL5" i="32"/>
  <c r="AM5" i="32"/>
  <c r="AL6" i="32"/>
  <c r="AM6" i="32"/>
  <c r="AL7" i="32"/>
  <c r="AM7" i="32"/>
  <c r="AL8" i="32"/>
  <c r="AM8" i="32"/>
  <c r="AL9" i="32"/>
  <c r="AM9" i="32"/>
  <c r="AL10" i="32"/>
  <c r="AM10" i="32"/>
  <c r="AL11" i="32"/>
  <c r="AM11" i="32"/>
  <c r="AL12" i="32"/>
  <c r="AM12" i="32"/>
  <c r="AL13" i="32"/>
  <c r="AM13" i="32"/>
  <c r="AL14" i="32"/>
  <c r="AM14" i="32"/>
  <c r="AL15" i="32"/>
  <c r="AM15" i="32"/>
  <c r="AL16" i="32"/>
  <c r="AM16" i="32"/>
  <c r="AL17" i="32"/>
  <c r="AM17" i="32"/>
  <c r="AL18" i="32"/>
  <c r="AM18" i="32"/>
  <c r="AL19" i="32"/>
  <c r="AM19" i="32"/>
  <c r="AL20" i="32"/>
  <c r="AM20" i="32"/>
  <c r="AL21" i="32"/>
  <c r="AM21" i="32"/>
  <c r="AL22" i="32"/>
  <c r="AM22" i="32"/>
  <c r="AL23" i="32"/>
  <c r="AM23" i="32"/>
  <c r="AL24" i="32"/>
  <c r="AM24" i="32"/>
  <c r="AL25" i="32"/>
  <c r="AM25" i="32"/>
  <c r="AL26" i="32"/>
  <c r="AM26" i="32"/>
  <c r="AL27" i="32"/>
  <c r="AM27" i="32"/>
  <c r="AL28" i="32"/>
  <c r="AM28" i="32"/>
  <c r="AL29" i="32"/>
  <c r="AM29" i="32"/>
  <c r="AM10" i="29"/>
  <c r="AM11" i="29"/>
  <c r="AM12" i="29"/>
  <c r="AM13" i="29"/>
  <c r="AM14" i="29"/>
  <c r="AM15" i="29"/>
  <c r="AM16" i="29"/>
  <c r="AM17" i="29"/>
  <c r="AM18" i="29"/>
  <c r="AM19" i="29"/>
  <c r="AM20" i="29"/>
  <c r="AM21" i="29"/>
  <c r="AM22" i="29"/>
  <c r="AM23" i="29"/>
  <c r="AM24" i="29"/>
  <c r="AM25" i="29"/>
  <c r="AM26" i="29"/>
  <c r="AM27" i="29"/>
  <c r="AM28" i="29"/>
  <c r="AM29" i="29"/>
  <c r="AM9" i="29"/>
  <c r="AN3" i="29"/>
  <c r="AN4" i="29"/>
  <c r="AN5" i="29"/>
  <c r="AN6" i="29"/>
  <c r="AN7" i="29"/>
  <c r="AN8" i="29"/>
  <c r="AN9" i="29"/>
  <c r="AN10" i="29"/>
  <c r="AN11" i="29"/>
  <c r="AN12" i="29"/>
  <c r="AN13" i="29"/>
  <c r="AN14" i="29"/>
  <c r="AN15" i="29"/>
  <c r="AN16" i="29"/>
  <c r="AN17" i="29"/>
  <c r="AN18" i="29"/>
  <c r="AN19" i="29"/>
  <c r="AN20" i="29"/>
  <c r="AN21" i="29"/>
  <c r="AN22" i="29"/>
  <c r="AN23" i="29"/>
  <c r="AN24" i="29"/>
  <c r="AN25" i="29"/>
  <c r="AN26" i="29"/>
  <c r="AN27" i="29"/>
  <c r="AN28" i="29"/>
  <c r="AN29" i="29"/>
  <c r="AN2" i="29"/>
  <c r="AH32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AH32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W32" i="29"/>
  <c r="X32" i="29"/>
  <c r="Y32" i="29"/>
  <c r="Z32" i="29"/>
  <c r="AA32" i="29"/>
  <c r="AB32" i="29"/>
  <c r="AC32" i="29"/>
  <c r="AD32" i="29"/>
  <c r="AE32" i="29"/>
  <c r="AF32" i="29"/>
  <c r="AG32" i="29"/>
  <c r="E32" i="29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2" i="32"/>
  <c r="C29" i="29"/>
  <c r="M37" i="29" s="1"/>
  <c r="C3" i="29"/>
  <c r="C4" i="29"/>
  <c r="AE34" i="29" s="1"/>
  <c r="C5" i="29"/>
  <c r="X34" i="29" s="1"/>
  <c r="C6" i="29"/>
  <c r="AE35" i="29" s="1"/>
  <c r="C7" i="29"/>
  <c r="X35" i="29" s="1"/>
  <c r="C8" i="29"/>
  <c r="C9" i="29"/>
  <c r="C10" i="29"/>
  <c r="AA35" i="29" s="1"/>
  <c r="C11" i="29"/>
  <c r="X36" i="29" s="1"/>
  <c r="C12" i="29"/>
  <c r="M34" i="29" s="1"/>
  <c r="C13" i="29"/>
  <c r="AA36" i="29" s="1"/>
  <c r="C14" i="29"/>
  <c r="C15" i="29"/>
  <c r="M35" i="29" s="1"/>
  <c r="C16" i="29"/>
  <c r="AA37" i="29" s="1"/>
  <c r="C17" i="29"/>
  <c r="Q35" i="29" s="1"/>
  <c r="C18" i="29"/>
  <c r="C19" i="29"/>
  <c r="C20" i="29"/>
  <c r="AE36" i="29" s="1"/>
  <c r="C21" i="29"/>
  <c r="X37" i="29" s="1"/>
  <c r="C22" i="29"/>
  <c r="M36" i="29" s="1"/>
  <c r="C23" i="29"/>
  <c r="F37" i="29" s="1"/>
  <c r="J37" i="29" s="1"/>
  <c r="C24" i="29"/>
  <c r="AE37" i="29" s="1"/>
  <c r="C25" i="29"/>
  <c r="C26" i="29"/>
  <c r="F36" i="29" s="1"/>
  <c r="J36" i="29" s="1"/>
  <c r="C27" i="29"/>
  <c r="C28" i="29"/>
  <c r="Q37" i="29" s="1"/>
  <c r="C2" i="29"/>
  <c r="AA34" i="29" s="1"/>
  <c r="Q34" i="29" l="1"/>
  <c r="Q36" i="29"/>
  <c r="T35" i="29"/>
  <c r="T37" i="29"/>
  <c r="T36" i="29"/>
  <c r="F34" i="29"/>
  <c r="J34" i="29" s="1"/>
  <c r="F35" i="29"/>
  <c r="J35" i="29" s="1"/>
  <c r="T34" i="29"/>
  <c r="AH31" i="32" l="1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AJ29" i="32"/>
  <c r="AJ28" i="32"/>
  <c r="AJ27" i="32"/>
  <c r="AJ26" i="32"/>
  <c r="AJ25" i="32"/>
  <c r="AJ24" i="32"/>
  <c r="AJ23" i="32"/>
  <c r="AJ22" i="32"/>
  <c r="AJ21" i="32"/>
  <c r="AJ20" i="32"/>
  <c r="AJ19" i="32"/>
  <c r="AJ18" i="32"/>
  <c r="AJ17" i="32"/>
  <c r="AJ16" i="32"/>
  <c r="AJ15" i="32"/>
  <c r="AJ14" i="32"/>
  <c r="AJ13" i="32"/>
  <c r="AJ12" i="32"/>
  <c r="AJ11" i="32"/>
  <c r="AJ10" i="32"/>
  <c r="AJ9" i="32"/>
  <c r="AJ8" i="32"/>
  <c r="AJ7" i="32"/>
  <c r="AJ6" i="32"/>
  <c r="AJ5" i="32"/>
  <c r="AJ4" i="32"/>
  <c r="AJ3" i="32"/>
  <c r="AJ2" i="32"/>
  <c r="AK1" i="32"/>
  <c r="AI32" i="29"/>
  <c r="AI31" i="29"/>
  <c r="AO29" i="29"/>
  <c r="AJ29" i="29"/>
  <c r="AO28" i="29"/>
  <c r="AJ28" i="29"/>
  <c r="AO27" i="29"/>
  <c r="AJ27" i="29"/>
  <c r="AO26" i="29"/>
  <c r="AJ26" i="29"/>
  <c r="AO25" i="29"/>
  <c r="AJ25" i="29"/>
  <c r="AO24" i="29"/>
  <c r="AJ24" i="29"/>
  <c r="AO23" i="29"/>
  <c r="AJ23" i="29"/>
  <c r="AO22" i="29"/>
  <c r="AJ22" i="29"/>
  <c r="AO21" i="29"/>
  <c r="AJ21" i="29"/>
  <c r="AO20" i="29"/>
  <c r="AJ20" i="29"/>
  <c r="AO19" i="29"/>
  <c r="AJ19" i="29"/>
  <c r="AO18" i="29"/>
  <c r="AJ18" i="29"/>
  <c r="AO17" i="29"/>
  <c r="AJ17" i="29"/>
  <c r="AO16" i="29"/>
  <c r="AJ16" i="29"/>
  <c r="AO15" i="29"/>
  <c r="AJ15" i="29"/>
  <c r="AO14" i="29"/>
  <c r="AJ14" i="29"/>
  <c r="AO13" i="29"/>
  <c r="AJ13" i="29"/>
  <c r="AJ12" i="29"/>
  <c r="AO11" i="29"/>
  <c r="AJ11" i="29"/>
  <c r="AO10" i="29"/>
  <c r="AJ10" i="29"/>
  <c r="AO9" i="29"/>
  <c r="AJ9" i="29"/>
  <c r="AO8" i="29"/>
  <c r="AM8" i="29"/>
  <c r="AJ8" i="29"/>
  <c r="AO7" i="29"/>
  <c r="AM7" i="29"/>
  <c r="AJ7" i="29"/>
  <c r="AO6" i="29"/>
  <c r="AM6" i="29"/>
  <c r="AJ6" i="29"/>
  <c r="AO5" i="29"/>
  <c r="AM5" i="29"/>
  <c r="AJ5" i="29"/>
  <c r="AO4" i="29"/>
  <c r="AM4" i="29"/>
  <c r="AJ4" i="29"/>
  <c r="AO3" i="29"/>
  <c r="AM3" i="29"/>
  <c r="AJ3" i="29"/>
  <c r="AO2" i="29"/>
  <c r="AM2" i="29"/>
  <c r="AJ2" i="29"/>
  <c r="AK1" i="29"/>
  <c r="C34" i="27"/>
  <c r="G31" i="27"/>
  <c r="G30" i="27"/>
  <c r="G29" i="27"/>
  <c r="G28" i="27"/>
  <c r="I25" i="27"/>
  <c r="G25" i="27"/>
  <c r="I24" i="27"/>
  <c r="G24" i="27"/>
  <c r="I23" i="27"/>
  <c r="G23" i="27"/>
  <c r="I22" i="27"/>
  <c r="G22" i="27"/>
  <c r="I19" i="27"/>
  <c r="G19" i="27"/>
  <c r="I18" i="27"/>
  <c r="G18" i="27"/>
  <c r="I17" i="27"/>
  <c r="G17" i="27"/>
  <c r="I16" i="27"/>
  <c r="G16" i="27"/>
  <c r="G14" i="27"/>
  <c r="I13" i="27"/>
  <c r="G13" i="27"/>
  <c r="I12" i="27"/>
  <c r="G12" i="27"/>
  <c r="I11" i="27"/>
  <c r="G11" i="27"/>
  <c r="I10" i="27"/>
  <c r="G10" i="27"/>
  <c r="I7" i="27"/>
  <c r="G7" i="27"/>
  <c r="I6" i="27"/>
  <c r="G6" i="27"/>
  <c r="I5" i="27"/>
  <c r="G5" i="27"/>
  <c r="I4" i="27"/>
  <c r="G4" i="27"/>
  <c r="AJ101" i="26"/>
  <c r="AO100" i="26"/>
  <c r="AN100" i="26"/>
  <c r="AM100" i="26"/>
  <c r="AL100" i="26"/>
  <c r="AJ100" i="26"/>
  <c r="D100" i="26"/>
  <c r="AO99" i="26"/>
  <c r="AN99" i="26"/>
  <c r="AM99" i="26"/>
  <c r="AL99" i="26"/>
  <c r="AJ99" i="26"/>
  <c r="D99" i="26"/>
  <c r="AO98" i="26"/>
  <c r="AN98" i="26"/>
  <c r="AM98" i="26"/>
  <c r="AL98" i="26"/>
  <c r="AJ98" i="26"/>
  <c r="D98" i="26"/>
  <c r="AO97" i="26"/>
  <c r="AN97" i="26"/>
  <c r="AM97" i="26"/>
  <c r="AL97" i="26"/>
  <c r="AJ97" i="26"/>
  <c r="D97" i="26"/>
  <c r="AO96" i="26"/>
  <c r="AN96" i="26"/>
  <c r="AM96" i="26"/>
  <c r="AL96" i="26"/>
  <c r="AJ96" i="26"/>
  <c r="D96" i="26"/>
  <c r="AO95" i="26"/>
  <c r="AN95" i="26"/>
  <c r="AM95" i="26"/>
  <c r="AL95" i="26"/>
  <c r="AJ95" i="26"/>
  <c r="D95" i="26"/>
  <c r="AO94" i="26"/>
  <c r="AN94" i="26"/>
  <c r="AM94" i="26"/>
  <c r="AL94" i="26"/>
  <c r="AJ94" i="26"/>
  <c r="D94" i="26"/>
  <c r="AO93" i="26"/>
  <c r="AN93" i="26"/>
  <c r="AM93" i="26"/>
  <c r="AL93" i="26"/>
  <c r="AJ93" i="26"/>
  <c r="D93" i="26"/>
  <c r="AO92" i="26"/>
  <c r="AN92" i="26"/>
  <c r="AM92" i="26"/>
  <c r="AL92" i="26"/>
  <c r="AJ92" i="26"/>
  <c r="D92" i="26"/>
  <c r="AO91" i="26"/>
  <c r="AN91" i="26"/>
  <c r="AM91" i="26"/>
  <c r="AL91" i="26"/>
  <c r="AJ91" i="26"/>
  <c r="D91" i="26"/>
  <c r="AO90" i="26"/>
  <c r="AN90" i="26"/>
  <c r="AM90" i="26"/>
  <c r="AL90" i="26"/>
  <c r="AJ90" i="26"/>
  <c r="D90" i="26"/>
  <c r="AO89" i="26"/>
  <c r="AN89" i="26"/>
  <c r="AM89" i="26"/>
  <c r="AL89" i="26"/>
  <c r="AJ89" i="26"/>
  <c r="D89" i="26"/>
  <c r="AO88" i="26"/>
  <c r="AN88" i="26"/>
  <c r="AM88" i="26"/>
  <c r="AL88" i="26"/>
  <c r="AJ88" i="26"/>
  <c r="D88" i="26"/>
  <c r="AO87" i="26"/>
  <c r="AN87" i="26"/>
  <c r="AM87" i="26"/>
  <c r="AL87" i="26"/>
  <c r="AJ87" i="26"/>
  <c r="D87" i="26"/>
  <c r="AO86" i="26"/>
  <c r="AN86" i="26"/>
  <c r="AM86" i="26"/>
  <c r="AL86" i="26"/>
  <c r="AJ86" i="26"/>
  <c r="D86" i="26"/>
  <c r="AO85" i="26"/>
  <c r="AN85" i="26"/>
  <c r="AM85" i="26"/>
  <c r="AL85" i="26"/>
  <c r="AJ85" i="26"/>
  <c r="D85" i="26"/>
  <c r="AO84" i="26"/>
  <c r="AN84" i="26"/>
  <c r="AM84" i="26"/>
  <c r="AL84" i="26"/>
  <c r="AJ84" i="26"/>
  <c r="D84" i="26"/>
  <c r="AO83" i="26"/>
  <c r="AN83" i="26"/>
  <c r="AM83" i="26"/>
  <c r="AL83" i="26"/>
  <c r="AJ83" i="26"/>
  <c r="D83" i="26"/>
  <c r="AO82" i="26"/>
  <c r="AN82" i="26"/>
  <c r="AM82" i="26"/>
  <c r="AL82" i="26"/>
  <c r="AJ82" i="26"/>
  <c r="AO81" i="26"/>
  <c r="AN81" i="26"/>
  <c r="AM81" i="26"/>
  <c r="AL81" i="26"/>
  <c r="AJ81" i="26"/>
  <c r="D81" i="26"/>
  <c r="AO80" i="26"/>
  <c r="AN80" i="26"/>
  <c r="AM80" i="26"/>
  <c r="AL80" i="26"/>
  <c r="AJ80" i="26"/>
  <c r="D80" i="26"/>
  <c r="AO79" i="26"/>
  <c r="AN79" i="26"/>
  <c r="AM79" i="26"/>
  <c r="AL79" i="26"/>
  <c r="AJ79" i="26"/>
  <c r="D79" i="26"/>
  <c r="AO78" i="26"/>
  <c r="AN78" i="26"/>
  <c r="AM78" i="26"/>
  <c r="AL78" i="26"/>
  <c r="AJ78" i="26"/>
  <c r="AO77" i="26"/>
  <c r="AN77" i="26"/>
  <c r="AM77" i="26"/>
  <c r="AL77" i="26"/>
  <c r="AJ77" i="26"/>
  <c r="AO76" i="26"/>
  <c r="AN76" i="26"/>
  <c r="AM76" i="26"/>
  <c r="AL76" i="26"/>
  <c r="AJ76" i="26"/>
  <c r="D76" i="26"/>
  <c r="AO75" i="26"/>
  <c r="AN75" i="26"/>
  <c r="AM75" i="26"/>
  <c r="AL75" i="26"/>
  <c r="AJ75" i="26"/>
  <c r="D75" i="26"/>
  <c r="AO74" i="26"/>
  <c r="AN74" i="26"/>
  <c r="AM74" i="26"/>
  <c r="AL74" i="26"/>
  <c r="AJ74" i="26"/>
  <c r="D74" i="26"/>
  <c r="AO73" i="26"/>
  <c r="AN73" i="26"/>
  <c r="AM73" i="26"/>
  <c r="AL73" i="26"/>
  <c r="AJ73" i="26"/>
  <c r="D73" i="26"/>
  <c r="AO72" i="26"/>
  <c r="AN72" i="26"/>
  <c r="AM72" i="26"/>
  <c r="AL72" i="26"/>
  <c r="AJ72" i="26"/>
  <c r="D72" i="26"/>
  <c r="AO71" i="26"/>
  <c r="AN71" i="26"/>
  <c r="AM71" i="26"/>
  <c r="AL71" i="26"/>
  <c r="AJ71" i="26"/>
  <c r="D71" i="26"/>
  <c r="AO70" i="26"/>
  <c r="AN70" i="26"/>
  <c r="AM70" i="26"/>
  <c r="AL70" i="26"/>
  <c r="AJ70" i="26"/>
  <c r="AO69" i="26"/>
  <c r="AN69" i="26"/>
  <c r="AM69" i="26"/>
  <c r="AL69" i="26"/>
  <c r="AJ69" i="26"/>
  <c r="D69" i="26"/>
  <c r="AO68" i="26"/>
  <c r="AN68" i="26"/>
  <c r="AM68" i="26"/>
  <c r="AL68" i="26"/>
  <c r="AJ68" i="26"/>
  <c r="D68" i="26"/>
  <c r="AO67" i="26"/>
  <c r="AN67" i="26"/>
  <c r="AM67" i="26"/>
  <c r="AL67" i="26"/>
  <c r="AJ67" i="26"/>
  <c r="D67" i="26"/>
  <c r="AO66" i="26"/>
  <c r="AN66" i="26"/>
  <c r="AM66" i="26"/>
  <c r="AL66" i="26"/>
  <c r="AJ66" i="26"/>
  <c r="D66" i="26"/>
  <c r="AO65" i="26"/>
  <c r="AN65" i="26"/>
  <c r="AM65" i="26"/>
  <c r="AL65" i="26"/>
  <c r="AJ65" i="26"/>
  <c r="D65" i="26"/>
  <c r="AO64" i="26"/>
  <c r="AN64" i="26"/>
  <c r="AM64" i="26"/>
  <c r="AL64" i="26"/>
  <c r="AJ64" i="26"/>
  <c r="D64" i="26"/>
  <c r="AO63" i="26"/>
  <c r="AN63" i="26"/>
  <c r="AM63" i="26"/>
  <c r="AL63" i="26"/>
  <c r="AJ63" i="26"/>
  <c r="D63" i="26"/>
  <c r="AO62" i="26"/>
  <c r="AN62" i="26"/>
  <c r="AM62" i="26"/>
  <c r="AL62" i="26"/>
  <c r="AJ62" i="26"/>
  <c r="D62" i="26"/>
  <c r="AO61" i="26"/>
  <c r="AN61" i="26"/>
  <c r="AM61" i="26"/>
  <c r="AL61" i="26"/>
  <c r="AJ61" i="26"/>
  <c r="D61" i="26"/>
  <c r="AO60" i="26"/>
  <c r="AN60" i="26"/>
  <c r="AM60" i="26"/>
  <c r="AL60" i="26"/>
  <c r="AJ60" i="26"/>
  <c r="D60" i="26"/>
  <c r="AO59" i="26"/>
  <c r="AN59" i="26"/>
  <c r="AM59" i="26"/>
  <c r="AL59" i="26"/>
  <c r="AJ59" i="26"/>
  <c r="D59" i="26"/>
  <c r="AO58" i="26"/>
  <c r="AN58" i="26"/>
  <c r="AM58" i="26"/>
  <c r="AL58" i="26"/>
  <c r="AJ58" i="26"/>
  <c r="D58" i="26"/>
  <c r="AO57" i="26"/>
  <c r="AN57" i="26"/>
  <c r="AM57" i="26"/>
  <c r="AL57" i="26"/>
  <c r="AJ57" i="26"/>
  <c r="D57" i="26"/>
  <c r="AO56" i="26"/>
  <c r="AN56" i="26"/>
  <c r="AM56" i="26"/>
  <c r="AL56" i="26"/>
  <c r="AJ56" i="26"/>
  <c r="D56" i="26"/>
  <c r="AO55" i="26"/>
  <c r="AN55" i="26"/>
  <c r="AM55" i="26"/>
  <c r="AL55" i="26"/>
  <c r="AJ55" i="26"/>
  <c r="D55" i="26"/>
  <c r="AO54" i="26"/>
  <c r="AN54" i="26"/>
  <c r="AM54" i="26"/>
  <c r="AL54" i="26"/>
  <c r="AJ54" i="26"/>
  <c r="D54" i="26"/>
  <c r="AO53" i="26"/>
  <c r="AN53" i="26"/>
  <c r="AM53" i="26"/>
  <c r="AL53" i="26"/>
  <c r="AJ53" i="26"/>
  <c r="D53" i="26"/>
  <c r="AO52" i="26"/>
  <c r="AN52" i="26"/>
  <c r="AM52" i="26"/>
  <c r="AL52" i="26"/>
  <c r="AJ52" i="26"/>
  <c r="D52" i="26"/>
  <c r="AO51" i="26"/>
  <c r="AN51" i="26"/>
  <c r="AM51" i="26"/>
  <c r="AL51" i="26"/>
  <c r="AJ51" i="26"/>
  <c r="D51" i="26"/>
  <c r="AO50" i="26"/>
  <c r="AN50" i="26"/>
  <c r="AM50" i="26"/>
  <c r="AL50" i="26"/>
  <c r="AJ50" i="26"/>
  <c r="D50" i="26"/>
  <c r="AO49" i="26"/>
  <c r="AN49" i="26"/>
  <c r="AM49" i="26"/>
  <c r="AL49" i="26"/>
  <c r="AJ49" i="26"/>
  <c r="D49" i="26"/>
  <c r="AO48" i="26"/>
  <c r="AN48" i="26"/>
  <c r="AM48" i="26"/>
  <c r="AL48" i="26"/>
  <c r="AJ48" i="26"/>
  <c r="D48" i="26"/>
  <c r="AI33" i="26"/>
  <c r="AI104" i="26" s="1"/>
  <c r="AH33" i="26"/>
  <c r="AH104" i="26" s="1"/>
  <c r="AG33" i="26"/>
  <c r="AG104" i="26" s="1"/>
  <c r="AF33" i="26"/>
  <c r="AF104" i="26" s="1"/>
  <c r="AE33" i="26"/>
  <c r="AE104" i="26" s="1"/>
  <c r="AD33" i="26"/>
  <c r="AD104" i="26" s="1"/>
  <c r="AC33" i="26"/>
  <c r="AC104" i="26" s="1"/>
  <c r="AB33" i="26"/>
  <c r="AB104" i="26" s="1"/>
  <c r="AA33" i="26"/>
  <c r="AA104" i="26" s="1"/>
  <c r="Z33" i="26"/>
  <c r="Z104" i="26" s="1"/>
  <c r="Y33" i="26"/>
  <c r="Y104" i="26" s="1"/>
  <c r="X33" i="26"/>
  <c r="X104" i="26" s="1"/>
  <c r="W33" i="26"/>
  <c r="W104" i="26" s="1"/>
  <c r="V33" i="26"/>
  <c r="V104" i="26" s="1"/>
  <c r="U33" i="26"/>
  <c r="U104" i="26" s="1"/>
  <c r="T33" i="26"/>
  <c r="T104" i="26" s="1"/>
  <c r="S33" i="26"/>
  <c r="S104" i="26" s="1"/>
  <c r="R33" i="26"/>
  <c r="R104" i="26" s="1"/>
  <c r="Q33" i="26"/>
  <c r="Q104" i="26" s="1"/>
  <c r="P33" i="26"/>
  <c r="P104" i="26" s="1"/>
  <c r="O33" i="26"/>
  <c r="O104" i="26" s="1"/>
  <c r="N33" i="26"/>
  <c r="N104" i="26" s="1"/>
  <c r="M33" i="26"/>
  <c r="M104" i="26" s="1"/>
  <c r="L33" i="26"/>
  <c r="L104" i="26" s="1"/>
  <c r="K33" i="26"/>
  <c r="K104" i="26" s="1"/>
  <c r="J33" i="26"/>
  <c r="J104" i="26" s="1"/>
  <c r="I33" i="26"/>
  <c r="I104" i="26" s="1"/>
  <c r="H33" i="26"/>
  <c r="H104" i="26" s="1"/>
  <c r="G33" i="26"/>
  <c r="G104" i="26" s="1"/>
  <c r="F33" i="26"/>
  <c r="F104" i="26" s="1"/>
  <c r="E33" i="26"/>
  <c r="E104" i="26" s="1"/>
  <c r="AI32" i="26"/>
  <c r="AH32" i="26"/>
  <c r="AH103" i="26" s="1"/>
  <c r="AG32" i="26"/>
  <c r="AG103" i="26" s="1"/>
  <c r="AF32" i="26"/>
  <c r="AF103" i="26" s="1"/>
  <c r="AE32" i="26"/>
  <c r="AE103" i="26" s="1"/>
  <c r="AD32" i="26"/>
  <c r="AD103" i="26" s="1"/>
  <c r="AC32" i="26"/>
  <c r="AC103" i="26" s="1"/>
  <c r="AB32" i="26"/>
  <c r="AB103" i="26" s="1"/>
  <c r="AA32" i="26"/>
  <c r="AA103" i="26" s="1"/>
  <c r="Z32" i="26"/>
  <c r="Z103" i="26" s="1"/>
  <c r="Y32" i="26"/>
  <c r="Y103" i="26" s="1"/>
  <c r="X32" i="26"/>
  <c r="X103" i="26" s="1"/>
  <c r="W32" i="26"/>
  <c r="W103" i="26" s="1"/>
  <c r="V32" i="26"/>
  <c r="V103" i="26" s="1"/>
  <c r="U32" i="26"/>
  <c r="U103" i="26" s="1"/>
  <c r="T32" i="26"/>
  <c r="T103" i="26" s="1"/>
  <c r="S32" i="26"/>
  <c r="S103" i="26" s="1"/>
  <c r="R32" i="26"/>
  <c r="R103" i="26" s="1"/>
  <c r="Q32" i="26"/>
  <c r="Q103" i="26" s="1"/>
  <c r="P32" i="26"/>
  <c r="P103" i="26" s="1"/>
  <c r="O32" i="26"/>
  <c r="O103" i="26" s="1"/>
  <c r="N32" i="26"/>
  <c r="N103" i="26" s="1"/>
  <c r="M32" i="26"/>
  <c r="M103" i="26" s="1"/>
  <c r="L32" i="26"/>
  <c r="L103" i="26" s="1"/>
  <c r="K32" i="26"/>
  <c r="K103" i="26" s="1"/>
  <c r="J32" i="26"/>
  <c r="J103" i="26" s="1"/>
  <c r="I32" i="26"/>
  <c r="I103" i="26" s="1"/>
  <c r="H32" i="26"/>
  <c r="H103" i="26" s="1"/>
  <c r="G32" i="26"/>
  <c r="G103" i="26" s="1"/>
  <c r="F32" i="26"/>
  <c r="F103" i="26" s="1"/>
  <c r="E32" i="26"/>
  <c r="E103" i="26" s="1"/>
  <c r="AI31" i="26"/>
  <c r="AI102" i="26" s="1"/>
  <c r="AH31" i="26"/>
  <c r="AG31" i="26"/>
  <c r="AF31" i="26"/>
  <c r="AE31" i="26"/>
  <c r="AD31" i="26"/>
  <c r="AC31" i="26"/>
  <c r="AC102" i="26" s="1"/>
  <c r="AC34" i="26" s="1"/>
  <c r="AC105" i="26" s="1"/>
  <c r="AB31" i="26"/>
  <c r="AB102" i="26" s="1"/>
  <c r="AA31" i="26"/>
  <c r="Z31" i="26"/>
  <c r="Y31" i="26"/>
  <c r="X31" i="26"/>
  <c r="W31" i="26"/>
  <c r="V31" i="26"/>
  <c r="U31" i="26"/>
  <c r="T31" i="26"/>
  <c r="T102" i="26" s="1"/>
  <c r="S31" i="26"/>
  <c r="S102" i="26" s="1"/>
  <c r="R31" i="26"/>
  <c r="Q31" i="26"/>
  <c r="P31" i="26"/>
  <c r="P102" i="26" s="1"/>
  <c r="O31" i="26"/>
  <c r="N31" i="26"/>
  <c r="M31" i="26"/>
  <c r="L31" i="26"/>
  <c r="L102" i="26" s="1"/>
  <c r="K31" i="26"/>
  <c r="K102" i="26" s="1"/>
  <c r="J31" i="26"/>
  <c r="I31" i="26"/>
  <c r="H31" i="26"/>
  <c r="H102" i="26" s="1"/>
  <c r="G31" i="26"/>
  <c r="F31" i="26"/>
  <c r="E31" i="26"/>
  <c r="AO29" i="26"/>
  <c r="AN29" i="26"/>
  <c r="AM29" i="26"/>
  <c r="AL29" i="26"/>
  <c r="AJ29" i="26"/>
  <c r="C6" i="27" s="1"/>
  <c r="D29" i="26"/>
  <c r="AO28" i="26"/>
  <c r="AN28" i="26"/>
  <c r="AM28" i="26"/>
  <c r="AL28" i="26"/>
  <c r="AJ28" i="26"/>
  <c r="C4" i="27" s="1"/>
  <c r="D28" i="26"/>
  <c r="AO27" i="26"/>
  <c r="AN27" i="26"/>
  <c r="AM27" i="26"/>
  <c r="AL27" i="26"/>
  <c r="AJ27" i="26"/>
  <c r="C33" i="27" s="1"/>
  <c r="D27" i="26"/>
  <c r="AO26" i="26"/>
  <c r="AN26" i="26"/>
  <c r="AM26" i="26"/>
  <c r="AL26" i="26"/>
  <c r="AJ26" i="26"/>
  <c r="D26" i="26"/>
  <c r="AO25" i="26"/>
  <c r="AN25" i="26"/>
  <c r="AM25" i="26"/>
  <c r="AL25" i="26"/>
  <c r="AJ25" i="26"/>
  <c r="C19" i="27" s="1"/>
  <c r="D25" i="26"/>
  <c r="AO24" i="26"/>
  <c r="AN24" i="26"/>
  <c r="AM24" i="26"/>
  <c r="AL24" i="26"/>
  <c r="AJ24" i="26"/>
  <c r="D24" i="26"/>
  <c r="AO23" i="26"/>
  <c r="AN23" i="26"/>
  <c r="AM23" i="26"/>
  <c r="AL23" i="26"/>
  <c r="AJ23" i="26"/>
  <c r="D23" i="26"/>
  <c r="AO22" i="26"/>
  <c r="AN22" i="26"/>
  <c r="AM22" i="26"/>
  <c r="AL22" i="26"/>
  <c r="AJ22" i="26"/>
  <c r="C23" i="27" s="1"/>
  <c r="D22" i="26"/>
  <c r="AO21" i="26"/>
  <c r="AN21" i="26"/>
  <c r="AM21" i="26"/>
  <c r="AL21" i="26"/>
  <c r="AJ21" i="26"/>
  <c r="C9" i="27" s="1"/>
  <c r="D21" i="26"/>
  <c r="AO20" i="26"/>
  <c r="AN20" i="26"/>
  <c r="AM20" i="26"/>
  <c r="AL20" i="26"/>
  <c r="AJ20" i="26"/>
  <c r="D20" i="26"/>
  <c r="AO19" i="26"/>
  <c r="AN19" i="26"/>
  <c r="AM19" i="26"/>
  <c r="AL19" i="26"/>
  <c r="AJ19" i="26"/>
  <c r="C25" i="27" s="1"/>
  <c r="D19" i="26"/>
  <c r="AO18" i="26"/>
  <c r="AN18" i="26"/>
  <c r="AM18" i="26"/>
  <c r="AL18" i="26"/>
  <c r="AJ18" i="26"/>
  <c r="D18" i="26"/>
  <c r="AO17" i="26"/>
  <c r="AN17" i="26"/>
  <c r="AM17" i="26"/>
  <c r="AL17" i="26"/>
  <c r="AJ17" i="26"/>
  <c r="C26" i="27" s="1"/>
  <c r="D17" i="26"/>
  <c r="AO16" i="26"/>
  <c r="AN16" i="26"/>
  <c r="AM16" i="26"/>
  <c r="AL16" i="26"/>
  <c r="AJ16" i="26"/>
  <c r="C18" i="27" s="1"/>
  <c r="D16" i="26"/>
  <c r="AO15" i="26"/>
  <c r="AN15" i="26"/>
  <c r="AM15" i="26"/>
  <c r="AL15" i="26"/>
  <c r="AJ15" i="26"/>
  <c r="C14" i="27" s="1"/>
  <c r="D15" i="26"/>
  <c r="AO14" i="26"/>
  <c r="AN14" i="26"/>
  <c r="AM14" i="26"/>
  <c r="AL14" i="26"/>
  <c r="AJ14" i="26"/>
  <c r="C11" i="27" s="1"/>
  <c r="D14" i="26"/>
  <c r="AO13" i="26"/>
  <c r="AN13" i="26"/>
  <c r="AM13" i="26"/>
  <c r="AL13" i="26"/>
  <c r="AJ13" i="26"/>
  <c r="D13" i="26"/>
  <c r="AO12" i="26"/>
  <c r="AM12" i="26"/>
  <c r="AL12" i="26"/>
  <c r="AJ12" i="26"/>
  <c r="C28" i="27" s="1"/>
  <c r="D12" i="26"/>
  <c r="AO11" i="26"/>
  <c r="AN11" i="26"/>
  <c r="AM11" i="26"/>
  <c r="AL11" i="26"/>
  <c r="AJ11" i="26"/>
  <c r="C20" i="27" s="1"/>
  <c r="D11" i="26"/>
  <c r="AO10" i="26"/>
  <c r="AN10" i="26"/>
  <c r="AM10" i="26"/>
  <c r="AL10" i="26"/>
  <c r="AJ10" i="26"/>
  <c r="D10" i="26"/>
  <c r="AO9" i="26"/>
  <c r="AN9" i="26"/>
  <c r="AM9" i="26"/>
  <c r="AL9" i="26"/>
  <c r="AJ9" i="26"/>
  <c r="D9" i="26"/>
  <c r="AO8" i="26"/>
  <c r="AN8" i="26"/>
  <c r="AM8" i="26"/>
  <c r="AL8" i="26"/>
  <c r="AJ8" i="26"/>
  <c r="D8" i="26"/>
  <c r="AO7" i="26"/>
  <c r="AN7" i="26"/>
  <c r="AM7" i="26"/>
  <c r="AL7" i="26"/>
  <c r="AJ7" i="26"/>
  <c r="D7" i="26"/>
  <c r="AO6" i="26"/>
  <c r="AN6" i="26"/>
  <c r="AM6" i="26"/>
  <c r="AL6" i="26"/>
  <c r="AJ6" i="26"/>
  <c r="C32" i="27" s="1"/>
  <c r="D6" i="26"/>
  <c r="AO5" i="26"/>
  <c r="AN5" i="26"/>
  <c r="AM5" i="26"/>
  <c r="AL5" i="26"/>
  <c r="AJ5" i="26"/>
  <c r="D5" i="26"/>
  <c r="AO4" i="26"/>
  <c r="AN4" i="26"/>
  <c r="AM4" i="26"/>
  <c r="AL4" i="26"/>
  <c r="AJ4" i="26"/>
  <c r="D4" i="26"/>
  <c r="AO3" i="26"/>
  <c r="AN3" i="26"/>
  <c r="AM3" i="26"/>
  <c r="AL3" i="26"/>
  <c r="AJ3" i="26"/>
  <c r="C15" i="27" s="1"/>
  <c r="D3" i="26"/>
  <c r="AP2" i="26"/>
  <c r="AO2" i="26"/>
  <c r="AN2" i="26"/>
  <c r="AM2" i="26"/>
  <c r="AL2" i="26"/>
  <c r="AJ2" i="26"/>
  <c r="D2" i="26"/>
  <c r="AK1" i="26"/>
  <c r="AO100" i="24"/>
  <c r="AN100" i="24"/>
  <c r="AM100" i="24"/>
  <c r="AL100" i="24"/>
  <c r="D100" i="24"/>
  <c r="AO99" i="24"/>
  <c r="AN99" i="24"/>
  <c r="AM99" i="24"/>
  <c r="AL99" i="24"/>
  <c r="D99" i="24"/>
  <c r="AO98" i="24"/>
  <c r="AN98" i="24"/>
  <c r="AM98" i="24"/>
  <c r="AL98" i="24"/>
  <c r="D98" i="24"/>
  <c r="AO97" i="24"/>
  <c r="AN97" i="24"/>
  <c r="AM97" i="24"/>
  <c r="AL97" i="24"/>
  <c r="D97" i="24"/>
  <c r="AO96" i="24"/>
  <c r="AN96" i="24"/>
  <c r="AM96" i="24"/>
  <c r="AL96" i="24"/>
  <c r="D96" i="24"/>
  <c r="AK96" i="24" s="1"/>
  <c r="AO95" i="24"/>
  <c r="AN95" i="24"/>
  <c r="AM95" i="24"/>
  <c r="AL95" i="24"/>
  <c r="D95" i="24"/>
  <c r="AO94" i="24"/>
  <c r="AN94" i="24"/>
  <c r="AM94" i="24"/>
  <c r="AL94" i="24"/>
  <c r="D94" i="24"/>
  <c r="AO93" i="24"/>
  <c r="AN93" i="24"/>
  <c r="AM93" i="24"/>
  <c r="AL93" i="24"/>
  <c r="D93" i="24"/>
  <c r="AO92" i="24"/>
  <c r="AN92" i="24"/>
  <c r="AM92" i="24"/>
  <c r="AL92" i="24"/>
  <c r="D92" i="24"/>
  <c r="AO91" i="24"/>
  <c r="AN91" i="24"/>
  <c r="AM91" i="24"/>
  <c r="AL91" i="24"/>
  <c r="D91" i="24"/>
  <c r="AO90" i="24"/>
  <c r="AN90" i="24"/>
  <c r="AM90" i="24"/>
  <c r="AL90" i="24"/>
  <c r="D90" i="24"/>
  <c r="AO89" i="24"/>
  <c r="AN89" i="24"/>
  <c r="AM89" i="24"/>
  <c r="AL89" i="24"/>
  <c r="D89" i="24"/>
  <c r="AO88" i="24"/>
  <c r="AN88" i="24"/>
  <c r="AM88" i="24"/>
  <c r="AL88" i="24"/>
  <c r="D88" i="24"/>
  <c r="AO87" i="24"/>
  <c r="AN87" i="24"/>
  <c r="AM87" i="24"/>
  <c r="AL87" i="24"/>
  <c r="D87" i="24"/>
  <c r="AO86" i="24"/>
  <c r="AN86" i="24"/>
  <c r="AM86" i="24"/>
  <c r="AL86" i="24"/>
  <c r="D86" i="24"/>
  <c r="AO85" i="24"/>
  <c r="AN85" i="24"/>
  <c r="AM85" i="24"/>
  <c r="AL85" i="24"/>
  <c r="D85" i="24"/>
  <c r="AO84" i="24"/>
  <c r="AN84" i="24"/>
  <c r="AM84" i="24"/>
  <c r="AL84" i="24"/>
  <c r="D84" i="24"/>
  <c r="AO83" i="24"/>
  <c r="AN83" i="24"/>
  <c r="AM83" i="24"/>
  <c r="AL83" i="24"/>
  <c r="D83" i="24"/>
  <c r="AO82" i="24"/>
  <c r="AN82" i="24"/>
  <c r="AM82" i="24"/>
  <c r="AL82" i="24"/>
  <c r="D82" i="24"/>
  <c r="AO81" i="24"/>
  <c r="AN81" i="24"/>
  <c r="AM81" i="24"/>
  <c r="AL81" i="24"/>
  <c r="D81" i="24"/>
  <c r="AO80" i="24"/>
  <c r="AN80" i="24"/>
  <c r="AM80" i="24"/>
  <c r="AL80" i="24"/>
  <c r="D80" i="24"/>
  <c r="AO79" i="24"/>
  <c r="AN79" i="24"/>
  <c r="AM79" i="24"/>
  <c r="AL79" i="24"/>
  <c r="D79" i="24"/>
  <c r="AO78" i="24"/>
  <c r="AN78" i="24"/>
  <c r="AM78" i="24"/>
  <c r="AL78" i="24"/>
  <c r="D78" i="24"/>
  <c r="AO77" i="24"/>
  <c r="AN77" i="24"/>
  <c r="AM77" i="24"/>
  <c r="AL77" i="24"/>
  <c r="D77" i="24"/>
  <c r="AO76" i="24"/>
  <c r="AN76" i="24"/>
  <c r="AM76" i="24"/>
  <c r="AL76" i="24"/>
  <c r="D76" i="24"/>
  <c r="AO75" i="24"/>
  <c r="AN75" i="24"/>
  <c r="AM75" i="24"/>
  <c r="AL75" i="24"/>
  <c r="D75" i="24"/>
  <c r="AO74" i="24"/>
  <c r="AN74" i="24"/>
  <c r="AM74" i="24"/>
  <c r="AL74" i="24"/>
  <c r="D74" i="24"/>
  <c r="AO73" i="24"/>
  <c r="AN73" i="24"/>
  <c r="AM73" i="24"/>
  <c r="AL73" i="24"/>
  <c r="D73" i="24"/>
  <c r="AO72" i="24"/>
  <c r="AN72" i="24"/>
  <c r="AM72" i="24"/>
  <c r="AL72" i="24"/>
  <c r="D72" i="24"/>
  <c r="AO71" i="24"/>
  <c r="AN71" i="24"/>
  <c r="AM71" i="24"/>
  <c r="AL71" i="24"/>
  <c r="D71" i="24"/>
  <c r="AO70" i="24"/>
  <c r="AN70" i="24"/>
  <c r="AM70" i="24"/>
  <c r="AL70" i="24"/>
  <c r="D70" i="24"/>
  <c r="AO69" i="24"/>
  <c r="AN69" i="24"/>
  <c r="AM69" i="24"/>
  <c r="AL69" i="24"/>
  <c r="D69" i="24"/>
  <c r="AO68" i="24"/>
  <c r="AN68" i="24"/>
  <c r="AM68" i="24"/>
  <c r="AL68" i="24"/>
  <c r="D68" i="24"/>
  <c r="AO67" i="24"/>
  <c r="AN67" i="24"/>
  <c r="AM67" i="24"/>
  <c r="AL67" i="24"/>
  <c r="D67" i="24"/>
  <c r="AO66" i="24"/>
  <c r="AN66" i="24"/>
  <c r="AM66" i="24"/>
  <c r="AL66" i="24"/>
  <c r="D66" i="24"/>
  <c r="AO65" i="24"/>
  <c r="AN65" i="24"/>
  <c r="AM65" i="24"/>
  <c r="AL65" i="24"/>
  <c r="D65" i="24"/>
  <c r="AO64" i="24"/>
  <c r="AN64" i="24"/>
  <c r="AM64" i="24"/>
  <c r="AL64" i="24"/>
  <c r="D64" i="24"/>
  <c r="AO63" i="24"/>
  <c r="AN63" i="24"/>
  <c r="AM63" i="24"/>
  <c r="AL63" i="24"/>
  <c r="D63" i="24"/>
  <c r="AO62" i="24"/>
  <c r="AN62" i="24"/>
  <c r="AM62" i="24"/>
  <c r="AL62" i="24"/>
  <c r="D62" i="24"/>
  <c r="AO61" i="24"/>
  <c r="AN61" i="24"/>
  <c r="AM61" i="24"/>
  <c r="AL61" i="24"/>
  <c r="D61" i="24"/>
  <c r="AO60" i="24"/>
  <c r="AN60" i="24"/>
  <c r="AM60" i="24"/>
  <c r="AL60" i="24"/>
  <c r="D60" i="24"/>
  <c r="AO59" i="24"/>
  <c r="AN59" i="24"/>
  <c r="AM59" i="24"/>
  <c r="AL59" i="24"/>
  <c r="D59" i="24"/>
  <c r="AO58" i="24"/>
  <c r="AN58" i="24"/>
  <c r="AM58" i="24"/>
  <c r="AL58" i="24"/>
  <c r="D58" i="24"/>
  <c r="AO57" i="24"/>
  <c r="AN57" i="24"/>
  <c r="AM57" i="24"/>
  <c r="AL57" i="24"/>
  <c r="D57" i="24"/>
  <c r="AO56" i="24"/>
  <c r="AN56" i="24"/>
  <c r="AM56" i="24"/>
  <c r="AL56" i="24"/>
  <c r="D56" i="24"/>
  <c r="AO55" i="24"/>
  <c r="AN55" i="24"/>
  <c r="AM55" i="24"/>
  <c r="AL55" i="24"/>
  <c r="D55" i="24"/>
  <c r="AO54" i="24"/>
  <c r="AN54" i="24"/>
  <c r="AM54" i="24"/>
  <c r="AL54" i="24"/>
  <c r="D54" i="24"/>
  <c r="AO53" i="24"/>
  <c r="AN53" i="24"/>
  <c r="AM53" i="24"/>
  <c r="AL53" i="24"/>
  <c r="D53" i="24"/>
  <c r="AO52" i="24"/>
  <c r="AN52" i="24"/>
  <c r="AM52" i="24"/>
  <c r="AL52" i="24"/>
  <c r="D52" i="24"/>
  <c r="AO51" i="24"/>
  <c r="AN51" i="24"/>
  <c r="AM51" i="24"/>
  <c r="AL51" i="24"/>
  <c r="D51" i="24"/>
  <c r="AO50" i="24"/>
  <c r="AN50" i="24"/>
  <c r="AM50" i="24"/>
  <c r="AL50" i="24"/>
  <c r="D50" i="24"/>
  <c r="AO49" i="24"/>
  <c r="AN49" i="24"/>
  <c r="AM49" i="24"/>
  <c r="AL49" i="24"/>
  <c r="D49" i="24"/>
  <c r="AO48" i="24"/>
  <c r="AN48" i="24"/>
  <c r="AM48" i="24"/>
  <c r="AL48" i="24"/>
  <c r="D48" i="24"/>
  <c r="AI33" i="24"/>
  <c r="AI104" i="24" s="1"/>
  <c r="AH33" i="24"/>
  <c r="AH104" i="24" s="1"/>
  <c r="AG33" i="24"/>
  <c r="AG104" i="24" s="1"/>
  <c r="AF33" i="24"/>
  <c r="AF104" i="24" s="1"/>
  <c r="AE33" i="24"/>
  <c r="AE104" i="24" s="1"/>
  <c r="AD33" i="24"/>
  <c r="AD104" i="24" s="1"/>
  <c r="AC33" i="24"/>
  <c r="AC104" i="24" s="1"/>
  <c r="AB33" i="24"/>
  <c r="AB104" i="24" s="1"/>
  <c r="AA33" i="24"/>
  <c r="AA104" i="24" s="1"/>
  <c r="Z33" i="24"/>
  <c r="Z104" i="24" s="1"/>
  <c r="Y33" i="24"/>
  <c r="Y104" i="24" s="1"/>
  <c r="X33" i="24"/>
  <c r="X104" i="24" s="1"/>
  <c r="W33" i="24"/>
  <c r="W104" i="24" s="1"/>
  <c r="V33" i="24"/>
  <c r="V104" i="24" s="1"/>
  <c r="U33" i="24"/>
  <c r="U104" i="24" s="1"/>
  <c r="T33" i="24"/>
  <c r="T104" i="24" s="1"/>
  <c r="S33" i="24"/>
  <c r="S104" i="24" s="1"/>
  <c r="R33" i="24"/>
  <c r="R104" i="24" s="1"/>
  <c r="Q33" i="24"/>
  <c r="Q104" i="24" s="1"/>
  <c r="P33" i="24"/>
  <c r="P104" i="24" s="1"/>
  <c r="O33" i="24"/>
  <c r="O104" i="24" s="1"/>
  <c r="N33" i="24"/>
  <c r="N104" i="24" s="1"/>
  <c r="M33" i="24"/>
  <c r="M104" i="24" s="1"/>
  <c r="L33" i="24"/>
  <c r="L104" i="24" s="1"/>
  <c r="K33" i="24"/>
  <c r="K104" i="24" s="1"/>
  <c r="J33" i="24"/>
  <c r="J104" i="24" s="1"/>
  <c r="I33" i="24"/>
  <c r="I104" i="24" s="1"/>
  <c r="H33" i="24"/>
  <c r="H104" i="24" s="1"/>
  <c r="G33" i="24"/>
  <c r="G104" i="24" s="1"/>
  <c r="F33" i="24"/>
  <c r="F104" i="24" s="1"/>
  <c r="E33" i="24"/>
  <c r="E104" i="24" s="1"/>
  <c r="AI32" i="24"/>
  <c r="AI103" i="24" s="1"/>
  <c r="AH32" i="24"/>
  <c r="AH103" i="24" s="1"/>
  <c r="AG32" i="24"/>
  <c r="AG103" i="24" s="1"/>
  <c r="AF32" i="24"/>
  <c r="AF103" i="24" s="1"/>
  <c r="AE32" i="24"/>
  <c r="AE103" i="24" s="1"/>
  <c r="AD32" i="24"/>
  <c r="AD103" i="24" s="1"/>
  <c r="AC32" i="24"/>
  <c r="AC103" i="24" s="1"/>
  <c r="AB32" i="24"/>
  <c r="AB103" i="24" s="1"/>
  <c r="AA32" i="24"/>
  <c r="AA103" i="24" s="1"/>
  <c r="Z32" i="24"/>
  <c r="Z103" i="24" s="1"/>
  <c r="Y32" i="24"/>
  <c r="Y103" i="24" s="1"/>
  <c r="X32" i="24"/>
  <c r="X103" i="24" s="1"/>
  <c r="W32" i="24"/>
  <c r="W103" i="24" s="1"/>
  <c r="V32" i="24"/>
  <c r="V103" i="24" s="1"/>
  <c r="U32" i="24"/>
  <c r="U103" i="24" s="1"/>
  <c r="T32" i="24"/>
  <c r="T103" i="24" s="1"/>
  <c r="S32" i="24"/>
  <c r="S103" i="24" s="1"/>
  <c r="R32" i="24"/>
  <c r="R103" i="24" s="1"/>
  <c r="Q32" i="24"/>
  <c r="Q103" i="24" s="1"/>
  <c r="P32" i="24"/>
  <c r="P103" i="24" s="1"/>
  <c r="O32" i="24"/>
  <c r="O103" i="24" s="1"/>
  <c r="N32" i="24"/>
  <c r="N103" i="24" s="1"/>
  <c r="M32" i="24"/>
  <c r="M103" i="24" s="1"/>
  <c r="L32" i="24"/>
  <c r="L103" i="24" s="1"/>
  <c r="K32" i="24"/>
  <c r="K103" i="24" s="1"/>
  <c r="J32" i="24"/>
  <c r="J103" i="24" s="1"/>
  <c r="I32" i="24"/>
  <c r="I103" i="24" s="1"/>
  <c r="H32" i="24"/>
  <c r="H103" i="24" s="1"/>
  <c r="G32" i="24"/>
  <c r="G103" i="24" s="1"/>
  <c r="F32" i="24"/>
  <c r="F103" i="24" s="1"/>
  <c r="E32" i="24"/>
  <c r="E103" i="24" s="1"/>
  <c r="AI31" i="24"/>
  <c r="AI102" i="24" s="1"/>
  <c r="AH31" i="24"/>
  <c r="AG31" i="24"/>
  <c r="AF31" i="24"/>
  <c r="AF102" i="24" s="1"/>
  <c r="AE31" i="24"/>
  <c r="AE102" i="24" s="1"/>
  <c r="AD31" i="24"/>
  <c r="AC31" i="24"/>
  <c r="AB31" i="24"/>
  <c r="AB102" i="24" s="1"/>
  <c r="AA31" i="24"/>
  <c r="AA102" i="24" s="1"/>
  <c r="Z31" i="24"/>
  <c r="Z102" i="24" s="1"/>
  <c r="Y31" i="24"/>
  <c r="Y102" i="24" s="1"/>
  <c r="X31" i="24"/>
  <c r="X102" i="24" s="1"/>
  <c r="W31" i="24"/>
  <c r="W102" i="24" s="1"/>
  <c r="V31" i="24"/>
  <c r="U31" i="24"/>
  <c r="U102" i="24" s="1"/>
  <c r="T31" i="24"/>
  <c r="T102" i="24" s="1"/>
  <c r="S31" i="24"/>
  <c r="S102" i="24" s="1"/>
  <c r="R31" i="24"/>
  <c r="Q31" i="24"/>
  <c r="P31" i="24"/>
  <c r="P102" i="24" s="1"/>
  <c r="O31" i="24"/>
  <c r="O102" i="24" s="1"/>
  <c r="N31" i="24"/>
  <c r="M31" i="24"/>
  <c r="L31" i="24"/>
  <c r="L102" i="24" s="1"/>
  <c r="K31" i="24"/>
  <c r="K102" i="24" s="1"/>
  <c r="J31" i="24"/>
  <c r="J102" i="24" s="1"/>
  <c r="I31" i="24"/>
  <c r="I102" i="24" s="1"/>
  <c r="H31" i="24"/>
  <c r="H102" i="24" s="1"/>
  <c r="G31" i="24"/>
  <c r="G102" i="24" s="1"/>
  <c r="F31" i="24"/>
  <c r="E31" i="24"/>
  <c r="E102" i="24" s="1"/>
  <c r="AO29" i="24"/>
  <c r="AN29" i="24"/>
  <c r="AM29" i="24"/>
  <c r="AL29" i="24"/>
  <c r="AJ29" i="24"/>
  <c r="AO28" i="24"/>
  <c r="AN28" i="24"/>
  <c r="AM28" i="24"/>
  <c r="AL28" i="24"/>
  <c r="AJ28" i="24"/>
  <c r="C6" i="25" s="1"/>
  <c r="AO27" i="24"/>
  <c r="AN27" i="24"/>
  <c r="AM27" i="24"/>
  <c r="AL27" i="24"/>
  <c r="AJ27" i="24"/>
  <c r="AO26" i="24"/>
  <c r="AN26" i="24"/>
  <c r="AM26" i="24"/>
  <c r="AL26" i="24"/>
  <c r="AJ26" i="24"/>
  <c r="C25" i="25" s="1"/>
  <c r="AO25" i="24"/>
  <c r="AN25" i="24"/>
  <c r="AM25" i="24"/>
  <c r="AL25" i="24"/>
  <c r="AJ25" i="24"/>
  <c r="AO24" i="24"/>
  <c r="AN24" i="24"/>
  <c r="AM24" i="24"/>
  <c r="AL24" i="24"/>
  <c r="AJ24" i="24"/>
  <c r="C12" i="25" s="1"/>
  <c r="AO23" i="24"/>
  <c r="AN23" i="24"/>
  <c r="AM23" i="24"/>
  <c r="AL23" i="24"/>
  <c r="AJ23" i="24"/>
  <c r="C9" i="25" s="1"/>
  <c r="AO22" i="24"/>
  <c r="AN22" i="24"/>
  <c r="AM22" i="24"/>
  <c r="AL22" i="24"/>
  <c r="AJ22" i="24"/>
  <c r="C4" i="25" s="1"/>
  <c r="AO21" i="24"/>
  <c r="AN21" i="24"/>
  <c r="AM21" i="24"/>
  <c r="AL21" i="24"/>
  <c r="AJ21" i="24"/>
  <c r="AO20" i="24"/>
  <c r="AN20" i="24"/>
  <c r="AM20" i="24"/>
  <c r="AL20" i="24"/>
  <c r="AJ20" i="24"/>
  <c r="C7" i="25" s="1"/>
  <c r="AO19" i="24"/>
  <c r="AN19" i="24"/>
  <c r="AM19" i="24"/>
  <c r="AL19" i="24"/>
  <c r="AJ19" i="24"/>
  <c r="AO18" i="24"/>
  <c r="AN18" i="24"/>
  <c r="AM18" i="24"/>
  <c r="AL18" i="24"/>
  <c r="AJ18" i="24"/>
  <c r="C14" i="25" s="1"/>
  <c r="AO17" i="24"/>
  <c r="AN17" i="24"/>
  <c r="AM17" i="24"/>
  <c r="AL17" i="24"/>
  <c r="AJ17" i="24"/>
  <c r="AO16" i="24"/>
  <c r="AN16" i="24"/>
  <c r="AM16" i="24"/>
  <c r="AL16" i="24"/>
  <c r="AJ16" i="24"/>
  <c r="AP15" i="24"/>
  <c r="AO15" i="24"/>
  <c r="AN15" i="24"/>
  <c r="AM15" i="24"/>
  <c r="AL15" i="24"/>
  <c r="AJ15" i="24"/>
  <c r="AO14" i="24"/>
  <c r="AN14" i="24"/>
  <c r="AM14" i="24"/>
  <c r="AL14" i="24"/>
  <c r="AJ14" i="24"/>
  <c r="AO13" i="24"/>
  <c r="AN13" i="24"/>
  <c r="AM13" i="24"/>
  <c r="AL13" i="24"/>
  <c r="AJ13" i="24"/>
  <c r="AO12" i="24"/>
  <c r="AN12" i="24"/>
  <c r="AM12" i="24"/>
  <c r="AL12" i="24"/>
  <c r="AJ12" i="24"/>
  <c r="AO11" i="24"/>
  <c r="AN11" i="24"/>
  <c r="AM11" i="24"/>
  <c r="AL11" i="24"/>
  <c r="AJ11" i="24"/>
  <c r="AO10" i="24"/>
  <c r="AN10" i="24"/>
  <c r="AM10" i="24"/>
  <c r="AL10" i="24"/>
  <c r="AJ10" i="24"/>
  <c r="AO9" i="24"/>
  <c r="AN9" i="24"/>
  <c r="AM9" i="24"/>
  <c r="AL9" i="24"/>
  <c r="AJ9" i="24"/>
  <c r="AO8" i="24"/>
  <c r="AN8" i="24"/>
  <c r="AM8" i="24"/>
  <c r="AL8" i="24"/>
  <c r="AJ8" i="24"/>
  <c r="AO7" i="24"/>
  <c r="AN7" i="24"/>
  <c r="AM7" i="24"/>
  <c r="AL7" i="24"/>
  <c r="AJ7" i="24"/>
  <c r="AO6" i="24"/>
  <c r="AN6" i="24"/>
  <c r="AM6" i="24"/>
  <c r="AL6" i="24"/>
  <c r="AJ6" i="24"/>
  <c r="AO5" i="24"/>
  <c r="AN5" i="24"/>
  <c r="AM5" i="24"/>
  <c r="AL5" i="24"/>
  <c r="AJ5" i="24"/>
  <c r="AO4" i="24"/>
  <c r="AN4" i="24"/>
  <c r="AM4" i="24"/>
  <c r="AL4" i="24"/>
  <c r="AJ4" i="24"/>
  <c r="C23" i="25" s="1"/>
  <c r="AO3" i="24"/>
  <c r="AN3" i="24"/>
  <c r="AM3" i="24"/>
  <c r="AL3" i="24"/>
  <c r="AJ3" i="24"/>
  <c r="C27" i="25" s="1"/>
  <c r="AO2" i="24"/>
  <c r="AN2" i="24"/>
  <c r="AM2" i="24"/>
  <c r="AL2" i="24"/>
  <c r="AJ2" i="24"/>
  <c r="C5" i="25" s="1"/>
  <c r="AK1" i="24"/>
  <c r="C34" i="22"/>
  <c r="C31" i="22"/>
  <c r="N26" i="22"/>
  <c r="L26" i="22"/>
  <c r="I26" i="22"/>
  <c r="G26" i="22"/>
  <c r="N25" i="22"/>
  <c r="L25" i="22"/>
  <c r="I25" i="22"/>
  <c r="G25" i="22"/>
  <c r="N24" i="22"/>
  <c r="L24" i="22"/>
  <c r="I24" i="22"/>
  <c r="G24" i="22"/>
  <c r="N23" i="22"/>
  <c r="L23" i="22"/>
  <c r="I23" i="22"/>
  <c r="G23" i="22"/>
  <c r="N20" i="22"/>
  <c r="L20" i="22"/>
  <c r="I20" i="22"/>
  <c r="G20" i="22"/>
  <c r="N19" i="22"/>
  <c r="L19" i="22"/>
  <c r="I19" i="22"/>
  <c r="G19" i="22"/>
  <c r="N18" i="22"/>
  <c r="L18" i="22"/>
  <c r="I18" i="22"/>
  <c r="G18" i="22"/>
  <c r="N17" i="22"/>
  <c r="L17" i="22"/>
  <c r="I17" i="22"/>
  <c r="G17" i="22"/>
  <c r="N14" i="22"/>
  <c r="L14" i="22"/>
  <c r="I14" i="22"/>
  <c r="G14" i="22"/>
  <c r="N13" i="22"/>
  <c r="L13" i="22"/>
  <c r="I13" i="22"/>
  <c r="G13" i="22"/>
  <c r="N12" i="22"/>
  <c r="L12" i="22"/>
  <c r="I12" i="22"/>
  <c r="G12" i="22"/>
  <c r="N11" i="22"/>
  <c r="L11" i="22"/>
  <c r="I11" i="22"/>
  <c r="G11" i="22"/>
  <c r="N8" i="22"/>
  <c r="L8" i="22"/>
  <c r="I8" i="22"/>
  <c r="G8" i="22"/>
  <c r="N7" i="22"/>
  <c r="L7" i="22"/>
  <c r="I7" i="22"/>
  <c r="G7" i="22"/>
  <c r="N6" i="22"/>
  <c r="L6" i="22"/>
  <c r="I6" i="22"/>
  <c r="G6" i="22"/>
  <c r="N5" i="22"/>
  <c r="L5" i="22"/>
  <c r="I5" i="22"/>
  <c r="G5" i="22"/>
  <c r="AO102" i="21"/>
  <c r="AN102" i="21"/>
  <c r="AM102" i="21"/>
  <c r="AL102" i="21"/>
  <c r="AO101" i="21"/>
  <c r="AN101" i="21"/>
  <c r="AM101" i="21"/>
  <c r="AL101" i="21"/>
  <c r="AO100" i="21"/>
  <c r="AN100" i="21"/>
  <c r="AM100" i="21"/>
  <c r="AL100" i="21"/>
  <c r="AO99" i="21"/>
  <c r="AN99" i="21"/>
  <c r="AM99" i="21"/>
  <c r="AL99" i="21"/>
  <c r="AO98" i="21"/>
  <c r="AN98" i="21"/>
  <c r="AM98" i="21"/>
  <c r="AL98" i="21"/>
  <c r="AO97" i="21"/>
  <c r="AN97" i="21"/>
  <c r="AM97" i="21"/>
  <c r="AL97" i="21"/>
  <c r="AO96" i="21"/>
  <c r="AN96" i="21"/>
  <c r="AM96" i="21"/>
  <c r="AL96" i="21"/>
  <c r="AO95" i="21"/>
  <c r="AN95" i="21"/>
  <c r="AM95" i="21"/>
  <c r="AL95" i="21"/>
  <c r="AO94" i="21"/>
  <c r="AN94" i="21"/>
  <c r="AM94" i="21"/>
  <c r="AL94" i="21"/>
  <c r="AO93" i="21"/>
  <c r="AN93" i="21"/>
  <c r="AM93" i="21"/>
  <c r="AL93" i="21"/>
  <c r="AO92" i="21"/>
  <c r="AN92" i="21"/>
  <c r="AM92" i="21"/>
  <c r="AL92" i="21"/>
  <c r="AO91" i="21"/>
  <c r="AN91" i="21"/>
  <c r="AM91" i="21"/>
  <c r="AL91" i="21"/>
  <c r="AO90" i="21"/>
  <c r="AN90" i="21"/>
  <c r="AM90" i="21"/>
  <c r="AL90" i="21"/>
  <c r="AO89" i="21"/>
  <c r="AN89" i="21"/>
  <c r="AM89" i="21"/>
  <c r="AL89" i="21"/>
  <c r="AO88" i="21"/>
  <c r="AN88" i="21"/>
  <c r="AM88" i="21"/>
  <c r="AL88" i="21"/>
  <c r="AO87" i="21"/>
  <c r="AN87" i="21"/>
  <c r="AM87" i="21"/>
  <c r="AL87" i="21"/>
  <c r="AO86" i="21"/>
  <c r="AN86" i="21"/>
  <c r="AM86" i="21"/>
  <c r="AL86" i="21"/>
  <c r="AO85" i="21"/>
  <c r="AN85" i="21"/>
  <c r="AM85" i="21"/>
  <c r="AL85" i="21"/>
  <c r="AO84" i="21"/>
  <c r="AN84" i="21"/>
  <c r="AM84" i="21"/>
  <c r="AL84" i="21"/>
  <c r="AO83" i="21"/>
  <c r="AN83" i="21"/>
  <c r="AM83" i="21"/>
  <c r="AL83" i="21"/>
  <c r="AO82" i="21"/>
  <c r="AN82" i="21"/>
  <c r="AM82" i="21"/>
  <c r="AL82" i="21"/>
  <c r="AO81" i="21"/>
  <c r="AN81" i="21"/>
  <c r="AM81" i="21"/>
  <c r="AL81" i="21"/>
  <c r="AO80" i="21"/>
  <c r="AN80" i="21"/>
  <c r="AM80" i="21"/>
  <c r="AL80" i="21"/>
  <c r="AO79" i="21"/>
  <c r="AN79" i="21"/>
  <c r="AM79" i="21"/>
  <c r="AL79" i="21"/>
  <c r="AO78" i="21"/>
  <c r="AN78" i="21"/>
  <c r="AM78" i="21"/>
  <c r="AL78" i="21"/>
  <c r="AO77" i="21"/>
  <c r="AN77" i="21"/>
  <c r="AM77" i="21"/>
  <c r="AL77" i="21"/>
  <c r="AO76" i="21"/>
  <c r="AN76" i="21"/>
  <c r="AM76" i="21"/>
  <c r="AL76" i="21"/>
  <c r="AO75" i="21"/>
  <c r="AN75" i="21"/>
  <c r="AM75" i="21"/>
  <c r="AL75" i="21"/>
  <c r="AO74" i="21"/>
  <c r="AN74" i="21"/>
  <c r="AM74" i="21"/>
  <c r="AL74" i="21"/>
  <c r="AO73" i="21"/>
  <c r="AN73" i="21"/>
  <c r="AM73" i="21"/>
  <c r="AL73" i="21"/>
  <c r="AO72" i="21"/>
  <c r="AN72" i="21"/>
  <c r="AM72" i="21"/>
  <c r="AL72" i="21"/>
  <c r="AO71" i="21"/>
  <c r="AN71" i="21"/>
  <c r="AM71" i="21"/>
  <c r="AL71" i="21"/>
  <c r="AO70" i="21"/>
  <c r="AN70" i="21"/>
  <c r="AM70" i="21"/>
  <c r="AL70" i="21"/>
  <c r="AO69" i="21"/>
  <c r="AN69" i="21"/>
  <c r="AM69" i="21"/>
  <c r="AL69" i="21"/>
  <c r="AO68" i="21"/>
  <c r="AN68" i="21"/>
  <c r="AM68" i="21"/>
  <c r="AL68" i="21"/>
  <c r="AO67" i="21"/>
  <c r="AN67" i="21"/>
  <c r="AM67" i="21"/>
  <c r="AL67" i="21"/>
  <c r="AO66" i="21"/>
  <c r="AN66" i="21"/>
  <c r="AM66" i="21"/>
  <c r="AL66" i="21"/>
  <c r="AO65" i="21"/>
  <c r="AN65" i="21"/>
  <c r="AM65" i="21"/>
  <c r="AL65" i="21"/>
  <c r="AO64" i="21"/>
  <c r="AN64" i="21"/>
  <c r="AM64" i="21"/>
  <c r="AL64" i="21"/>
  <c r="AO63" i="21"/>
  <c r="AN63" i="21"/>
  <c r="AM63" i="21"/>
  <c r="AL63" i="21"/>
  <c r="AO62" i="21"/>
  <c r="AN62" i="21"/>
  <c r="AM62" i="21"/>
  <c r="AL62" i="21"/>
  <c r="AO61" i="21"/>
  <c r="AN61" i="21"/>
  <c r="AM61" i="21"/>
  <c r="AL61" i="21"/>
  <c r="AO60" i="21"/>
  <c r="AN60" i="21"/>
  <c r="AM60" i="21"/>
  <c r="AL60" i="21"/>
  <c r="AO59" i="21"/>
  <c r="AN59" i="21"/>
  <c r="AM59" i="21"/>
  <c r="AL59" i="21"/>
  <c r="AO58" i="21"/>
  <c r="AN58" i="21"/>
  <c r="AM58" i="21"/>
  <c r="AL58" i="21"/>
  <c r="AO57" i="21"/>
  <c r="AN57" i="21"/>
  <c r="AM57" i="21"/>
  <c r="AL57" i="21"/>
  <c r="AO56" i="21"/>
  <c r="AN56" i="21"/>
  <c r="AM56" i="21"/>
  <c r="AL56" i="21"/>
  <c r="AO55" i="21"/>
  <c r="AN55" i="21"/>
  <c r="AM55" i="21"/>
  <c r="AL55" i="21"/>
  <c r="AO54" i="21"/>
  <c r="AN54" i="21"/>
  <c r="AM54" i="21"/>
  <c r="AL54" i="21"/>
  <c r="AO53" i="21"/>
  <c r="AN53" i="21"/>
  <c r="AM53" i="21"/>
  <c r="AL53" i="21"/>
  <c r="AO52" i="21"/>
  <c r="AN52" i="21"/>
  <c r="AM52" i="21"/>
  <c r="AL52" i="21"/>
  <c r="AO51" i="21"/>
  <c r="AN51" i="21"/>
  <c r="AM51" i="21"/>
  <c r="AL51" i="21"/>
  <c r="AI33" i="21"/>
  <c r="AI106" i="21" s="1"/>
  <c r="AH33" i="21"/>
  <c r="AH106" i="21" s="1"/>
  <c r="AG33" i="21"/>
  <c r="AG106" i="21" s="1"/>
  <c r="AF33" i="21"/>
  <c r="AF106" i="21" s="1"/>
  <c r="AE33" i="21"/>
  <c r="AE106" i="21" s="1"/>
  <c r="AD33" i="21"/>
  <c r="AD106" i="21" s="1"/>
  <c r="AC33" i="21"/>
  <c r="AC106" i="21" s="1"/>
  <c r="AB33" i="21"/>
  <c r="AB106" i="21" s="1"/>
  <c r="AA33" i="21"/>
  <c r="AA106" i="21" s="1"/>
  <c r="Z33" i="21"/>
  <c r="Z106" i="21" s="1"/>
  <c r="Y33" i="21"/>
  <c r="Y106" i="21" s="1"/>
  <c r="X33" i="21"/>
  <c r="X106" i="21" s="1"/>
  <c r="W33" i="21"/>
  <c r="W106" i="21" s="1"/>
  <c r="V33" i="21"/>
  <c r="V106" i="21" s="1"/>
  <c r="U33" i="21"/>
  <c r="U106" i="21" s="1"/>
  <c r="T33" i="21"/>
  <c r="T106" i="21" s="1"/>
  <c r="S33" i="21"/>
  <c r="S106" i="21" s="1"/>
  <c r="R33" i="21"/>
  <c r="R106" i="21" s="1"/>
  <c r="Q33" i="21"/>
  <c r="Q106" i="21" s="1"/>
  <c r="P33" i="21"/>
  <c r="P106" i="21" s="1"/>
  <c r="O33" i="21"/>
  <c r="O106" i="21" s="1"/>
  <c r="N33" i="21"/>
  <c r="N106" i="21" s="1"/>
  <c r="M33" i="21"/>
  <c r="M106" i="21" s="1"/>
  <c r="L33" i="21"/>
  <c r="L106" i="21" s="1"/>
  <c r="K33" i="21"/>
  <c r="K106" i="21" s="1"/>
  <c r="J33" i="21"/>
  <c r="J106" i="21" s="1"/>
  <c r="I33" i="21"/>
  <c r="I106" i="21" s="1"/>
  <c r="H33" i="21"/>
  <c r="H106" i="21" s="1"/>
  <c r="G33" i="21"/>
  <c r="G106" i="21" s="1"/>
  <c r="F33" i="21"/>
  <c r="F106" i="21" s="1"/>
  <c r="E33" i="21"/>
  <c r="E106" i="21" s="1"/>
  <c r="AI32" i="21"/>
  <c r="AI105" i="21" s="1"/>
  <c r="AH32" i="21"/>
  <c r="AH105" i="21" s="1"/>
  <c r="AG32" i="21"/>
  <c r="AG105" i="21" s="1"/>
  <c r="AF32" i="21"/>
  <c r="AF105" i="21" s="1"/>
  <c r="AE32" i="21"/>
  <c r="AE105" i="21" s="1"/>
  <c r="AD32" i="21"/>
  <c r="AD105" i="21" s="1"/>
  <c r="AC32" i="21"/>
  <c r="AC105" i="21" s="1"/>
  <c r="AB32" i="21"/>
  <c r="AB105" i="21" s="1"/>
  <c r="AA32" i="21"/>
  <c r="AA105" i="21" s="1"/>
  <c r="Z32" i="21"/>
  <c r="Z105" i="21" s="1"/>
  <c r="Y32" i="21"/>
  <c r="Y105" i="21" s="1"/>
  <c r="X32" i="21"/>
  <c r="X105" i="21" s="1"/>
  <c r="W32" i="21"/>
  <c r="W105" i="21" s="1"/>
  <c r="V32" i="21"/>
  <c r="V105" i="21" s="1"/>
  <c r="U32" i="21"/>
  <c r="U105" i="21" s="1"/>
  <c r="T32" i="21"/>
  <c r="T105" i="21" s="1"/>
  <c r="S32" i="21"/>
  <c r="S105" i="21" s="1"/>
  <c r="R32" i="21"/>
  <c r="R105" i="21" s="1"/>
  <c r="Q32" i="21"/>
  <c r="Q105" i="21" s="1"/>
  <c r="P32" i="21"/>
  <c r="P105" i="21" s="1"/>
  <c r="O32" i="21"/>
  <c r="O105" i="21" s="1"/>
  <c r="N32" i="21"/>
  <c r="N105" i="21" s="1"/>
  <c r="M32" i="21"/>
  <c r="M105" i="21" s="1"/>
  <c r="L32" i="21"/>
  <c r="L105" i="21" s="1"/>
  <c r="K32" i="21"/>
  <c r="K105" i="21" s="1"/>
  <c r="J32" i="21"/>
  <c r="J105" i="21" s="1"/>
  <c r="I32" i="21"/>
  <c r="I105" i="21" s="1"/>
  <c r="H32" i="21"/>
  <c r="H105" i="21" s="1"/>
  <c r="G32" i="21"/>
  <c r="G105" i="21" s="1"/>
  <c r="F32" i="21"/>
  <c r="F105" i="21" s="1"/>
  <c r="E32" i="21"/>
  <c r="E105" i="21" s="1"/>
  <c r="AI31" i="21"/>
  <c r="AH31" i="21"/>
  <c r="AH104" i="21" s="1"/>
  <c r="AH34" i="21" s="1"/>
  <c r="AH107" i="21" s="1"/>
  <c r="AG31" i="21"/>
  <c r="AF31" i="21"/>
  <c r="AF104" i="21" s="1"/>
  <c r="AE31" i="21"/>
  <c r="AD31" i="21"/>
  <c r="AD104" i="21" s="1"/>
  <c r="AD34" i="21" s="1"/>
  <c r="AD107" i="21" s="1"/>
  <c r="AC31" i="21"/>
  <c r="AB31" i="21"/>
  <c r="AB104" i="21" s="1"/>
  <c r="AA31" i="21"/>
  <c r="Z31" i="21"/>
  <c r="Z104" i="21" s="1"/>
  <c r="Z34" i="21" s="1"/>
  <c r="Z107" i="21" s="1"/>
  <c r="Y31" i="21"/>
  <c r="X31" i="21"/>
  <c r="X104" i="21" s="1"/>
  <c r="W31" i="21"/>
  <c r="V31" i="21"/>
  <c r="V104" i="21" s="1"/>
  <c r="V34" i="21" s="1"/>
  <c r="V107" i="21" s="1"/>
  <c r="U31" i="21"/>
  <c r="T31" i="21"/>
  <c r="T104" i="21" s="1"/>
  <c r="S31" i="21"/>
  <c r="R31" i="21"/>
  <c r="R104" i="21" s="1"/>
  <c r="R34" i="21" s="1"/>
  <c r="R107" i="21" s="1"/>
  <c r="Q31" i="21"/>
  <c r="P31" i="21"/>
  <c r="P104" i="21" s="1"/>
  <c r="O31" i="21"/>
  <c r="N31" i="21"/>
  <c r="N104" i="21" s="1"/>
  <c r="N34" i="21" s="1"/>
  <c r="N107" i="21" s="1"/>
  <c r="M31" i="21"/>
  <c r="L31" i="21"/>
  <c r="L104" i="21" s="1"/>
  <c r="K31" i="21"/>
  <c r="J31" i="21"/>
  <c r="J104" i="21" s="1"/>
  <c r="J34" i="21" s="1"/>
  <c r="J107" i="21" s="1"/>
  <c r="I31" i="21"/>
  <c r="H31" i="21"/>
  <c r="H104" i="21" s="1"/>
  <c r="G31" i="21"/>
  <c r="F31" i="21"/>
  <c r="F104" i="21" s="1"/>
  <c r="F34" i="21" s="1"/>
  <c r="F107" i="21" s="1"/>
  <c r="E31" i="21"/>
  <c r="AO29" i="21"/>
  <c r="AN29" i="21"/>
  <c r="AM29" i="21"/>
  <c r="AL29" i="21"/>
  <c r="AJ29" i="21"/>
  <c r="C8" i="22" s="1"/>
  <c r="AO28" i="21"/>
  <c r="AN28" i="21"/>
  <c r="AM28" i="21"/>
  <c r="AL28" i="21"/>
  <c r="AJ28" i="21"/>
  <c r="AO27" i="21"/>
  <c r="AN27" i="21"/>
  <c r="AM27" i="21"/>
  <c r="AL27" i="21"/>
  <c r="AJ27" i="21"/>
  <c r="AO26" i="21"/>
  <c r="AN26" i="21"/>
  <c r="AM26" i="21"/>
  <c r="AL26" i="21"/>
  <c r="AJ26" i="21"/>
  <c r="C22" i="22" s="1"/>
  <c r="AO25" i="21"/>
  <c r="AN25" i="21"/>
  <c r="AM25" i="21"/>
  <c r="AL25" i="21"/>
  <c r="AJ25" i="21"/>
  <c r="C27" i="22" s="1"/>
  <c r="AO24" i="21"/>
  <c r="AN24" i="21"/>
  <c r="AM24" i="21"/>
  <c r="AL24" i="21"/>
  <c r="AJ24" i="21"/>
  <c r="C29" i="22" s="1"/>
  <c r="D24" i="21"/>
  <c r="AO23" i="21"/>
  <c r="AN23" i="21"/>
  <c r="AM23" i="21"/>
  <c r="AL23" i="21"/>
  <c r="AJ23" i="21"/>
  <c r="AO22" i="21"/>
  <c r="AN22" i="21"/>
  <c r="AM22" i="21"/>
  <c r="AL22" i="21"/>
  <c r="AJ22" i="21"/>
  <c r="C23" i="22" s="1"/>
  <c r="D22" i="21"/>
  <c r="AO21" i="21"/>
  <c r="AN21" i="21"/>
  <c r="AM21" i="21"/>
  <c r="AL21" i="21"/>
  <c r="AJ21" i="21"/>
  <c r="C14" i="22" s="1"/>
  <c r="D21" i="21"/>
  <c r="AO20" i="21"/>
  <c r="AN20" i="21"/>
  <c r="AM20" i="21"/>
  <c r="AL20" i="21"/>
  <c r="AJ20" i="21"/>
  <c r="C12" i="22" s="1"/>
  <c r="AO19" i="21"/>
  <c r="AN19" i="21"/>
  <c r="AM19" i="21"/>
  <c r="AL19" i="21"/>
  <c r="AJ19" i="21"/>
  <c r="AO18" i="21"/>
  <c r="AN18" i="21"/>
  <c r="AM18" i="21"/>
  <c r="AL18" i="21"/>
  <c r="AJ18" i="21"/>
  <c r="AO17" i="21"/>
  <c r="AN17" i="21"/>
  <c r="AM17" i="21"/>
  <c r="AL17" i="21"/>
  <c r="AJ17" i="21"/>
  <c r="C19" i="22" s="1"/>
  <c r="AO16" i="21"/>
  <c r="AN16" i="21"/>
  <c r="AM16" i="21"/>
  <c r="AL16" i="21"/>
  <c r="AJ16" i="21"/>
  <c r="AP15" i="21"/>
  <c r="AO15" i="21"/>
  <c r="AN15" i="21"/>
  <c r="AM15" i="21"/>
  <c r="AL15" i="21"/>
  <c r="AJ15" i="21"/>
  <c r="C9" i="22" s="1"/>
  <c r="D15" i="21"/>
  <c r="AO14" i="21"/>
  <c r="AN14" i="21"/>
  <c r="AM14" i="21"/>
  <c r="AL14" i="21"/>
  <c r="AJ14" i="21"/>
  <c r="C24" i="22" s="1"/>
  <c r="AO13" i="21"/>
  <c r="AN13" i="21"/>
  <c r="AM13" i="21"/>
  <c r="AL13" i="21"/>
  <c r="AJ13" i="21"/>
  <c r="D13" i="21"/>
  <c r="AO12" i="21"/>
  <c r="AN12" i="21"/>
  <c r="AM12" i="21"/>
  <c r="AL12" i="21"/>
  <c r="AJ12" i="21"/>
  <c r="D12" i="21"/>
  <c r="AO11" i="21"/>
  <c r="AN11" i="21"/>
  <c r="AM11" i="21"/>
  <c r="AL11" i="21"/>
  <c r="AJ11" i="21"/>
  <c r="C32" i="22" s="1"/>
  <c r="AO10" i="21"/>
  <c r="AN10" i="21"/>
  <c r="AM10" i="21"/>
  <c r="AL10" i="21"/>
  <c r="AJ10" i="21"/>
  <c r="C10" i="22" s="1"/>
  <c r="AO9" i="21"/>
  <c r="AN9" i="21"/>
  <c r="AM9" i="21"/>
  <c r="AL9" i="21"/>
  <c r="AJ9" i="21"/>
  <c r="D9" i="21"/>
  <c r="AO8" i="21"/>
  <c r="AN8" i="21"/>
  <c r="AM8" i="21"/>
  <c r="AL8" i="21"/>
  <c r="AJ8" i="21"/>
  <c r="C4" i="22" s="1"/>
  <c r="D8" i="21"/>
  <c r="AO7" i="21"/>
  <c r="AN7" i="21"/>
  <c r="AM7" i="21"/>
  <c r="AL7" i="21"/>
  <c r="AJ7" i="21"/>
  <c r="AO6" i="21"/>
  <c r="AN6" i="21"/>
  <c r="AM6" i="21"/>
  <c r="AL6" i="21"/>
  <c r="AJ6" i="21"/>
  <c r="C11" i="22" s="1"/>
  <c r="D6" i="21"/>
  <c r="AO5" i="21"/>
  <c r="AN5" i="21"/>
  <c r="AM5" i="21"/>
  <c r="AL5" i="21"/>
  <c r="AJ5" i="21"/>
  <c r="D5" i="21"/>
  <c r="AO4" i="21"/>
  <c r="AN4" i="21"/>
  <c r="AM4" i="21"/>
  <c r="AL4" i="21"/>
  <c r="AJ4" i="21"/>
  <c r="D4" i="21"/>
  <c r="AO3" i="21"/>
  <c r="AN3" i="21"/>
  <c r="AM3" i="21"/>
  <c r="AL3" i="21"/>
  <c r="AJ3" i="21"/>
  <c r="AO2" i="21"/>
  <c r="AN2" i="21"/>
  <c r="AM2" i="21"/>
  <c r="AL2" i="21"/>
  <c r="AJ2" i="21"/>
  <c r="C21" i="22" s="1"/>
  <c r="D2" i="21"/>
  <c r="AK1" i="21"/>
  <c r="C34" i="19"/>
  <c r="N26" i="19"/>
  <c r="L26" i="19"/>
  <c r="I26" i="19"/>
  <c r="G26" i="19"/>
  <c r="N25" i="19"/>
  <c r="L25" i="19"/>
  <c r="I25" i="19"/>
  <c r="G25" i="19"/>
  <c r="N24" i="19"/>
  <c r="L24" i="19"/>
  <c r="I24" i="19"/>
  <c r="G24" i="19"/>
  <c r="N23" i="19"/>
  <c r="L23" i="19"/>
  <c r="I23" i="19"/>
  <c r="G23" i="19"/>
  <c r="N20" i="19"/>
  <c r="L20" i="19"/>
  <c r="I20" i="19"/>
  <c r="G20" i="19"/>
  <c r="N19" i="19"/>
  <c r="L19" i="19"/>
  <c r="I19" i="19"/>
  <c r="G19" i="19"/>
  <c r="N18" i="19"/>
  <c r="L18" i="19"/>
  <c r="I18" i="19"/>
  <c r="G18" i="19"/>
  <c r="N17" i="19"/>
  <c r="L17" i="19"/>
  <c r="I17" i="19"/>
  <c r="G17" i="19"/>
  <c r="N14" i="19"/>
  <c r="L14" i="19"/>
  <c r="I14" i="19"/>
  <c r="G14" i="19"/>
  <c r="N13" i="19"/>
  <c r="L13" i="19"/>
  <c r="I13" i="19"/>
  <c r="G13" i="19"/>
  <c r="N12" i="19"/>
  <c r="L12" i="19"/>
  <c r="I12" i="19"/>
  <c r="G12" i="19"/>
  <c r="N11" i="19"/>
  <c r="L11" i="19"/>
  <c r="I11" i="19"/>
  <c r="G11" i="19"/>
  <c r="N8" i="19"/>
  <c r="L8" i="19"/>
  <c r="I8" i="19"/>
  <c r="G8" i="19"/>
  <c r="N7" i="19"/>
  <c r="L7" i="19"/>
  <c r="I7" i="19"/>
  <c r="G7" i="19"/>
  <c r="N6" i="19"/>
  <c r="L6" i="19"/>
  <c r="I6" i="19"/>
  <c r="G6" i="19"/>
  <c r="N5" i="19"/>
  <c r="L5" i="19"/>
  <c r="I5" i="19"/>
  <c r="G5" i="19"/>
  <c r="AO100" i="18"/>
  <c r="AN100" i="18"/>
  <c r="AM100" i="18"/>
  <c r="AL100" i="18"/>
  <c r="AO99" i="18"/>
  <c r="AN99" i="18"/>
  <c r="AM99" i="18"/>
  <c r="AL99" i="18"/>
  <c r="AO98" i="18"/>
  <c r="AN98" i="18"/>
  <c r="AM98" i="18"/>
  <c r="AL98" i="18"/>
  <c r="AO97" i="18"/>
  <c r="AN97" i="18"/>
  <c r="AM97" i="18"/>
  <c r="AL97" i="18"/>
  <c r="AO96" i="18"/>
  <c r="AN96" i="18"/>
  <c r="AM96" i="18"/>
  <c r="AL96" i="18"/>
  <c r="AO95" i="18"/>
  <c r="AN95" i="18"/>
  <c r="AM95" i="18"/>
  <c r="AL95" i="18"/>
  <c r="AO94" i="18"/>
  <c r="AN94" i="18"/>
  <c r="AM94" i="18"/>
  <c r="AL94" i="18"/>
  <c r="AO93" i="18"/>
  <c r="AN93" i="18"/>
  <c r="AM93" i="18"/>
  <c r="AL93" i="18"/>
  <c r="AO92" i="18"/>
  <c r="AN92" i="18"/>
  <c r="AM92" i="18"/>
  <c r="AL92" i="18"/>
  <c r="AO91" i="18"/>
  <c r="AN91" i="18"/>
  <c r="AM91" i="18"/>
  <c r="AL91" i="18"/>
  <c r="AO90" i="18"/>
  <c r="AN90" i="18"/>
  <c r="AM90" i="18"/>
  <c r="AL90" i="18"/>
  <c r="AO89" i="18"/>
  <c r="AN89" i="18"/>
  <c r="AM89" i="18"/>
  <c r="AL89" i="18"/>
  <c r="AO88" i="18"/>
  <c r="AN88" i="18"/>
  <c r="AM88" i="18"/>
  <c r="AL88" i="18"/>
  <c r="AO87" i="18"/>
  <c r="AN87" i="18"/>
  <c r="AM87" i="18"/>
  <c r="AL87" i="18"/>
  <c r="AO86" i="18"/>
  <c r="AN86" i="18"/>
  <c r="AM86" i="18"/>
  <c r="AL86" i="18"/>
  <c r="AO85" i="18"/>
  <c r="AN85" i="18"/>
  <c r="AM85" i="18"/>
  <c r="AL85" i="18"/>
  <c r="AO84" i="18"/>
  <c r="AN84" i="18"/>
  <c r="AM84" i="18"/>
  <c r="AL84" i="18"/>
  <c r="AO83" i="18"/>
  <c r="AN83" i="18"/>
  <c r="AM83" i="18"/>
  <c r="AL83" i="18"/>
  <c r="AO82" i="18"/>
  <c r="AN82" i="18"/>
  <c r="AM82" i="18"/>
  <c r="AL82" i="18"/>
  <c r="AO81" i="18"/>
  <c r="AN81" i="18"/>
  <c r="AM81" i="18"/>
  <c r="AL81" i="18"/>
  <c r="AO80" i="18"/>
  <c r="AN80" i="18"/>
  <c r="AM80" i="18"/>
  <c r="AL80" i="18"/>
  <c r="AO79" i="18"/>
  <c r="AN79" i="18"/>
  <c r="AM79" i="18"/>
  <c r="AL79" i="18"/>
  <c r="AO78" i="18"/>
  <c r="AN78" i="18"/>
  <c r="AM78" i="18"/>
  <c r="AL78" i="18"/>
  <c r="AO77" i="18"/>
  <c r="AN77" i="18"/>
  <c r="AM77" i="18"/>
  <c r="AL77" i="18"/>
  <c r="AO76" i="18"/>
  <c r="AN76" i="18"/>
  <c r="AK76" i="18" s="1"/>
  <c r="AM76" i="18"/>
  <c r="AL76" i="18"/>
  <c r="AO75" i="18"/>
  <c r="AN75" i="18"/>
  <c r="AM75" i="18"/>
  <c r="AL75" i="18"/>
  <c r="AO74" i="18"/>
  <c r="AN74" i="18"/>
  <c r="AM74" i="18"/>
  <c r="AL74" i="18"/>
  <c r="AK74" i="18" s="1"/>
  <c r="AO73" i="18"/>
  <c r="AN73" i="18"/>
  <c r="AM73" i="18"/>
  <c r="AL73" i="18"/>
  <c r="AO72" i="18"/>
  <c r="AN72" i="18"/>
  <c r="AM72" i="18"/>
  <c r="AL72" i="18"/>
  <c r="AO71" i="18"/>
  <c r="AN71" i="18"/>
  <c r="AM71" i="18"/>
  <c r="AL71" i="18"/>
  <c r="AO70" i="18"/>
  <c r="AN70" i="18"/>
  <c r="AM70" i="18"/>
  <c r="AL70" i="18"/>
  <c r="AO69" i="18"/>
  <c r="AN69" i="18"/>
  <c r="AM69" i="18"/>
  <c r="AL69" i="18"/>
  <c r="AO68" i="18"/>
  <c r="AN68" i="18"/>
  <c r="AM68" i="18"/>
  <c r="AL68" i="18"/>
  <c r="AK68" i="18" s="1"/>
  <c r="AO67" i="18"/>
  <c r="AN67" i="18"/>
  <c r="AM67" i="18"/>
  <c r="AL67" i="18"/>
  <c r="AO66" i="18"/>
  <c r="AN66" i="18"/>
  <c r="AM66" i="18"/>
  <c r="AL66" i="18"/>
  <c r="AO65" i="18"/>
  <c r="AN65" i="18"/>
  <c r="AM65" i="18"/>
  <c r="AL65" i="18"/>
  <c r="AO64" i="18"/>
  <c r="AN64" i="18"/>
  <c r="AM64" i="18"/>
  <c r="AL64" i="18"/>
  <c r="AO63" i="18"/>
  <c r="AN63" i="18"/>
  <c r="AM63" i="18"/>
  <c r="AL63" i="18"/>
  <c r="AO62" i="18"/>
  <c r="AN62" i="18"/>
  <c r="AM62" i="18"/>
  <c r="AL62" i="18"/>
  <c r="AO61" i="18"/>
  <c r="AN61" i="18"/>
  <c r="AM61" i="18"/>
  <c r="AL61" i="18"/>
  <c r="AO60" i="18"/>
  <c r="AN60" i="18"/>
  <c r="AM60" i="18"/>
  <c r="AL60" i="18"/>
  <c r="AO59" i="18"/>
  <c r="AN59" i="18"/>
  <c r="AM59" i="18"/>
  <c r="AL59" i="18"/>
  <c r="AO58" i="18"/>
  <c r="AN58" i="18"/>
  <c r="AM58" i="18"/>
  <c r="AL58" i="18"/>
  <c r="AO57" i="18"/>
  <c r="AN57" i="18"/>
  <c r="AM57" i="18"/>
  <c r="AL57" i="18"/>
  <c r="AO56" i="18"/>
  <c r="AN56" i="18"/>
  <c r="AM56" i="18"/>
  <c r="AL56" i="18"/>
  <c r="AO55" i="18"/>
  <c r="AN55" i="18"/>
  <c r="AM55" i="18"/>
  <c r="AL55" i="18"/>
  <c r="AO54" i="18"/>
  <c r="AN54" i="18"/>
  <c r="AM54" i="18"/>
  <c r="AL54" i="18"/>
  <c r="AO53" i="18"/>
  <c r="AN53" i="18"/>
  <c r="AM53" i="18"/>
  <c r="AL53" i="18"/>
  <c r="AO52" i="18"/>
  <c r="AN52" i="18"/>
  <c r="AM52" i="18"/>
  <c r="AL52" i="18"/>
  <c r="AO51" i="18"/>
  <c r="AN51" i="18"/>
  <c r="AM51" i="18"/>
  <c r="AL51" i="18"/>
  <c r="AO50" i="18"/>
  <c r="AN50" i="18"/>
  <c r="AM50" i="18"/>
  <c r="AL50" i="18"/>
  <c r="AO49" i="18"/>
  <c r="AN49" i="18"/>
  <c r="AM49" i="18"/>
  <c r="AL49" i="18"/>
  <c r="AI34" i="18"/>
  <c r="AI104" i="18" s="1"/>
  <c r="AH34" i="18"/>
  <c r="AH104" i="18" s="1"/>
  <c r="AG34" i="18"/>
  <c r="AG104" i="18" s="1"/>
  <c r="AF34" i="18"/>
  <c r="AF104" i="18" s="1"/>
  <c r="AE34" i="18"/>
  <c r="AE104" i="18" s="1"/>
  <c r="AD34" i="18"/>
  <c r="AD104" i="18" s="1"/>
  <c r="AC34" i="18"/>
  <c r="AC104" i="18" s="1"/>
  <c r="AB34" i="18"/>
  <c r="AB104" i="18" s="1"/>
  <c r="AA34" i="18"/>
  <c r="AA104" i="18" s="1"/>
  <c r="Z34" i="18"/>
  <c r="Z104" i="18" s="1"/>
  <c r="Y34" i="18"/>
  <c r="Y104" i="18" s="1"/>
  <c r="X34" i="18"/>
  <c r="X104" i="18" s="1"/>
  <c r="W34" i="18"/>
  <c r="W104" i="18" s="1"/>
  <c r="V34" i="18"/>
  <c r="V104" i="18" s="1"/>
  <c r="U34" i="18"/>
  <c r="U104" i="18" s="1"/>
  <c r="T34" i="18"/>
  <c r="T104" i="18" s="1"/>
  <c r="S34" i="18"/>
  <c r="S104" i="18" s="1"/>
  <c r="R34" i="18"/>
  <c r="R104" i="18" s="1"/>
  <c r="Q34" i="18"/>
  <c r="Q104" i="18" s="1"/>
  <c r="P34" i="18"/>
  <c r="P104" i="18" s="1"/>
  <c r="O34" i="18"/>
  <c r="O104" i="18" s="1"/>
  <c r="N34" i="18"/>
  <c r="N104" i="18" s="1"/>
  <c r="M34" i="18"/>
  <c r="M104" i="18" s="1"/>
  <c r="L34" i="18"/>
  <c r="L104" i="18" s="1"/>
  <c r="K34" i="18"/>
  <c r="K104" i="18" s="1"/>
  <c r="J34" i="18"/>
  <c r="J104" i="18" s="1"/>
  <c r="I34" i="18"/>
  <c r="I104" i="18" s="1"/>
  <c r="H34" i="18"/>
  <c r="H104" i="18" s="1"/>
  <c r="G34" i="18"/>
  <c r="G104" i="18" s="1"/>
  <c r="F34" i="18"/>
  <c r="F104" i="18" s="1"/>
  <c r="E34" i="18"/>
  <c r="E104" i="18" s="1"/>
  <c r="AI33" i="18"/>
  <c r="AI103" i="18" s="1"/>
  <c r="AH33" i="18"/>
  <c r="AH103" i="18" s="1"/>
  <c r="AG33" i="18"/>
  <c r="AG103" i="18" s="1"/>
  <c r="AF33" i="18"/>
  <c r="AF103" i="18" s="1"/>
  <c r="AE33" i="18"/>
  <c r="AE103" i="18" s="1"/>
  <c r="AD33" i="18"/>
  <c r="AD103" i="18" s="1"/>
  <c r="AC33" i="18"/>
  <c r="AC103" i="18" s="1"/>
  <c r="AB33" i="18"/>
  <c r="AB103" i="18" s="1"/>
  <c r="AA33" i="18"/>
  <c r="AA103" i="18" s="1"/>
  <c r="Z33" i="18"/>
  <c r="Z103" i="18" s="1"/>
  <c r="Y33" i="18"/>
  <c r="Y103" i="18" s="1"/>
  <c r="X33" i="18"/>
  <c r="X103" i="18" s="1"/>
  <c r="W33" i="18"/>
  <c r="W103" i="18" s="1"/>
  <c r="V33" i="18"/>
  <c r="V103" i="18" s="1"/>
  <c r="U33" i="18"/>
  <c r="U103" i="18" s="1"/>
  <c r="T33" i="18"/>
  <c r="T103" i="18" s="1"/>
  <c r="S33" i="18"/>
  <c r="S103" i="18" s="1"/>
  <c r="R33" i="18"/>
  <c r="R103" i="18" s="1"/>
  <c r="Q33" i="18"/>
  <c r="Q103" i="18" s="1"/>
  <c r="P33" i="18"/>
  <c r="P103" i="18" s="1"/>
  <c r="O33" i="18"/>
  <c r="O103" i="18" s="1"/>
  <c r="N33" i="18"/>
  <c r="N103" i="18" s="1"/>
  <c r="M33" i="18"/>
  <c r="M103" i="18" s="1"/>
  <c r="L33" i="18"/>
  <c r="L103" i="18" s="1"/>
  <c r="K33" i="18"/>
  <c r="K103" i="18" s="1"/>
  <c r="J33" i="18"/>
  <c r="J103" i="18" s="1"/>
  <c r="I33" i="18"/>
  <c r="I103" i="18" s="1"/>
  <c r="H33" i="18"/>
  <c r="H103" i="18" s="1"/>
  <c r="G33" i="18"/>
  <c r="G103" i="18" s="1"/>
  <c r="F33" i="18"/>
  <c r="F103" i="18" s="1"/>
  <c r="E33" i="18"/>
  <c r="E103" i="18" s="1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AO30" i="18"/>
  <c r="AN30" i="18"/>
  <c r="AM30" i="18"/>
  <c r="AL30" i="18"/>
  <c r="AO29" i="18"/>
  <c r="AN29" i="18"/>
  <c r="AM29" i="18"/>
  <c r="AL29" i="18"/>
  <c r="AO28" i="18"/>
  <c r="AN28" i="18"/>
  <c r="AM28" i="18"/>
  <c r="AL28" i="18"/>
  <c r="AO27" i="18"/>
  <c r="AN27" i="18"/>
  <c r="AM27" i="18"/>
  <c r="AL27" i="18"/>
  <c r="AO26" i="18"/>
  <c r="AN26" i="18"/>
  <c r="AM26" i="18"/>
  <c r="AL26" i="18"/>
  <c r="AO25" i="18"/>
  <c r="AN25" i="18"/>
  <c r="AM25" i="18"/>
  <c r="AL25" i="18"/>
  <c r="AO24" i="18"/>
  <c r="AN24" i="18"/>
  <c r="AM24" i="18"/>
  <c r="AL24" i="18"/>
  <c r="AO23" i="18"/>
  <c r="AN23" i="18"/>
  <c r="AM23" i="18"/>
  <c r="AL23" i="18"/>
  <c r="AO22" i="18"/>
  <c r="AN22" i="18"/>
  <c r="AM22" i="18"/>
  <c r="AL22" i="18"/>
  <c r="AO21" i="18"/>
  <c r="AN21" i="18"/>
  <c r="AM21" i="18"/>
  <c r="AL21" i="18"/>
  <c r="AO20" i="18"/>
  <c r="AN20" i="18"/>
  <c r="AM20" i="18"/>
  <c r="AL20" i="18"/>
  <c r="AO19" i="18"/>
  <c r="AN19" i="18"/>
  <c r="AM19" i="18"/>
  <c r="AL19" i="18"/>
  <c r="AO18" i="18"/>
  <c r="AN18" i="18"/>
  <c r="AM18" i="18"/>
  <c r="AL18" i="18"/>
  <c r="AO17" i="18"/>
  <c r="AN17" i="18"/>
  <c r="AM17" i="18"/>
  <c r="AL17" i="18"/>
  <c r="AO16" i="18"/>
  <c r="AN16" i="18"/>
  <c r="AM16" i="18"/>
  <c r="AL16" i="18"/>
  <c r="AO15" i="18"/>
  <c r="AN15" i="18"/>
  <c r="AM15" i="18"/>
  <c r="AL15" i="18"/>
  <c r="AO14" i="18"/>
  <c r="AN14" i="18"/>
  <c r="AM14" i="18"/>
  <c r="AL14" i="18"/>
  <c r="AO13" i="18"/>
  <c r="AN13" i="18"/>
  <c r="AM13" i="18"/>
  <c r="AL13" i="18"/>
  <c r="AO12" i="18"/>
  <c r="AN12" i="18"/>
  <c r="AM12" i="18"/>
  <c r="AL12" i="18"/>
  <c r="AO11" i="18"/>
  <c r="AN11" i="18"/>
  <c r="AM11" i="18"/>
  <c r="AL11" i="18"/>
  <c r="AO10" i="18"/>
  <c r="AN10" i="18"/>
  <c r="AM10" i="18"/>
  <c r="AL10" i="18"/>
  <c r="AO9" i="18"/>
  <c r="AN9" i="18"/>
  <c r="AM9" i="18"/>
  <c r="AL9" i="18"/>
  <c r="AO8" i="18"/>
  <c r="AN8" i="18"/>
  <c r="AM8" i="18"/>
  <c r="AL8" i="18"/>
  <c r="AO7" i="18"/>
  <c r="AN7" i="18"/>
  <c r="AM7" i="18"/>
  <c r="AL7" i="18"/>
  <c r="AO6" i="18"/>
  <c r="AN6" i="18"/>
  <c r="AM6" i="18"/>
  <c r="AL6" i="18"/>
  <c r="AO5" i="18"/>
  <c r="AN5" i="18"/>
  <c r="AM5" i="18"/>
  <c r="AL5" i="18"/>
  <c r="AO4" i="18"/>
  <c r="AN4" i="18"/>
  <c r="AM4" i="18"/>
  <c r="AL4" i="18"/>
  <c r="AO3" i="18"/>
  <c r="AN3" i="18"/>
  <c r="AM3" i="18"/>
  <c r="AL3" i="18"/>
  <c r="AO2" i="18"/>
  <c r="AN2" i="18"/>
  <c r="AM2" i="18"/>
  <c r="AL2" i="18"/>
  <c r="AK1" i="18"/>
  <c r="C34" i="16"/>
  <c r="C33" i="16"/>
  <c r="C30" i="16"/>
  <c r="AU101" i="15"/>
  <c r="AP101" i="15"/>
  <c r="AO101" i="15"/>
  <c r="AN101" i="15"/>
  <c r="AM101" i="15"/>
  <c r="AL101" i="15"/>
  <c r="D101" i="15"/>
  <c r="AU100" i="15"/>
  <c r="AP100" i="15"/>
  <c r="AO100" i="15"/>
  <c r="AN100" i="15"/>
  <c r="AM100" i="15"/>
  <c r="AL100" i="15"/>
  <c r="D100" i="15"/>
  <c r="AU99" i="15"/>
  <c r="AP99" i="15"/>
  <c r="AO99" i="15"/>
  <c r="AN99" i="15"/>
  <c r="AM99" i="15"/>
  <c r="AL99" i="15"/>
  <c r="D99" i="15"/>
  <c r="AU98" i="15"/>
  <c r="AP98" i="15"/>
  <c r="AO98" i="15"/>
  <c r="AN98" i="15"/>
  <c r="AM98" i="15"/>
  <c r="AL98" i="15"/>
  <c r="D98" i="15"/>
  <c r="AU97" i="15"/>
  <c r="AP97" i="15"/>
  <c r="AO97" i="15"/>
  <c r="AN97" i="15"/>
  <c r="AM97" i="15"/>
  <c r="D97" i="15"/>
  <c r="AU96" i="15"/>
  <c r="AP96" i="15"/>
  <c r="AO96" i="15"/>
  <c r="AN96" i="15"/>
  <c r="AM96" i="15"/>
  <c r="AL96" i="15"/>
  <c r="D96" i="15"/>
  <c r="AU95" i="15"/>
  <c r="AP95" i="15"/>
  <c r="AO95" i="15"/>
  <c r="AN95" i="15"/>
  <c r="AM95" i="15"/>
  <c r="AL95" i="15"/>
  <c r="D95" i="15"/>
  <c r="AU94" i="15"/>
  <c r="AP94" i="15"/>
  <c r="AO94" i="15"/>
  <c r="AN94" i="15"/>
  <c r="AM94" i="15"/>
  <c r="AL94" i="15"/>
  <c r="D94" i="15"/>
  <c r="AU93" i="15"/>
  <c r="AP93" i="15"/>
  <c r="AO93" i="15"/>
  <c r="AN93" i="15"/>
  <c r="AM93" i="15"/>
  <c r="AL93" i="15"/>
  <c r="D93" i="15"/>
  <c r="AU92" i="15"/>
  <c r="AQ92" i="15"/>
  <c r="AP92" i="15"/>
  <c r="AO92" i="15"/>
  <c r="AN92" i="15"/>
  <c r="AM92" i="15"/>
  <c r="AL92" i="15"/>
  <c r="D92" i="15"/>
  <c r="AU91" i="15"/>
  <c r="AP91" i="15"/>
  <c r="AO91" i="15"/>
  <c r="AN91" i="15"/>
  <c r="AM91" i="15"/>
  <c r="AL91" i="15"/>
  <c r="D91" i="15"/>
  <c r="AU90" i="15"/>
  <c r="AP90" i="15"/>
  <c r="AO90" i="15"/>
  <c r="AN90" i="15"/>
  <c r="AM90" i="15"/>
  <c r="AL90" i="15"/>
  <c r="D90" i="15"/>
  <c r="AU89" i="15"/>
  <c r="AP89" i="15"/>
  <c r="AO89" i="15"/>
  <c r="AN89" i="15"/>
  <c r="AM89" i="15"/>
  <c r="AL89" i="15"/>
  <c r="D89" i="15"/>
  <c r="AU88" i="15"/>
  <c r="AP88" i="15"/>
  <c r="AO88" i="15"/>
  <c r="AN88" i="15"/>
  <c r="AM88" i="15"/>
  <c r="AL88" i="15"/>
  <c r="D88" i="15"/>
  <c r="AU87" i="15"/>
  <c r="AP87" i="15"/>
  <c r="AO87" i="15"/>
  <c r="AN87" i="15"/>
  <c r="AM87" i="15"/>
  <c r="AL87" i="15"/>
  <c r="D87" i="15"/>
  <c r="AU86" i="15"/>
  <c r="AP86" i="15"/>
  <c r="AO86" i="15"/>
  <c r="AN86" i="15"/>
  <c r="AM86" i="15"/>
  <c r="AL86" i="15"/>
  <c r="D86" i="15"/>
  <c r="AU85" i="15"/>
  <c r="AP85" i="15"/>
  <c r="AO85" i="15"/>
  <c r="AN85" i="15"/>
  <c r="AM85" i="15"/>
  <c r="AL85" i="15"/>
  <c r="D85" i="15"/>
  <c r="AU84" i="15"/>
  <c r="AP84" i="15"/>
  <c r="AO84" i="15"/>
  <c r="AN84" i="15"/>
  <c r="AM84" i="15"/>
  <c r="AL84" i="15"/>
  <c r="D84" i="15"/>
  <c r="AU83" i="15"/>
  <c r="AP83" i="15"/>
  <c r="AO83" i="15"/>
  <c r="AN83" i="15"/>
  <c r="AM83" i="15"/>
  <c r="AL83" i="15"/>
  <c r="D83" i="15"/>
  <c r="AU82" i="15"/>
  <c r="AP82" i="15"/>
  <c r="AO82" i="15"/>
  <c r="AN82" i="15"/>
  <c r="AM82" i="15"/>
  <c r="AL82" i="15"/>
  <c r="D82" i="15"/>
  <c r="AU81" i="15"/>
  <c r="AP81" i="15"/>
  <c r="AO81" i="15"/>
  <c r="AN81" i="15"/>
  <c r="AM81" i="15"/>
  <c r="D81" i="15"/>
  <c r="AU80" i="15"/>
  <c r="AQ80" i="15"/>
  <c r="AP80" i="15"/>
  <c r="AO80" i="15"/>
  <c r="AN80" i="15"/>
  <c r="AM80" i="15"/>
  <c r="AL80" i="15"/>
  <c r="D80" i="15"/>
  <c r="AU79" i="15"/>
  <c r="AP79" i="15"/>
  <c r="AO79" i="15"/>
  <c r="AN79" i="15"/>
  <c r="AM79" i="15"/>
  <c r="AL79" i="15"/>
  <c r="D79" i="15"/>
  <c r="AU78" i="15"/>
  <c r="AP78" i="15"/>
  <c r="AO78" i="15"/>
  <c r="AN78" i="15"/>
  <c r="AM78" i="15"/>
  <c r="AL78" i="15"/>
  <c r="D78" i="15"/>
  <c r="AU77" i="15"/>
  <c r="AP77" i="15"/>
  <c r="AO77" i="15"/>
  <c r="AN77" i="15"/>
  <c r="AM77" i="15"/>
  <c r="AL77" i="15"/>
  <c r="D77" i="15"/>
  <c r="AU76" i="15"/>
  <c r="AP76" i="15"/>
  <c r="AO76" i="15"/>
  <c r="AN76" i="15"/>
  <c r="AM76" i="15"/>
  <c r="AL76" i="15"/>
  <c r="D76" i="15"/>
  <c r="AU75" i="15"/>
  <c r="AP75" i="15"/>
  <c r="AO75" i="15"/>
  <c r="AN75" i="15"/>
  <c r="AM75" i="15"/>
  <c r="AL75" i="15"/>
  <c r="D75" i="15"/>
  <c r="AU74" i="15"/>
  <c r="AP74" i="15"/>
  <c r="AO74" i="15"/>
  <c r="AN74" i="15"/>
  <c r="AM74" i="15"/>
  <c r="AL74" i="15"/>
  <c r="D74" i="15"/>
  <c r="AU73" i="15"/>
  <c r="AP73" i="15"/>
  <c r="AO73" i="15"/>
  <c r="AN73" i="15"/>
  <c r="AM73" i="15"/>
  <c r="AL73" i="15"/>
  <c r="D73" i="15"/>
  <c r="AU72" i="15"/>
  <c r="AP72" i="15"/>
  <c r="AO72" i="15"/>
  <c r="AN72" i="15"/>
  <c r="AM72" i="15"/>
  <c r="AL72" i="15"/>
  <c r="D72" i="15"/>
  <c r="AU71" i="15"/>
  <c r="AP71" i="15"/>
  <c r="AO71" i="15"/>
  <c r="AN71" i="15"/>
  <c r="AM71" i="15"/>
  <c r="AL71" i="15"/>
  <c r="D71" i="15"/>
  <c r="AU70" i="15"/>
  <c r="AP70" i="15"/>
  <c r="AO70" i="15"/>
  <c r="AN70" i="15"/>
  <c r="AM70" i="15"/>
  <c r="AL70" i="15"/>
  <c r="D70" i="15"/>
  <c r="AU69" i="15"/>
  <c r="AP69" i="15"/>
  <c r="AO69" i="15"/>
  <c r="AN69" i="15"/>
  <c r="AM69" i="15"/>
  <c r="AL69" i="15"/>
  <c r="D69" i="15"/>
  <c r="AU68" i="15"/>
  <c r="AP68" i="15"/>
  <c r="AO68" i="15"/>
  <c r="AN68" i="15"/>
  <c r="AM68" i="15"/>
  <c r="AL68" i="15"/>
  <c r="D68" i="15"/>
  <c r="AU67" i="15"/>
  <c r="AP67" i="15"/>
  <c r="AO67" i="15"/>
  <c r="AN67" i="15"/>
  <c r="AM67" i="15"/>
  <c r="AL67" i="15"/>
  <c r="D67" i="15"/>
  <c r="AU66" i="15"/>
  <c r="AP66" i="15"/>
  <c r="AO66" i="15"/>
  <c r="AN66" i="15"/>
  <c r="AM66" i="15"/>
  <c r="AL66" i="15"/>
  <c r="D66" i="15"/>
  <c r="AU65" i="15"/>
  <c r="AP65" i="15"/>
  <c r="AO65" i="15"/>
  <c r="AN65" i="15"/>
  <c r="AM65" i="15"/>
  <c r="AL65" i="15"/>
  <c r="D65" i="15"/>
  <c r="AU64" i="15"/>
  <c r="AP64" i="15"/>
  <c r="AO64" i="15"/>
  <c r="AN64" i="15"/>
  <c r="AM64" i="15"/>
  <c r="AL64" i="15"/>
  <c r="D64" i="15"/>
  <c r="AU63" i="15"/>
  <c r="AP63" i="15"/>
  <c r="AO63" i="15"/>
  <c r="AN63" i="15"/>
  <c r="AM63" i="15"/>
  <c r="AL63" i="15"/>
  <c r="D63" i="15"/>
  <c r="AU62" i="15"/>
  <c r="AP62" i="15"/>
  <c r="AO62" i="15"/>
  <c r="AN62" i="15"/>
  <c r="AM62" i="15"/>
  <c r="AL62" i="15"/>
  <c r="D62" i="15"/>
  <c r="AU61" i="15"/>
  <c r="AP61" i="15"/>
  <c r="AO61" i="15"/>
  <c r="AN61" i="15"/>
  <c r="AM61" i="15"/>
  <c r="AL61" i="15"/>
  <c r="D61" i="15"/>
  <c r="AU60" i="15"/>
  <c r="AP60" i="15"/>
  <c r="AO60" i="15"/>
  <c r="AN60" i="15"/>
  <c r="AM60" i="15"/>
  <c r="AL60" i="15"/>
  <c r="D60" i="15"/>
  <c r="AU59" i="15"/>
  <c r="AP59" i="15"/>
  <c r="AO59" i="15"/>
  <c r="AN59" i="15"/>
  <c r="AM59" i="15"/>
  <c r="AL59" i="15"/>
  <c r="D59" i="15"/>
  <c r="AU58" i="15"/>
  <c r="AP58" i="15"/>
  <c r="AO58" i="15"/>
  <c r="AN58" i="15"/>
  <c r="AM58" i="15"/>
  <c r="AL58" i="15"/>
  <c r="D58" i="15"/>
  <c r="AU57" i="15"/>
  <c r="AP57" i="15"/>
  <c r="AO57" i="15"/>
  <c r="AN57" i="15"/>
  <c r="AM57" i="15"/>
  <c r="D57" i="15"/>
  <c r="AU56" i="15"/>
  <c r="AP56" i="15"/>
  <c r="AO56" i="15"/>
  <c r="AN56" i="15"/>
  <c r="AM56" i="15"/>
  <c r="AL56" i="15"/>
  <c r="D56" i="15"/>
  <c r="AU55" i="15"/>
  <c r="AP55" i="15"/>
  <c r="AO55" i="15"/>
  <c r="AN55" i="15"/>
  <c r="AM55" i="15"/>
  <c r="AL55" i="15"/>
  <c r="D55" i="15"/>
  <c r="AU54" i="15"/>
  <c r="AP54" i="15"/>
  <c r="AO54" i="15"/>
  <c r="AN54" i="15"/>
  <c r="AM54" i="15"/>
  <c r="AL54" i="15"/>
  <c r="D54" i="15"/>
  <c r="AU53" i="15"/>
  <c r="AP53" i="15"/>
  <c r="AO53" i="15"/>
  <c r="AN53" i="15"/>
  <c r="AM53" i="15"/>
  <c r="AL53" i="15"/>
  <c r="D53" i="15"/>
  <c r="AU52" i="15"/>
  <c r="AP52" i="15"/>
  <c r="AO52" i="15"/>
  <c r="AN52" i="15"/>
  <c r="AM52" i="15"/>
  <c r="AL52" i="15"/>
  <c r="D52" i="15"/>
  <c r="AU51" i="15"/>
  <c r="AP51" i="15"/>
  <c r="AO51" i="15"/>
  <c r="AN51" i="15"/>
  <c r="AM51" i="15"/>
  <c r="AL51" i="15"/>
  <c r="D51" i="15"/>
  <c r="AI36" i="15"/>
  <c r="AI105" i="15" s="1"/>
  <c r="AH36" i="15"/>
  <c r="AH105" i="15" s="1"/>
  <c r="AG36" i="15"/>
  <c r="AG105" i="15" s="1"/>
  <c r="AF36" i="15"/>
  <c r="AF105" i="15" s="1"/>
  <c r="AE36" i="15"/>
  <c r="AE105" i="15" s="1"/>
  <c r="AD36" i="15"/>
  <c r="AD105" i="15" s="1"/>
  <c r="AC36" i="15"/>
  <c r="AC105" i="15" s="1"/>
  <c r="AB36" i="15"/>
  <c r="AB105" i="15" s="1"/>
  <c r="AA36" i="15"/>
  <c r="AA105" i="15" s="1"/>
  <c r="Z36" i="15"/>
  <c r="Z105" i="15" s="1"/>
  <c r="Y36" i="15"/>
  <c r="Y105" i="15" s="1"/>
  <c r="X36" i="15"/>
  <c r="X105" i="15" s="1"/>
  <c r="W36" i="15"/>
  <c r="W105" i="15" s="1"/>
  <c r="V36" i="15"/>
  <c r="V105" i="15" s="1"/>
  <c r="U36" i="15"/>
  <c r="U105" i="15" s="1"/>
  <c r="T36" i="15"/>
  <c r="T105" i="15" s="1"/>
  <c r="S36" i="15"/>
  <c r="S105" i="15" s="1"/>
  <c r="R36" i="15"/>
  <c r="R105" i="15" s="1"/>
  <c r="Q36" i="15"/>
  <c r="Q105" i="15" s="1"/>
  <c r="P36" i="15"/>
  <c r="P105" i="15" s="1"/>
  <c r="O36" i="15"/>
  <c r="O105" i="15" s="1"/>
  <c r="N36" i="15"/>
  <c r="N105" i="15" s="1"/>
  <c r="M36" i="15"/>
  <c r="M105" i="15" s="1"/>
  <c r="L36" i="15"/>
  <c r="L105" i="15" s="1"/>
  <c r="K36" i="15"/>
  <c r="K105" i="15" s="1"/>
  <c r="J36" i="15"/>
  <c r="J105" i="15" s="1"/>
  <c r="I36" i="15"/>
  <c r="I105" i="15" s="1"/>
  <c r="H36" i="15"/>
  <c r="H105" i="15" s="1"/>
  <c r="G36" i="15"/>
  <c r="G105" i="15" s="1"/>
  <c r="F36" i="15"/>
  <c r="F105" i="15" s="1"/>
  <c r="E36" i="15"/>
  <c r="E105" i="15" s="1"/>
  <c r="AI35" i="15"/>
  <c r="AI104" i="15" s="1"/>
  <c r="AH35" i="15"/>
  <c r="AH104" i="15" s="1"/>
  <c r="AG35" i="15"/>
  <c r="AG104" i="15" s="1"/>
  <c r="AF35" i="15"/>
  <c r="AF104" i="15" s="1"/>
  <c r="AE35" i="15"/>
  <c r="AE104" i="15" s="1"/>
  <c r="AD35" i="15"/>
  <c r="AD104" i="15" s="1"/>
  <c r="AC35" i="15"/>
  <c r="AC104" i="15" s="1"/>
  <c r="AB35" i="15"/>
  <c r="AB104" i="15" s="1"/>
  <c r="AA35" i="15"/>
  <c r="AA104" i="15" s="1"/>
  <c r="Z35" i="15"/>
  <c r="Z104" i="15" s="1"/>
  <c r="Y35" i="15"/>
  <c r="Y104" i="15" s="1"/>
  <c r="X35" i="15"/>
  <c r="X104" i="15" s="1"/>
  <c r="W35" i="15"/>
  <c r="W104" i="15" s="1"/>
  <c r="V35" i="15"/>
  <c r="V104" i="15" s="1"/>
  <c r="U35" i="15"/>
  <c r="U104" i="15" s="1"/>
  <c r="T35" i="15"/>
  <c r="T104" i="15" s="1"/>
  <c r="S35" i="15"/>
  <c r="S104" i="15" s="1"/>
  <c r="R35" i="15"/>
  <c r="R104" i="15" s="1"/>
  <c r="Q35" i="15"/>
  <c r="Q104" i="15" s="1"/>
  <c r="P35" i="15"/>
  <c r="P104" i="15" s="1"/>
  <c r="O35" i="15"/>
  <c r="O104" i="15" s="1"/>
  <c r="N35" i="15"/>
  <c r="N104" i="15" s="1"/>
  <c r="M35" i="15"/>
  <c r="M104" i="15" s="1"/>
  <c r="L35" i="15"/>
  <c r="L104" i="15" s="1"/>
  <c r="K35" i="15"/>
  <c r="K104" i="15" s="1"/>
  <c r="J35" i="15"/>
  <c r="J104" i="15" s="1"/>
  <c r="I35" i="15"/>
  <c r="I104" i="15" s="1"/>
  <c r="H35" i="15"/>
  <c r="H104" i="15" s="1"/>
  <c r="G35" i="15"/>
  <c r="G104" i="15" s="1"/>
  <c r="F35" i="15"/>
  <c r="F104" i="15" s="1"/>
  <c r="E35" i="15"/>
  <c r="E104" i="15" s="1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S103" i="15" s="1"/>
  <c r="R34" i="15"/>
  <c r="R103" i="15" s="1"/>
  <c r="Q34" i="15"/>
  <c r="P34" i="15"/>
  <c r="O34" i="15"/>
  <c r="O103" i="15" s="1"/>
  <c r="N34" i="15"/>
  <c r="N103" i="15" s="1"/>
  <c r="M34" i="15"/>
  <c r="M103" i="15" s="1"/>
  <c r="L34" i="15"/>
  <c r="K34" i="15"/>
  <c r="J34" i="15"/>
  <c r="I34" i="15"/>
  <c r="H34" i="15"/>
  <c r="G34" i="15"/>
  <c r="F34" i="15"/>
  <c r="E34" i="15"/>
  <c r="S33" i="15"/>
  <c r="R33" i="15"/>
  <c r="O33" i="15"/>
  <c r="N33" i="15"/>
  <c r="M33" i="15"/>
  <c r="AP32" i="15"/>
  <c r="AO32" i="15"/>
  <c r="AN32" i="15"/>
  <c r="AM32" i="15"/>
  <c r="AL32" i="15"/>
  <c r="D32" i="15"/>
  <c r="AP31" i="15"/>
  <c r="AO31" i="15"/>
  <c r="AN31" i="15"/>
  <c r="AM31" i="15"/>
  <c r="D31" i="15"/>
  <c r="AP30" i="15"/>
  <c r="AO30" i="15"/>
  <c r="AN30" i="15"/>
  <c r="AM30" i="15"/>
  <c r="AL30" i="15"/>
  <c r="D30" i="15"/>
  <c r="AP29" i="15"/>
  <c r="AO29" i="15"/>
  <c r="AN29" i="15"/>
  <c r="AM29" i="15"/>
  <c r="AL29" i="15"/>
  <c r="D29" i="15"/>
  <c r="AP28" i="15"/>
  <c r="AO28" i="15"/>
  <c r="AN28" i="15"/>
  <c r="AM28" i="15"/>
  <c r="AL28" i="15"/>
  <c r="D28" i="15"/>
  <c r="AQ27" i="15"/>
  <c r="AP27" i="15"/>
  <c r="AO27" i="15"/>
  <c r="AN27" i="15"/>
  <c r="AM27" i="15"/>
  <c r="AL27" i="15"/>
  <c r="D27" i="15"/>
  <c r="AQ26" i="15"/>
  <c r="AP26" i="15"/>
  <c r="AO26" i="15"/>
  <c r="AN26" i="15"/>
  <c r="AM26" i="15"/>
  <c r="AL26" i="15"/>
  <c r="D26" i="15"/>
  <c r="AP25" i="15"/>
  <c r="AO25" i="15"/>
  <c r="AN25" i="15"/>
  <c r="AM25" i="15"/>
  <c r="AL25" i="15"/>
  <c r="D25" i="15"/>
  <c r="AP24" i="15"/>
  <c r="AO24" i="15"/>
  <c r="AN24" i="15"/>
  <c r="AM24" i="15"/>
  <c r="AL24" i="15"/>
  <c r="D24" i="15"/>
  <c r="AP23" i="15"/>
  <c r="AO23" i="15"/>
  <c r="AN23" i="15"/>
  <c r="AM23" i="15"/>
  <c r="AL23" i="15"/>
  <c r="D23" i="15"/>
  <c r="AP22" i="15"/>
  <c r="AO22" i="15"/>
  <c r="AN22" i="15"/>
  <c r="AM22" i="15"/>
  <c r="AL22" i="15"/>
  <c r="D22" i="15"/>
  <c r="AP21" i="15"/>
  <c r="AO21" i="15"/>
  <c r="AN21" i="15"/>
  <c r="AM21" i="15"/>
  <c r="AL21" i="15"/>
  <c r="D21" i="15"/>
  <c r="AQ20" i="15"/>
  <c r="AP20" i="15"/>
  <c r="AO20" i="15"/>
  <c r="AN20" i="15"/>
  <c r="AM20" i="15"/>
  <c r="AL20" i="15"/>
  <c r="D20" i="15"/>
  <c r="AP19" i="15"/>
  <c r="AO19" i="15"/>
  <c r="AN19" i="15"/>
  <c r="AM19" i="15"/>
  <c r="AL19" i="15"/>
  <c r="D19" i="15"/>
  <c r="AP18" i="15"/>
  <c r="AO18" i="15"/>
  <c r="AN18" i="15"/>
  <c r="AM18" i="15"/>
  <c r="D18" i="15"/>
  <c r="AP17" i="15"/>
  <c r="AO17" i="15"/>
  <c r="AN17" i="15"/>
  <c r="AM17" i="15"/>
  <c r="AL17" i="15"/>
  <c r="D17" i="15"/>
  <c r="AP16" i="15"/>
  <c r="AO16" i="15"/>
  <c r="AN16" i="15"/>
  <c r="AM16" i="15"/>
  <c r="AL16" i="15"/>
  <c r="D16" i="15"/>
  <c r="AP15" i="15"/>
  <c r="AO15" i="15"/>
  <c r="AN15" i="15"/>
  <c r="AM15" i="15"/>
  <c r="AL15" i="15"/>
  <c r="D15" i="15"/>
  <c r="AP14" i="15"/>
  <c r="AO14" i="15"/>
  <c r="AN14" i="15"/>
  <c r="AM14" i="15"/>
  <c r="AL14" i="15"/>
  <c r="D14" i="15"/>
  <c r="AP13" i="15"/>
  <c r="AO13" i="15"/>
  <c r="AN13" i="15"/>
  <c r="AM13" i="15"/>
  <c r="AL13" i="15"/>
  <c r="D13" i="15"/>
  <c r="AP12" i="15"/>
  <c r="AO12" i="15"/>
  <c r="AN12" i="15"/>
  <c r="AM12" i="15"/>
  <c r="AL12" i="15"/>
  <c r="D12" i="15"/>
  <c r="AP11" i="15"/>
  <c r="AO11" i="15"/>
  <c r="AN11" i="15"/>
  <c r="AM11" i="15"/>
  <c r="D11" i="15"/>
  <c r="AP10" i="15"/>
  <c r="AO10" i="15"/>
  <c r="AN10" i="15"/>
  <c r="AM10" i="15"/>
  <c r="AL10" i="15"/>
  <c r="D10" i="15"/>
  <c r="AP9" i="15"/>
  <c r="AO9" i="15"/>
  <c r="AN9" i="15"/>
  <c r="AM9" i="15"/>
  <c r="AL9" i="15"/>
  <c r="D9" i="15"/>
  <c r="AP8" i="15"/>
  <c r="AO8" i="15"/>
  <c r="AN8" i="15"/>
  <c r="AM8" i="15"/>
  <c r="AL8" i="15"/>
  <c r="D8" i="15"/>
  <c r="AP7" i="15"/>
  <c r="AO7" i="15"/>
  <c r="AN7" i="15"/>
  <c r="AM7" i="15"/>
  <c r="AL7" i="15"/>
  <c r="D7" i="15"/>
  <c r="AP6" i="15"/>
  <c r="AO6" i="15"/>
  <c r="AN6" i="15"/>
  <c r="AM6" i="15"/>
  <c r="AL6" i="15"/>
  <c r="D6" i="15"/>
  <c r="AP5" i="15"/>
  <c r="AO5" i="15"/>
  <c r="AN5" i="15"/>
  <c r="AM5" i="15"/>
  <c r="AL5" i="15"/>
  <c r="D5" i="15"/>
  <c r="AP4" i="15"/>
  <c r="AO4" i="15"/>
  <c r="AN4" i="15"/>
  <c r="AM4" i="15"/>
  <c r="AL4" i="15"/>
  <c r="D4" i="15"/>
  <c r="AP3" i="15"/>
  <c r="AO3" i="15"/>
  <c r="AN3" i="15"/>
  <c r="AM3" i="15"/>
  <c r="AL3" i="15"/>
  <c r="AP2" i="15"/>
  <c r="AO2" i="15"/>
  <c r="AN2" i="15"/>
  <c r="AM2" i="15"/>
  <c r="AL2" i="15"/>
  <c r="D2" i="15"/>
  <c r="AK1" i="15"/>
  <c r="C34" i="14"/>
  <c r="L32" i="14"/>
  <c r="G32" i="14"/>
  <c r="L31" i="14"/>
  <c r="G31" i="14"/>
  <c r="L30" i="14"/>
  <c r="G30" i="14"/>
  <c r="L29" i="14"/>
  <c r="G29" i="14"/>
  <c r="N26" i="14"/>
  <c r="L26" i="14"/>
  <c r="I26" i="14"/>
  <c r="G26" i="14"/>
  <c r="N25" i="14"/>
  <c r="L25" i="14"/>
  <c r="I25" i="14"/>
  <c r="G25" i="14"/>
  <c r="N24" i="14"/>
  <c r="L24" i="14"/>
  <c r="I24" i="14"/>
  <c r="G24" i="14"/>
  <c r="N23" i="14"/>
  <c r="L23" i="14"/>
  <c r="I23" i="14"/>
  <c r="G23" i="14"/>
  <c r="N20" i="14"/>
  <c r="L20" i="14"/>
  <c r="I20" i="14"/>
  <c r="G20" i="14"/>
  <c r="N19" i="14"/>
  <c r="L19" i="14"/>
  <c r="I19" i="14"/>
  <c r="G19" i="14"/>
  <c r="N18" i="14"/>
  <c r="L18" i="14"/>
  <c r="I18" i="14"/>
  <c r="G18" i="14"/>
  <c r="N17" i="14"/>
  <c r="L17" i="14"/>
  <c r="I17" i="14"/>
  <c r="G17" i="14"/>
  <c r="N14" i="14"/>
  <c r="L14" i="14"/>
  <c r="I14" i="14"/>
  <c r="G14" i="14"/>
  <c r="N13" i="14"/>
  <c r="L13" i="14"/>
  <c r="I13" i="14"/>
  <c r="G13" i="14"/>
  <c r="N12" i="14"/>
  <c r="L12" i="14"/>
  <c r="I12" i="14"/>
  <c r="G12" i="14"/>
  <c r="N11" i="14"/>
  <c r="L11" i="14"/>
  <c r="I11" i="14"/>
  <c r="G11" i="14"/>
  <c r="N8" i="14"/>
  <c r="L8" i="14"/>
  <c r="I8" i="14"/>
  <c r="G8" i="14"/>
  <c r="N7" i="14"/>
  <c r="L7" i="14"/>
  <c r="I7" i="14"/>
  <c r="G7" i="14"/>
  <c r="N6" i="14"/>
  <c r="L6" i="14"/>
  <c r="I6" i="14"/>
  <c r="G6" i="14"/>
  <c r="N5" i="14"/>
  <c r="L5" i="14"/>
  <c r="I5" i="14"/>
  <c r="G5" i="14"/>
  <c r="AK116" i="13"/>
  <c r="AG116" i="13"/>
  <c r="AC116" i="13"/>
  <c r="Z116" i="13"/>
  <c r="S116" i="13"/>
  <c r="O116" i="13"/>
  <c r="L116" i="13"/>
  <c r="I116" i="13"/>
  <c r="E116" i="13"/>
  <c r="AK115" i="13"/>
  <c r="AG115" i="13"/>
  <c r="AC115" i="13"/>
  <c r="Z115" i="13"/>
  <c r="S115" i="13"/>
  <c r="O115" i="13"/>
  <c r="L115" i="13"/>
  <c r="I115" i="13"/>
  <c r="E115" i="13"/>
  <c r="AK114" i="13"/>
  <c r="AG114" i="13"/>
  <c r="AC114" i="13"/>
  <c r="Z114" i="13"/>
  <c r="S114" i="13"/>
  <c r="O114" i="13"/>
  <c r="L114" i="13"/>
  <c r="I114" i="13"/>
  <c r="E114" i="13"/>
  <c r="AK113" i="13"/>
  <c r="AG113" i="13"/>
  <c r="AC113" i="13"/>
  <c r="Z113" i="13"/>
  <c r="S113" i="13"/>
  <c r="O113" i="13"/>
  <c r="L113" i="13"/>
  <c r="I113" i="13"/>
  <c r="E113" i="13"/>
  <c r="AI111" i="13"/>
  <c r="AG111" i="13"/>
  <c r="AB111" i="13"/>
  <c r="Z111" i="13"/>
  <c r="S111" i="13"/>
  <c r="N111" i="13"/>
  <c r="L111" i="13"/>
  <c r="H111" i="13"/>
  <c r="E111" i="13"/>
  <c r="AI110" i="13"/>
  <c r="AG110" i="13"/>
  <c r="AB110" i="13"/>
  <c r="Z110" i="13"/>
  <c r="S110" i="13"/>
  <c r="N110" i="13"/>
  <c r="L110" i="13"/>
  <c r="H110" i="13"/>
  <c r="E110" i="13"/>
  <c r="AI109" i="13"/>
  <c r="AG109" i="13"/>
  <c r="AB109" i="13"/>
  <c r="Z109" i="13"/>
  <c r="S109" i="13"/>
  <c r="N109" i="13"/>
  <c r="L109" i="13"/>
  <c r="H109" i="13"/>
  <c r="E109" i="13"/>
  <c r="AI108" i="13"/>
  <c r="AG108" i="13"/>
  <c r="AB108" i="13"/>
  <c r="Z108" i="13"/>
  <c r="S108" i="13"/>
  <c r="N108" i="13"/>
  <c r="L108" i="13"/>
  <c r="H108" i="13"/>
  <c r="E108" i="13"/>
  <c r="AO101" i="13"/>
  <c r="AN101" i="13"/>
  <c r="AM101" i="13"/>
  <c r="AL101" i="13"/>
  <c r="AP100" i="13"/>
  <c r="AO100" i="13"/>
  <c r="AN100" i="13"/>
  <c r="AM100" i="13"/>
  <c r="AL100" i="13"/>
  <c r="AP99" i="13"/>
  <c r="AO99" i="13"/>
  <c r="AN99" i="13"/>
  <c r="AM99" i="13"/>
  <c r="AL99" i="13"/>
  <c r="AO98" i="13"/>
  <c r="AN98" i="13"/>
  <c r="AM98" i="13"/>
  <c r="AL98" i="13"/>
  <c r="AO97" i="13"/>
  <c r="AN97" i="13"/>
  <c r="AM97" i="13"/>
  <c r="AL97" i="13"/>
  <c r="AO96" i="13"/>
  <c r="AN96" i="13"/>
  <c r="AM96" i="13"/>
  <c r="AL96" i="13"/>
  <c r="AO95" i="13"/>
  <c r="AN95" i="13"/>
  <c r="AM95" i="13"/>
  <c r="AL95" i="13"/>
  <c r="AO94" i="13"/>
  <c r="AN94" i="13"/>
  <c r="AM94" i="13"/>
  <c r="AL94" i="13"/>
  <c r="AO93" i="13"/>
  <c r="AN93" i="13"/>
  <c r="AM93" i="13"/>
  <c r="AL93" i="13"/>
  <c r="AP92" i="13"/>
  <c r="AO92" i="13"/>
  <c r="AN92" i="13"/>
  <c r="AM92" i="13"/>
  <c r="AL92" i="13"/>
  <c r="AO91" i="13"/>
  <c r="AN91" i="13"/>
  <c r="AM91" i="13"/>
  <c r="AL91" i="13"/>
  <c r="AO90" i="13"/>
  <c r="AN90" i="13"/>
  <c r="AM90" i="13"/>
  <c r="AL90" i="13"/>
  <c r="D90" i="13"/>
  <c r="AO89" i="13"/>
  <c r="AN89" i="13"/>
  <c r="AM89" i="13"/>
  <c r="AL89" i="13"/>
  <c r="AO88" i="13"/>
  <c r="AN88" i="13"/>
  <c r="AM88" i="13"/>
  <c r="AL88" i="13"/>
  <c r="AO87" i="13"/>
  <c r="AN87" i="13"/>
  <c r="AM87" i="13"/>
  <c r="AL87" i="13"/>
  <c r="AO86" i="13"/>
  <c r="AN86" i="13"/>
  <c r="AM86" i="13"/>
  <c r="AL86" i="13"/>
  <c r="AO85" i="13"/>
  <c r="AN85" i="13"/>
  <c r="AM85" i="13"/>
  <c r="AL85" i="13"/>
  <c r="AO84" i="13"/>
  <c r="AN84" i="13"/>
  <c r="AM84" i="13"/>
  <c r="AL84" i="13"/>
  <c r="AO83" i="13"/>
  <c r="AN83" i="13"/>
  <c r="AM83" i="13"/>
  <c r="AL83" i="13"/>
  <c r="AO82" i="13"/>
  <c r="AN82" i="13"/>
  <c r="AM82" i="13"/>
  <c r="AL82" i="13"/>
  <c r="AO81" i="13"/>
  <c r="AN81" i="13"/>
  <c r="AM81" i="13"/>
  <c r="AL81" i="13"/>
  <c r="AO80" i="13"/>
  <c r="AN80" i="13"/>
  <c r="AM80" i="13"/>
  <c r="AL80" i="13"/>
  <c r="AO79" i="13"/>
  <c r="AN79" i="13"/>
  <c r="AM79" i="13"/>
  <c r="AL79" i="13"/>
  <c r="AO78" i="13"/>
  <c r="AN78" i="13"/>
  <c r="AM78" i="13"/>
  <c r="AL78" i="13"/>
  <c r="AO77" i="13"/>
  <c r="AN77" i="13"/>
  <c r="AM77" i="13"/>
  <c r="AL77" i="13"/>
  <c r="AO76" i="13"/>
  <c r="AN76" i="13"/>
  <c r="AM76" i="13"/>
  <c r="AL76" i="13"/>
  <c r="AP75" i="13"/>
  <c r="AO75" i="13"/>
  <c r="AN75" i="13"/>
  <c r="AM75" i="13"/>
  <c r="AL75" i="13"/>
  <c r="AN74" i="13"/>
  <c r="AM74" i="13"/>
  <c r="AL74" i="13"/>
  <c r="AO73" i="13"/>
  <c r="AN73" i="13"/>
  <c r="AM73" i="13"/>
  <c r="AL73" i="13"/>
  <c r="AO72" i="13"/>
  <c r="AN72" i="13"/>
  <c r="AM72" i="13"/>
  <c r="AL72" i="13"/>
  <c r="AO71" i="13"/>
  <c r="AN71" i="13"/>
  <c r="AM71" i="13"/>
  <c r="AL71" i="13"/>
  <c r="AO70" i="13"/>
  <c r="AN70" i="13"/>
  <c r="AM70" i="13"/>
  <c r="AL70" i="13"/>
  <c r="AO69" i="13"/>
  <c r="AN69" i="13"/>
  <c r="AM69" i="13"/>
  <c r="AL69" i="13"/>
  <c r="AO68" i="13"/>
  <c r="AN68" i="13"/>
  <c r="AM68" i="13"/>
  <c r="AL68" i="13"/>
  <c r="AO67" i="13"/>
  <c r="AN67" i="13"/>
  <c r="AM67" i="13"/>
  <c r="AL67" i="13"/>
  <c r="AO66" i="13"/>
  <c r="AN66" i="13"/>
  <c r="AM66" i="13"/>
  <c r="AL66" i="13"/>
  <c r="AO65" i="13"/>
  <c r="AN65" i="13"/>
  <c r="AM65" i="13"/>
  <c r="AL65" i="13"/>
  <c r="AO64" i="13"/>
  <c r="AN64" i="13"/>
  <c r="AM64" i="13"/>
  <c r="AL64" i="13"/>
  <c r="AO63" i="13"/>
  <c r="AN63" i="13"/>
  <c r="AM63" i="13"/>
  <c r="AL63" i="13"/>
  <c r="AO62" i="13"/>
  <c r="AN62" i="13"/>
  <c r="AM62" i="13"/>
  <c r="AL62" i="13"/>
  <c r="AP61" i="13"/>
  <c r="AO61" i="13"/>
  <c r="AN61" i="13"/>
  <c r="AM61" i="13"/>
  <c r="AL61" i="13"/>
  <c r="AO60" i="13"/>
  <c r="AN60" i="13"/>
  <c r="AM60" i="13"/>
  <c r="AL60" i="13"/>
  <c r="AO59" i="13"/>
  <c r="AN59" i="13"/>
  <c r="AM59" i="13"/>
  <c r="AL59" i="13"/>
  <c r="AO58" i="13"/>
  <c r="AN58" i="13"/>
  <c r="AM58" i="13"/>
  <c r="AL58" i="13"/>
  <c r="AO57" i="13"/>
  <c r="AN57" i="13"/>
  <c r="AM57" i="13"/>
  <c r="AL57" i="13"/>
  <c r="AO56" i="13"/>
  <c r="AN56" i="13"/>
  <c r="AM56" i="13"/>
  <c r="AL56" i="13"/>
  <c r="AO55" i="13"/>
  <c r="AN55" i="13"/>
  <c r="AM55" i="13"/>
  <c r="AL55" i="13"/>
  <c r="AO54" i="13"/>
  <c r="AN54" i="13"/>
  <c r="AM54" i="13"/>
  <c r="AL54" i="13"/>
  <c r="AO53" i="13"/>
  <c r="AN53" i="13"/>
  <c r="AM53" i="13"/>
  <c r="AL53" i="13"/>
  <c r="AP52" i="13"/>
  <c r="AO52" i="13"/>
  <c r="AN52" i="13"/>
  <c r="AM52" i="13"/>
  <c r="AL52" i="13"/>
  <c r="AO51" i="13"/>
  <c r="AN51" i="13"/>
  <c r="AM51" i="13"/>
  <c r="AL51" i="13"/>
  <c r="AI36" i="13"/>
  <c r="AI105" i="13" s="1"/>
  <c r="AH36" i="13"/>
  <c r="AH105" i="13" s="1"/>
  <c r="AG36" i="13"/>
  <c r="AG105" i="13" s="1"/>
  <c r="AF36" i="13"/>
  <c r="AF105" i="13" s="1"/>
  <c r="AE36" i="13"/>
  <c r="AE105" i="13" s="1"/>
  <c r="AD36" i="13"/>
  <c r="AD105" i="13" s="1"/>
  <c r="AC36" i="13"/>
  <c r="AC105" i="13" s="1"/>
  <c r="AB36" i="13"/>
  <c r="AB105" i="13" s="1"/>
  <c r="AA36" i="13"/>
  <c r="AA105" i="13" s="1"/>
  <c r="Z36" i="13"/>
  <c r="Z105" i="13" s="1"/>
  <c r="Y36" i="13"/>
  <c r="Y105" i="13" s="1"/>
  <c r="X36" i="13"/>
  <c r="X105" i="13" s="1"/>
  <c r="W36" i="13"/>
  <c r="W105" i="13" s="1"/>
  <c r="V36" i="13"/>
  <c r="V105" i="13" s="1"/>
  <c r="U36" i="13"/>
  <c r="U105" i="13" s="1"/>
  <c r="T36" i="13"/>
  <c r="T105" i="13" s="1"/>
  <c r="S36" i="13"/>
  <c r="S105" i="13" s="1"/>
  <c r="R36" i="13"/>
  <c r="R105" i="13" s="1"/>
  <c r="Q36" i="13"/>
  <c r="Q105" i="13" s="1"/>
  <c r="P36" i="13"/>
  <c r="P105" i="13" s="1"/>
  <c r="O36" i="13"/>
  <c r="O105" i="13" s="1"/>
  <c r="N36" i="13"/>
  <c r="N105" i="13" s="1"/>
  <c r="M36" i="13"/>
  <c r="M105" i="13" s="1"/>
  <c r="L36" i="13"/>
  <c r="L105" i="13" s="1"/>
  <c r="K36" i="13"/>
  <c r="K105" i="13" s="1"/>
  <c r="J36" i="13"/>
  <c r="J105" i="13" s="1"/>
  <c r="I36" i="13"/>
  <c r="I105" i="13" s="1"/>
  <c r="H36" i="13"/>
  <c r="H105" i="13" s="1"/>
  <c r="G36" i="13"/>
  <c r="G105" i="13" s="1"/>
  <c r="F36" i="13"/>
  <c r="F105" i="13" s="1"/>
  <c r="E36" i="13"/>
  <c r="E105" i="13" s="1"/>
  <c r="AI35" i="13"/>
  <c r="AI104" i="13" s="1"/>
  <c r="AH35" i="13"/>
  <c r="AH104" i="13" s="1"/>
  <c r="AG35" i="13"/>
  <c r="AG104" i="13" s="1"/>
  <c r="AF35" i="13"/>
  <c r="AF104" i="13" s="1"/>
  <c r="AE35" i="13"/>
  <c r="AE104" i="13" s="1"/>
  <c r="AD35" i="13"/>
  <c r="AD104" i="13" s="1"/>
  <c r="AC35" i="13"/>
  <c r="AC104" i="13" s="1"/>
  <c r="AB35" i="13"/>
  <c r="AB104" i="13" s="1"/>
  <c r="AA35" i="13"/>
  <c r="AA104" i="13" s="1"/>
  <c r="Z35" i="13"/>
  <c r="Z104" i="13" s="1"/>
  <c r="Y35" i="13"/>
  <c r="Y104" i="13" s="1"/>
  <c r="X35" i="13"/>
  <c r="X104" i="13" s="1"/>
  <c r="W35" i="13"/>
  <c r="W104" i="13" s="1"/>
  <c r="V35" i="13"/>
  <c r="V104" i="13" s="1"/>
  <c r="U35" i="13"/>
  <c r="U104" i="13" s="1"/>
  <c r="T35" i="13"/>
  <c r="T104" i="13" s="1"/>
  <c r="S35" i="13"/>
  <c r="S104" i="13" s="1"/>
  <c r="R35" i="13"/>
  <c r="R104" i="13" s="1"/>
  <c r="Q35" i="13"/>
  <c r="Q104" i="13" s="1"/>
  <c r="P35" i="13"/>
  <c r="P104" i="13" s="1"/>
  <c r="O35" i="13"/>
  <c r="O104" i="13" s="1"/>
  <c r="N35" i="13"/>
  <c r="N104" i="13" s="1"/>
  <c r="M35" i="13"/>
  <c r="M104" i="13" s="1"/>
  <c r="L35" i="13"/>
  <c r="L104" i="13" s="1"/>
  <c r="K35" i="13"/>
  <c r="K104" i="13" s="1"/>
  <c r="J35" i="13"/>
  <c r="J104" i="13" s="1"/>
  <c r="I35" i="13"/>
  <c r="I104" i="13" s="1"/>
  <c r="H35" i="13"/>
  <c r="H104" i="13" s="1"/>
  <c r="G35" i="13"/>
  <c r="G104" i="13" s="1"/>
  <c r="F35" i="13"/>
  <c r="F104" i="13" s="1"/>
  <c r="E35" i="13"/>
  <c r="E104" i="13" s="1"/>
  <c r="AI34" i="13"/>
  <c r="AI103" i="13" s="1"/>
  <c r="AI37" i="13" s="1"/>
  <c r="AI106" i="13" s="1"/>
  <c r="AH34" i="13"/>
  <c r="AH103" i="13" s="1"/>
  <c r="AH37" i="13" s="1"/>
  <c r="AH106" i="13" s="1"/>
  <c r="AG34" i="13"/>
  <c r="AF34" i="13"/>
  <c r="AF103" i="13" s="1"/>
  <c r="AE34" i="13"/>
  <c r="AE103" i="13" s="1"/>
  <c r="AD34" i="13"/>
  <c r="AD103" i="13" s="1"/>
  <c r="AD37" i="13" s="1"/>
  <c r="AD106" i="13" s="1"/>
  <c r="AC34" i="13"/>
  <c r="AB34" i="13"/>
  <c r="AB103" i="13" s="1"/>
  <c r="AA34" i="13"/>
  <c r="AA103" i="13" s="1"/>
  <c r="Z34" i="13"/>
  <c r="Z103" i="13" s="1"/>
  <c r="Z37" i="13" s="1"/>
  <c r="Z106" i="13" s="1"/>
  <c r="Y34" i="13"/>
  <c r="X34" i="13"/>
  <c r="X103" i="13" s="1"/>
  <c r="W34" i="13"/>
  <c r="W103" i="13" s="1"/>
  <c r="V34" i="13"/>
  <c r="V103" i="13" s="1"/>
  <c r="V37" i="13" s="1"/>
  <c r="V106" i="13" s="1"/>
  <c r="U34" i="13"/>
  <c r="T34" i="13"/>
  <c r="T103" i="13" s="1"/>
  <c r="S34" i="13"/>
  <c r="S103" i="13" s="1"/>
  <c r="S37" i="13" s="1"/>
  <c r="S106" i="13" s="1"/>
  <c r="R34" i="13"/>
  <c r="R103" i="13" s="1"/>
  <c r="R37" i="13" s="1"/>
  <c r="R106" i="13" s="1"/>
  <c r="Q34" i="13"/>
  <c r="P34" i="13"/>
  <c r="P103" i="13" s="1"/>
  <c r="O34" i="13"/>
  <c r="O103" i="13" s="1"/>
  <c r="N34" i="13"/>
  <c r="N103" i="13" s="1"/>
  <c r="N37" i="13" s="1"/>
  <c r="N106" i="13" s="1"/>
  <c r="M34" i="13"/>
  <c r="L34" i="13"/>
  <c r="L103" i="13" s="1"/>
  <c r="K34" i="13"/>
  <c r="K103" i="13" s="1"/>
  <c r="J34" i="13"/>
  <c r="J103" i="13" s="1"/>
  <c r="I34" i="13"/>
  <c r="H34" i="13"/>
  <c r="H103" i="13" s="1"/>
  <c r="G34" i="13"/>
  <c r="G103" i="13" s="1"/>
  <c r="F34" i="13"/>
  <c r="F103" i="13" s="1"/>
  <c r="F37" i="13" s="1"/>
  <c r="F106" i="13" s="1"/>
  <c r="E34" i="13"/>
  <c r="AO32" i="13"/>
  <c r="AN32" i="13"/>
  <c r="AM32" i="13"/>
  <c r="AL32" i="13"/>
  <c r="D32" i="13"/>
  <c r="AO31" i="13"/>
  <c r="AN31" i="13"/>
  <c r="AM31" i="13"/>
  <c r="AL31" i="13"/>
  <c r="AO30" i="13"/>
  <c r="AN30" i="13"/>
  <c r="AM30" i="13"/>
  <c r="AL30" i="13"/>
  <c r="AO29" i="13"/>
  <c r="AN29" i="13"/>
  <c r="AM29" i="13"/>
  <c r="AL29" i="13"/>
  <c r="AO28" i="13"/>
  <c r="AN28" i="13"/>
  <c r="AM28" i="13"/>
  <c r="AL28" i="13"/>
  <c r="AO27" i="13"/>
  <c r="AN27" i="13"/>
  <c r="AM27" i="13"/>
  <c r="AL27" i="13"/>
  <c r="AO26" i="13"/>
  <c r="AN26" i="13"/>
  <c r="AM26" i="13"/>
  <c r="AL26" i="13"/>
  <c r="AO25" i="13"/>
  <c r="AN25" i="13"/>
  <c r="AM25" i="13"/>
  <c r="AL25" i="13"/>
  <c r="AO24" i="13"/>
  <c r="AN24" i="13"/>
  <c r="AM24" i="13"/>
  <c r="AL24" i="13"/>
  <c r="AO23" i="13"/>
  <c r="AN23" i="13"/>
  <c r="AM23" i="13"/>
  <c r="AL23" i="13"/>
  <c r="AO22" i="13"/>
  <c r="AN22" i="13"/>
  <c r="AM22" i="13"/>
  <c r="AL22" i="13"/>
  <c r="AO21" i="13"/>
  <c r="AN21" i="13"/>
  <c r="AM21" i="13"/>
  <c r="AL21" i="13"/>
  <c r="AP20" i="13"/>
  <c r="AO20" i="13"/>
  <c r="AN20" i="13"/>
  <c r="AM20" i="13"/>
  <c r="AL20" i="13"/>
  <c r="AO19" i="13"/>
  <c r="AN19" i="13"/>
  <c r="AM19" i="13"/>
  <c r="AL19" i="13"/>
  <c r="AO18" i="13"/>
  <c r="AN18" i="13"/>
  <c r="AM18" i="13"/>
  <c r="AL18" i="13"/>
  <c r="AO17" i="13"/>
  <c r="AN17" i="13"/>
  <c r="AM17" i="13"/>
  <c r="AL17" i="13"/>
  <c r="AO16" i="13"/>
  <c r="AN16" i="13"/>
  <c r="AM16" i="13"/>
  <c r="AL16" i="13"/>
  <c r="AO15" i="13"/>
  <c r="AN15" i="13"/>
  <c r="AM15" i="13"/>
  <c r="AL15" i="13"/>
  <c r="AO14" i="13"/>
  <c r="AN14" i="13"/>
  <c r="AM14" i="13"/>
  <c r="AL14" i="13"/>
  <c r="AO13" i="13"/>
  <c r="AN13" i="13"/>
  <c r="AM13" i="13"/>
  <c r="AL13" i="13"/>
  <c r="AO12" i="13"/>
  <c r="AN12" i="13"/>
  <c r="AM12" i="13"/>
  <c r="AL12" i="13"/>
  <c r="AO11" i="13"/>
  <c r="AN11" i="13"/>
  <c r="AM11" i="13"/>
  <c r="AL11" i="13"/>
  <c r="AO10" i="13"/>
  <c r="AN10" i="13"/>
  <c r="AM10" i="13"/>
  <c r="AL10" i="13"/>
  <c r="AO9" i="13"/>
  <c r="AN9" i="13"/>
  <c r="AM9" i="13"/>
  <c r="AL9" i="13"/>
  <c r="AO8" i="13"/>
  <c r="AN8" i="13"/>
  <c r="AM8" i="13"/>
  <c r="AL8" i="13"/>
  <c r="AO7" i="13"/>
  <c r="AN7" i="13"/>
  <c r="AM7" i="13"/>
  <c r="AL7" i="13"/>
  <c r="AO6" i="13"/>
  <c r="AN6" i="13"/>
  <c r="AM6" i="13"/>
  <c r="AL6" i="13"/>
  <c r="AO5" i="13"/>
  <c r="AN5" i="13"/>
  <c r="AM5" i="13"/>
  <c r="AL5" i="13"/>
  <c r="AO4" i="13"/>
  <c r="AN4" i="13"/>
  <c r="AM4" i="13"/>
  <c r="AL4" i="13"/>
  <c r="AO3" i="13"/>
  <c r="AN3" i="13"/>
  <c r="AM3" i="13"/>
  <c r="AL3" i="13"/>
  <c r="AO2" i="13"/>
  <c r="AN2" i="13"/>
  <c r="AM2" i="13"/>
  <c r="AL2" i="13"/>
  <c r="AK1" i="13"/>
  <c r="C34" i="12"/>
  <c r="C33" i="12"/>
  <c r="L32" i="12"/>
  <c r="G32" i="12"/>
  <c r="AN101" i="11"/>
  <c r="AM101" i="11"/>
  <c r="AL101" i="11"/>
  <c r="AO100" i="11"/>
  <c r="AN100" i="11"/>
  <c r="AM100" i="11"/>
  <c r="AL100" i="11"/>
  <c r="AO99" i="11"/>
  <c r="AN99" i="11"/>
  <c r="AM99" i="11"/>
  <c r="AL99" i="11"/>
  <c r="AO98" i="11"/>
  <c r="AN98" i="11"/>
  <c r="AM98" i="11"/>
  <c r="AL98" i="11"/>
  <c r="AO97" i="11"/>
  <c r="AN97" i="11"/>
  <c r="AM97" i="11"/>
  <c r="AL97" i="11"/>
  <c r="AO96" i="11"/>
  <c r="AN96" i="11"/>
  <c r="AM96" i="11"/>
  <c r="AL96" i="11"/>
  <c r="AO95" i="11"/>
  <c r="AN95" i="11"/>
  <c r="AM95" i="11"/>
  <c r="AL95" i="11"/>
  <c r="AO94" i="11"/>
  <c r="AN94" i="11"/>
  <c r="AM94" i="11"/>
  <c r="AL94" i="11"/>
  <c r="AO93" i="11"/>
  <c r="AN93" i="11"/>
  <c r="AM93" i="11"/>
  <c r="AL93" i="11"/>
  <c r="AO92" i="11"/>
  <c r="AN92" i="11"/>
  <c r="AM92" i="11"/>
  <c r="AL92" i="11"/>
  <c r="AO91" i="11"/>
  <c r="AN91" i="11"/>
  <c r="AM91" i="11"/>
  <c r="AL91" i="11"/>
  <c r="AO90" i="11"/>
  <c r="AN90" i="11"/>
  <c r="AM90" i="11"/>
  <c r="AL90" i="11"/>
  <c r="AO89" i="11"/>
  <c r="AN89" i="11"/>
  <c r="AM89" i="11"/>
  <c r="AL89" i="11"/>
  <c r="AO88" i="11"/>
  <c r="AN88" i="11"/>
  <c r="AM88" i="11"/>
  <c r="AL88" i="11"/>
  <c r="AP87" i="11"/>
  <c r="AO87" i="11"/>
  <c r="AN87" i="11"/>
  <c r="AM87" i="11"/>
  <c r="AL87" i="11"/>
  <c r="AO86" i="11"/>
  <c r="AN86" i="11"/>
  <c r="AM86" i="11"/>
  <c r="AL86" i="11"/>
  <c r="AO85" i="11"/>
  <c r="AN85" i="11"/>
  <c r="AM85" i="11"/>
  <c r="AL85" i="11"/>
  <c r="AO84" i="11"/>
  <c r="AN84" i="11"/>
  <c r="AM84" i="11"/>
  <c r="AL84" i="11"/>
  <c r="AN83" i="11"/>
  <c r="AM83" i="11"/>
  <c r="AL83" i="11"/>
  <c r="AP82" i="11"/>
  <c r="AO82" i="11"/>
  <c r="AN82" i="11"/>
  <c r="AM82" i="11"/>
  <c r="AL82" i="11"/>
  <c r="AO81" i="11"/>
  <c r="AN81" i="11"/>
  <c r="AM81" i="11"/>
  <c r="AL81" i="11"/>
  <c r="AO80" i="11"/>
  <c r="AN80" i="11"/>
  <c r="AM80" i="11"/>
  <c r="AL80" i="11"/>
  <c r="AO79" i="11"/>
  <c r="AN79" i="11"/>
  <c r="AM79" i="11"/>
  <c r="AL79" i="11"/>
  <c r="AO78" i="11"/>
  <c r="AN78" i="11"/>
  <c r="AM78" i="11"/>
  <c r="AL78" i="11"/>
  <c r="AO77" i="11"/>
  <c r="AN77" i="11"/>
  <c r="AM77" i="11"/>
  <c r="AL77" i="11"/>
  <c r="AN76" i="11"/>
  <c r="AM76" i="11"/>
  <c r="AL76" i="11"/>
  <c r="AN75" i="11"/>
  <c r="AM75" i="11"/>
  <c r="AL75" i="11"/>
  <c r="AO74" i="11"/>
  <c r="AN74" i="11"/>
  <c r="AM74" i="11"/>
  <c r="AL74" i="11"/>
  <c r="AO73" i="11"/>
  <c r="AN73" i="11"/>
  <c r="AM73" i="11"/>
  <c r="AL73" i="11"/>
  <c r="AO72" i="11"/>
  <c r="AN72" i="11"/>
  <c r="AM72" i="11"/>
  <c r="AL72" i="11"/>
  <c r="AO71" i="11"/>
  <c r="AN71" i="11"/>
  <c r="AM71" i="11"/>
  <c r="AL71" i="11"/>
  <c r="AO70" i="11"/>
  <c r="AN70" i="11"/>
  <c r="AM70" i="11"/>
  <c r="AL70" i="11"/>
  <c r="AO69" i="11"/>
  <c r="AN69" i="11"/>
  <c r="AM69" i="11"/>
  <c r="AL69" i="11"/>
  <c r="AN68" i="11"/>
  <c r="AM68" i="11"/>
  <c r="AL68" i="11"/>
  <c r="AO67" i="11"/>
  <c r="AN67" i="11"/>
  <c r="AM67" i="11"/>
  <c r="AL67" i="11"/>
  <c r="AO66" i="11"/>
  <c r="AN66" i="11"/>
  <c r="AM66" i="11"/>
  <c r="AL66" i="11"/>
  <c r="AO65" i="11"/>
  <c r="AN65" i="11"/>
  <c r="AM65" i="11"/>
  <c r="AL65" i="11"/>
  <c r="AO64" i="11"/>
  <c r="AN64" i="11"/>
  <c r="AM64" i="11"/>
  <c r="AL64" i="11"/>
  <c r="AO63" i="11"/>
  <c r="AN63" i="11"/>
  <c r="AM63" i="11"/>
  <c r="AL63" i="11"/>
  <c r="AO62" i="11"/>
  <c r="AN62" i="11"/>
  <c r="AM62" i="11"/>
  <c r="AL62" i="11"/>
  <c r="AO61" i="11"/>
  <c r="AN61" i="11"/>
  <c r="AM61" i="11"/>
  <c r="AL61" i="11"/>
  <c r="AO60" i="11"/>
  <c r="AN60" i="11"/>
  <c r="AM60" i="11"/>
  <c r="AL60" i="11"/>
  <c r="AO59" i="11"/>
  <c r="AN59" i="11"/>
  <c r="AM59" i="11"/>
  <c r="AL59" i="11"/>
  <c r="AO58" i="11"/>
  <c r="AN58" i="11"/>
  <c r="AM58" i="11"/>
  <c r="AL58" i="11"/>
  <c r="AO57" i="11"/>
  <c r="AN57" i="11"/>
  <c r="AM57" i="11"/>
  <c r="AL57" i="11"/>
  <c r="AO56" i="11"/>
  <c r="AN56" i="11"/>
  <c r="AM56" i="11"/>
  <c r="AL56" i="11"/>
  <c r="AO55" i="11"/>
  <c r="AN55" i="11"/>
  <c r="AM55" i="11"/>
  <c r="AL55" i="11"/>
  <c r="AN54" i="11"/>
  <c r="AM54" i="11"/>
  <c r="AL54" i="11"/>
  <c r="AO53" i="11"/>
  <c r="AN53" i="11"/>
  <c r="AM53" i="11"/>
  <c r="AL53" i="11"/>
  <c r="AO52" i="11"/>
  <c r="AN52" i="11"/>
  <c r="AM52" i="11"/>
  <c r="AL52" i="11"/>
  <c r="AO51" i="11"/>
  <c r="AN51" i="11"/>
  <c r="AM51" i="11"/>
  <c r="AL51" i="11"/>
  <c r="AK50" i="11"/>
  <c r="AI36" i="11"/>
  <c r="AI105" i="11" s="1"/>
  <c r="AG36" i="11"/>
  <c r="AG105" i="11" s="1"/>
  <c r="AF36" i="11"/>
  <c r="AF105" i="11" s="1"/>
  <c r="AE36" i="11"/>
  <c r="AE105" i="11" s="1"/>
  <c r="AD36" i="11"/>
  <c r="AD105" i="11" s="1"/>
  <c r="AC36" i="11"/>
  <c r="AC105" i="11" s="1"/>
  <c r="AB36" i="11"/>
  <c r="AB105" i="11" s="1"/>
  <c r="AA36" i="11"/>
  <c r="AA105" i="11" s="1"/>
  <c r="Z36" i="11"/>
  <c r="Z105" i="11" s="1"/>
  <c r="Y36" i="11"/>
  <c r="Y105" i="11" s="1"/>
  <c r="X36" i="11"/>
  <c r="X105" i="11" s="1"/>
  <c r="W36" i="11"/>
  <c r="W105" i="11" s="1"/>
  <c r="V36" i="11"/>
  <c r="V105" i="11" s="1"/>
  <c r="U36" i="11"/>
  <c r="U105" i="11" s="1"/>
  <c r="T36" i="11"/>
  <c r="T105" i="11" s="1"/>
  <c r="S36" i="11"/>
  <c r="S105" i="11" s="1"/>
  <c r="R36" i="11"/>
  <c r="R105" i="11" s="1"/>
  <c r="Q36" i="11"/>
  <c r="Q105" i="11" s="1"/>
  <c r="P36" i="11"/>
  <c r="P105" i="11" s="1"/>
  <c r="O36" i="11"/>
  <c r="O105" i="11" s="1"/>
  <c r="N36" i="11"/>
  <c r="N105" i="11" s="1"/>
  <c r="M36" i="11"/>
  <c r="M105" i="11" s="1"/>
  <c r="L36" i="11"/>
  <c r="L105" i="11" s="1"/>
  <c r="K36" i="11"/>
  <c r="K105" i="11" s="1"/>
  <c r="J36" i="11"/>
  <c r="J105" i="11" s="1"/>
  <c r="I36" i="11"/>
  <c r="I105" i="11" s="1"/>
  <c r="H36" i="11"/>
  <c r="H105" i="11" s="1"/>
  <c r="G36" i="11"/>
  <c r="G105" i="11" s="1"/>
  <c r="F36" i="11"/>
  <c r="F105" i="11" s="1"/>
  <c r="E36" i="11"/>
  <c r="E105" i="11" s="1"/>
  <c r="AI35" i="11"/>
  <c r="AI104" i="11" s="1"/>
  <c r="AG35" i="11"/>
  <c r="AG104" i="11" s="1"/>
  <c r="AF35" i="11"/>
  <c r="AF104" i="11" s="1"/>
  <c r="AE35" i="11"/>
  <c r="AE104" i="11" s="1"/>
  <c r="AD35" i="11"/>
  <c r="AD104" i="11" s="1"/>
  <c r="AC35" i="11"/>
  <c r="AC104" i="11" s="1"/>
  <c r="AB35" i="11"/>
  <c r="AB104" i="11" s="1"/>
  <c r="AA35" i="11"/>
  <c r="AA104" i="11" s="1"/>
  <c r="Z35" i="11"/>
  <c r="Z104" i="11" s="1"/>
  <c r="Y35" i="11"/>
  <c r="Y104" i="11" s="1"/>
  <c r="X35" i="11"/>
  <c r="X104" i="11" s="1"/>
  <c r="W35" i="11"/>
  <c r="W104" i="11" s="1"/>
  <c r="V35" i="11"/>
  <c r="V104" i="11" s="1"/>
  <c r="U35" i="11"/>
  <c r="U104" i="11" s="1"/>
  <c r="T35" i="11"/>
  <c r="T104" i="11" s="1"/>
  <c r="S35" i="11"/>
  <c r="S104" i="11" s="1"/>
  <c r="R35" i="11"/>
  <c r="R104" i="11" s="1"/>
  <c r="Q35" i="11"/>
  <c r="Q104" i="11" s="1"/>
  <c r="P35" i="11"/>
  <c r="P104" i="11" s="1"/>
  <c r="O35" i="11"/>
  <c r="O104" i="11" s="1"/>
  <c r="N35" i="11"/>
  <c r="N104" i="11" s="1"/>
  <c r="M35" i="11"/>
  <c r="M104" i="11" s="1"/>
  <c r="L35" i="11"/>
  <c r="L104" i="11" s="1"/>
  <c r="K35" i="11"/>
  <c r="K104" i="11" s="1"/>
  <c r="J35" i="11"/>
  <c r="J104" i="11" s="1"/>
  <c r="I35" i="11"/>
  <c r="I104" i="11" s="1"/>
  <c r="H35" i="11"/>
  <c r="H104" i="11" s="1"/>
  <c r="G35" i="11"/>
  <c r="G104" i="11" s="1"/>
  <c r="F35" i="11"/>
  <c r="F104" i="11" s="1"/>
  <c r="E35" i="11"/>
  <c r="E104" i="11" s="1"/>
  <c r="AI34" i="11"/>
  <c r="AI103" i="11" s="1"/>
  <c r="AI37" i="11" s="1"/>
  <c r="AI106" i="11" s="1"/>
  <c r="AH34" i="11"/>
  <c r="AH103" i="11" s="1"/>
  <c r="AG34" i="11"/>
  <c r="AG103" i="11" s="1"/>
  <c r="AG37" i="11" s="1"/>
  <c r="AG106" i="11" s="1"/>
  <c r="AF34" i="11"/>
  <c r="AE34" i="11"/>
  <c r="AE103" i="11" s="1"/>
  <c r="AE37" i="11" s="1"/>
  <c r="AE106" i="11" s="1"/>
  <c r="AD34" i="11"/>
  <c r="AC34" i="11"/>
  <c r="AC103" i="11" s="1"/>
  <c r="AC37" i="11" s="1"/>
  <c r="AC106" i="11" s="1"/>
  <c r="AB34" i="11"/>
  <c r="AB103" i="11" s="1"/>
  <c r="AA34" i="11"/>
  <c r="AA103" i="11" s="1"/>
  <c r="AA37" i="11" s="1"/>
  <c r="AA106" i="11" s="1"/>
  <c r="Z34" i="11"/>
  <c r="Z103" i="11" s="1"/>
  <c r="Y34" i="11"/>
  <c r="Y103" i="11" s="1"/>
  <c r="X34" i="11"/>
  <c r="X103" i="11" s="1"/>
  <c r="W34" i="11"/>
  <c r="W103" i="11" s="1"/>
  <c r="W37" i="11" s="1"/>
  <c r="W106" i="11" s="1"/>
  <c r="V34" i="11"/>
  <c r="V103" i="11" s="1"/>
  <c r="U34" i="11"/>
  <c r="T34" i="11"/>
  <c r="T103" i="11" s="1"/>
  <c r="S34" i="11"/>
  <c r="S103" i="11" s="1"/>
  <c r="S37" i="11" s="1"/>
  <c r="S106" i="11" s="1"/>
  <c r="R34" i="11"/>
  <c r="R103" i="11" s="1"/>
  <c r="Q34" i="11"/>
  <c r="Q103" i="11" s="1"/>
  <c r="Q37" i="11" s="1"/>
  <c r="Q106" i="11" s="1"/>
  <c r="P34" i="11"/>
  <c r="O34" i="11"/>
  <c r="O103" i="11" s="1"/>
  <c r="O37" i="11" s="1"/>
  <c r="O106" i="11" s="1"/>
  <c r="N34" i="11"/>
  <c r="M34" i="11"/>
  <c r="M103" i="11" s="1"/>
  <c r="M37" i="11" s="1"/>
  <c r="M106" i="11" s="1"/>
  <c r="L34" i="11"/>
  <c r="L103" i="11" s="1"/>
  <c r="K34" i="11"/>
  <c r="K103" i="11" s="1"/>
  <c r="K37" i="11" s="1"/>
  <c r="K106" i="11" s="1"/>
  <c r="J34" i="11"/>
  <c r="J103" i="11" s="1"/>
  <c r="I34" i="11"/>
  <c r="I103" i="11" s="1"/>
  <c r="H34" i="11"/>
  <c r="H103" i="11" s="1"/>
  <c r="G34" i="11"/>
  <c r="G103" i="11" s="1"/>
  <c r="G37" i="11" s="1"/>
  <c r="G106" i="11" s="1"/>
  <c r="F34" i="11"/>
  <c r="F103" i="11" s="1"/>
  <c r="E34" i="11"/>
  <c r="AO32" i="11"/>
  <c r="AN32" i="11"/>
  <c r="AM32" i="11"/>
  <c r="AL32" i="11"/>
  <c r="D32" i="11"/>
  <c r="AO31" i="11"/>
  <c r="AN31" i="11"/>
  <c r="AM31" i="11"/>
  <c r="AL31" i="11"/>
  <c r="AO30" i="11"/>
  <c r="AN30" i="11"/>
  <c r="AM30" i="11"/>
  <c r="AL30" i="11"/>
  <c r="AO29" i="11"/>
  <c r="AN29" i="11"/>
  <c r="AM29" i="11"/>
  <c r="AL29" i="11"/>
  <c r="AO28" i="11"/>
  <c r="AN28" i="11"/>
  <c r="AM28" i="11"/>
  <c r="AL28" i="11"/>
  <c r="AO27" i="11"/>
  <c r="AN27" i="11"/>
  <c r="AM27" i="11"/>
  <c r="AL27" i="11"/>
  <c r="AO26" i="11"/>
  <c r="AN26" i="11"/>
  <c r="AM26" i="11"/>
  <c r="AL26" i="11"/>
  <c r="AN25" i="11"/>
  <c r="AM25" i="11"/>
  <c r="AL25" i="11"/>
  <c r="AO24" i="11"/>
  <c r="AN24" i="11"/>
  <c r="AM24" i="11"/>
  <c r="AL24" i="11"/>
  <c r="AO23" i="11"/>
  <c r="AN23" i="11"/>
  <c r="AM23" i="11"/>
  <c r="AL23" i="11"/>
  <c r="AO22" i="11"/>
  <c r="AN22" i="11"/>
  <c r="AM22" i="11"/>
  <c r="AL22" i="11"/>
  <c r="AO21" i="11"/>
  <c r="AN21" i="11"/>
  <c r="AM21" i="11"/>
  <c r="AL21" i="11"/>
  <c r="AO20" i="11"/>
  <c r="AN20" i="11"/>
  <c r="AM20" i="11"/>
  <c r="AL20" i="11"/>
  <c r="AO19" i="11"/>
  <c r="AN19" i="11"/>
  <c r="AM19" i="11"/>
  <c r="AL19" i="11"/>
  <c r="AN18" i="11"/>
  <c r="AM18" i="11"/>
  <c r="AL18" i="11"/>
  <c r="AO17" i="11"/>
  <c r="AN17" i="11"/>
  <c r="AM17" i="11"/>
  <c r="AL17" i="11"/>
  <c r="AO16" i="11"/>
  <c r="AN16" i="11"/>
  <c r="AM16" i="11"/>
  <c r="AL16" i="11"/>
  <c r="AP15" i="11"/>
  <c r="AO15" i="11"/>
  <c r="AN15" i="11"/>
  <c r="AM15" i="11"/>
  <c r="AL15" i="11"/>
  <c r="AO14" i="11"/>
  <c r="AN14" i="11"/>
  <c r="AM14" i="11"/>
  <c r="AL14" i="11"/>
  <c r="AO13" i="11"/>
  <c r="AN13" i="11"/>
  <c r="AM13" i="11"/>
  <c r="AL13" i="11"/>
  <c r="AO12" i="11"/>
  <c r="AN12" i="11"/>
  <c r="AM12" i="11"/>
  <c r="AL12" i="11"/>
  <c r="AO11" i="11"/>
  <c r="AN11" i="11"/>
  <c r="AM11" i="11"/>
  <c r="AL11" i="11"/>
  <c r="AO10" i="11"/>
  <c r="AN10" i="11"/>
  <c r="AM10" i="11"/>
  <c r="AL10" i="11"/>
  <c r="AO9" i="11"/>
  <c r="AN9" i="11"/>
  <c r="AM9" i="11"/>
  <c r="AL9" i="11"/>
  <c r="AO8" i="11"/>
  <c r="AN8" i="11"/>
  <c r="AM8" i="11"/>
  <c r="AL8" i="11"/>
  <c r="AO7" i="11"/>
  <c r="AN7" i="11"/>
  <c r="AM7" i="11"/>
  <c r="AL7" i="11"/>
  <c r="AO6" i="11"/>
  <c r="AN6" i="11"/>
  <c r="AM6" i="11"/>
  <c r="AL6" i="11"/>
  <c r="AN5" i="11"/>
  <c r="AM5" i="11"/>
  <c r="AL5" i="11"/>
  <c r="AO4" i="11"/>
  <c r="AN4" i="11"/>
  <c r="AM4" i="11"/>
  <c r="AL4" i="11"/>
  <c r="AO3" i="11"/>
  <c r="AN3" i="11"/>
  <c r="AM3" i="11"/>
  <c r="AL3" i="11"/>
  <c r="AO2" i="11"/>
  <c r="AN2" i="11"/>
  <c r="AM2" i="11"/>
  <c r="AL2" i="11"/>
  <c r="AK1" i="11"/>
  <c r="L32" i="10"/>
  <c r="G32" i="10"/>
  <c r="L31" i="10"/>
  <c r="G31" i="10"/>
  <c r="L30" i="10"/>
  <c r="G30" i="10"/>
  <c r="L29" i="10"/>
  <c r="G29" i="10"/>
  <c r="N26" i="10"/>
  <c r="L26" i="10"/>
  <c r="I26" i="10"/>
  <c r="G26" i="10"/>
  <c r="N25" i="10"/>
  <c r="L25" i="10"/>
  <c r="I25" i="10"/>
  <c r="G25" i="10"/>
  <c r="N24" i="10"/>
  <c r="L24" i="10"/>
  <c r="I24" i="10"/>
  <c r="G24" i="10"/>
  <c r="N23" i="10"/>
  <c r="L23" i="10"/>
  <c r="I23" i="10"/>
  <c r="G23" i="10"/>
  <c r="N20" i="10"/>
  <c r="L20" i="10"/>
  <c r="I20" i="10"/>
  <c r="G20" i="10"/>
  <c r="N19" i="10"/>
  <c r="L19" i="10"/>
  <c r="I19" i="10"/>
  <c r="G19" i="10"/>
  <c r="N18" i="10"/>
  <c r="L18" i="10"/>
  <c r="I18" i="10"/>
  <c r="G18" i="10"/>
  <c r="N17" i="10"/>
  <c r="L17" i="10"/>
  <c r="I17" i="10"/>
  <c r="G17" i="10"/>
  <c r="N14" i="10"/>
  <c r="L14" i="10"/>
  <c r="I14" i="10"/>
  <c r="G14" i="10"/>
  <c r="N13" i="10"/>
  <c r="L13" i="10"/>
  <c r="I13" i="10"/>
  <c r="G13" i="10"/>
  <c r="N12" i="10"/>
  <c r="L12" i="10"/>
  <c r="I12" i="10"/>
  <c r="G12" i="10"/>
  <c r="N11" i="10"/>
  <c r="L11" i="10"/>
  <c r="I11" i="10"/>
  <c r="G11" i="10"/>
  <c r="N8" i="10"/>
  <c r="L8" i="10"/>
  <c r="I8" i="10"/>
  <c r="G8" i="10"/>
  <c r="I7" i="10"/>
  <c r="G7" i="10"/>
  <c r="N6" i="10"/>
  <c r="L6" i="10"/>
  <c r="I6" i="10"/>
  <c r="G6" i="10"/>
  <c r="N5" i="10"/>
  <c r="L5" i="10"/>
  <c r="I5" i="10"/>
  <c r="G5" i="10"/>
  <c r="AO101" i="9"/>
  <c r="AN101" i="9"/>
  <c r="AM101" i="9"/>
  <c r="AL101" i="9"/>
  <c r="AO100" i="9"/>
  <c r="AN100" i="9"/>
  <c r="AM100" i="9"/>
  <c r="AL100" i="9"/>
  <c r="AO99" i="9"/>
  <c r="AN99" i="9"/>
  <c r="AM99" i="9"/>
  <c r="AL99" i="9"/>
  <c r="AO98" i="9"/>
  <c r="AN98" i="9"/>
  <c r="AM98" i="9"/>
  <c r="AL98" i="9"/>
  <c r="AO97" i="9"/>
  <c r="AN97" i="9"/>
  <c r="AM97" i="9"/>
  <c r="AL97" i="9"/>
  <c r="AO96" i="9"/>
  <c r="AN96" i="9"/>
  <c r="AM96" i="9"/>
  <c r="AL96" i="9"/>
  <c r="AO95" i="9"/>
  <c r="AN95" i="9"/>
  <c r="AM95" i="9"/>
  <c r="AL95" i="9"/>
  <c r="AO94" i="9"/>
  <c r="AN94" i="9"/>
  <c r="AM94" i="9"/>
  <c r="AL94" i="9"/>
  <c r="AO93" i="9"/>
  <c r="AN93" i="9"/>
  <c r="AM93" i="9"/>
  <c r="AL93" i="9"/>
  <c r="AO92" i="9"/>
  <c r="AN92" i="9"/>
  <c r="AM92" i="9"/>
  <c r="AL92" i="9"/>
  <c r="AO91" i="9"/>
  <c r="AN91" i="9"/>
  <c r="AM91" i="9"/>
  <c r="AL91" i="9"/>
  <c r="AO90" i="9"/>
  <c r="AN90" i="9"/>
  <c r="AM90" i="9"/>
  <c r="AL90" i="9"/>
  <c r="AO89" i="9"/>
  <c r="AN89" i="9"/>
  <c r="AM89" i="9"/>
  <c r="AL89" i="9"/>
  <c r="AO88" i="9"/>
  <c r="AN88" i="9"/>
  <c r="AM88" i="9"/>
  <c r="AL88" i="9"/>
  <c r="AO87" i="9"/>
  <c r="AN87" i="9"/>
  <c r="AM87" i="9"/>
  <c r="AL87" i="9"/>
  <c r="AO86" i="9"/>
  <c r="AN86" i="9"/>
  <c r="AM86" i="9"/>
  <c r="AL86" i="9"/>
  <c r="AO85" i="9"/>
  <c r="AN85" i="9"/>
  <c r="AM85" i="9"/>
  <c r="AL85" i="9"/>
  <c r="AO84" i="9"/>
  <c r="AN84" i="9"/>
  <c r="AM84" i="9"/>
  <c r="AL84" i="9"/>
  <c r="AO83" i="9"/>
  <c r="AN83" i="9"/>
  <c r="AM83" i="9"/>
  <c r="AL83" i="9"/>
  <c r="AO82" i="9"/>
  <c r="AN82" i="9"/>
  <c r="AM82" i="9"/>
  <c r="AL82" i="9"/>
  <c r="AO81" i="9"/>
  <c r="AN81" i="9"/>
  <c r="AM81" i="9"/>
  <c r="AL81" i="9"/>
  <c r="AO80" i="9"/>
  <c r="AN80" i="9"/>
  <c r="AM80" i="9"/>
  <c r="AL80" i="9"/>
  <c r="AO79" i="9"/>
  <c r="AN79" i="9"/>
  <c r="AM79" i="9"/>
  <c r="AL79" i="9"/>
  <c r="AO78" i="9"/>
  <c r="AN78" i="9"/>
  <c r="AM78" i="9"/>
  <c r="AL78" i="9"/>
  <c r="AO77" i="9"/>
  <c r="AN77" i="9"/>
  <c r="AM77" i="9"/>
  <c r="AL77" i="9"/>
  <c r="AO76" i="9"/>
  <c r="AN76" i="9"/>
  <c r="AM76" i="9"/>
  <c r="AL76" i="9"/>
  <c r="AO75" i="9"/>
  <c r="AN75" i="9"/>
  <c r="AM75" i="9"/>
  <c r="AL75" i="9"/>
  <c r="AO74" i="9"/>
  <c r="AN74" i="9"/>
  <c r="AM74" i="9"/>
  <c r="AL74" i="9"/>
  <c r="AO73" i="9"/>
  <c r="AN73" i="9"/>
  <c r="AM73" i="9"/>
  <c r="AL73" i="9"/>
  <c r="AO72" i="9"/>
  <c r="AN72" i="9"/>
  <c r="AM72" i="9"/>
  <c r="AL72" i="9"/>
  <c r="AO71" i="9"/>
  <c r="AN71" i="9"/>
  <c r="AM71" i="9"/>
  <c r="AL71" i="9"/>
  <c r="AO70" i="9"/>
  <c r="AN70" i="9"/>
  <c r="AM70" i="9"/>
  <c r="AL70" i="9"/>
  <c r="AO69" i="9"/>
  <c r="AN69" i="9"/>
  <c r="AM69" i="9"/>
  <c r="AL69" i="9"/>
  <c r="AO68" i="9"/>
  <c r="AN68" i="9"/>
  <c r="AM68" i="9"/>
  <c r="AL68" i="9"/>
  <c r="AO67" i="9"/>
  <c r="AN67" i="9"/>
  <c r="AM67" i="9"/>
  <c r="AL67" i="9"/>
  <c r="AO66" i="9"/>
  <c r="AN66" i="9"/>
  <c r="AM66" i="9"/>
  <c r="AL66" i="9"/>
  <c r="AO65" i="9"/>
  <c r="AN65" i="9"/>
  <c r="AM65" i="9"/>
  <c r="AL65" i="9"/>
  <c r="AO64" i="9"/>
  <c r="AN64" i="9"/>
  <c r="AM64" i="9"/>
  <c r="AL64" i="9"/>
  <c r="AO63" i="9"/>
  <c r="AN63" i="9"/>
  <c r="AM63" i="9"/>
  <c r="AL63" i="9"/>
  <c r="AO62" i="9"/>
  <c r="AN62" i="9"/>
  <c r="AM62" i="9"/>
  <c r="AL62" i="9"/>
  <c r="AO61" i="9"/>
  <c r="AN61" i="9"/>
  <c r="AM61" i="9"/>
  <c r="AL61" i="9"/>
  <c r="AO60" i="9"/>
  <c r="AN60" i="9"/>
  <c r="AM60" i="9"/>
  <c r="AL60" i="9"/>
  <c r="AO59" i="9"/>
  <c r="AN59" i="9"/>
  <c r="AM59" i="9"/>
  <c r="AL59" i="9"/>
  <c r="AO58" i="9"/>
  <c r="AN58" i="9"/>
  <c r="AM58" i="9"/>
  <c r="AL58" i="9"/>
  <c r="AO57" i="9"/>
  <c r="AN57" i="9"/>
  <c r="AM57" i="9"/>
  <c r="AL57" i="9"/>
  <c r="AO56" i="9"/>
  <c r="AN56" i="9"/>
  <c r="AM56" i="9"/>
  <c r="AL56" i="9"/>
  <c r="AO55" i="9"/>
  <c r="AN55" i="9"/>
  <c r="AM55" i="9"/>
  <c r="AL55" i="9"/>
  <c r="AO54" i="9"/>
  <c r="AN54" i="9"/>
  <c r="AM54" i="9"/>
  <c r="AL54" i="9"/>
  <c r="AO53" i="9"/>
  <c r="AN53" i="9"/>
  <c r="AM53" i="9"/>
  <c r="AL53" i="9"/>
  <c r="AO52" i="9"/>
  <c r="AN52" i="9"/>
  <c r="AM52" i="9"/>
  <c r="AL52" i="9"/>
  <c r="AO51" i="9"/>
  <c r="AN51" i="9"/>
  <c r="AM51" i="9"/>
  <c r="AL51" i="9"/>
  <c r="AK50" i="9"/>
  <c r="AL50" i="5" s="1"/>
  <c r="AI36" i="9"/>
  <c r="AI105" i="9" s="1"/>
  <c r="AH36" i="9"/>
  <c r="AH105" i="9" s="1"/>
  <c r="AG36" i="9"/>
  <c r="AG105" i="9" s="1"/>
  <c r="AF36" i="9"/>
  <c r="AF105" i="9" s="1"/>
  <c r="AE36" i="9"/>
  <c r="AE105" i="9" s="1"/>
  <c r="AD36" i="9"/>
  <c r="AD105" i="9" s="1"/>
  <c r="AC36" i="9"/>
  <c r="AC105" i="9" s="1"/>
  <c r="AB36" i="9"/>
  <c r="AB105" i="9" s="1"/>
  <c r="AA36" i="9"/>
  <c r="AA105" i="9" s="1"/>
  <c r="Z36" i="9"/>
  <c r="Z105" i="9" s="1"/>
  <c r="Y36" i="9"/>
  <c r="Y105" i="9" s="1"/>
  <c r="X36" i="9"/>
  <c r="X105" i="9" s="1"/>
  <c r="W36" i="9"/>
  <c r="W105" i="9" s="1"/>
  <c r="V36" i="9"/>
  <c r="V105" i="9" s="1"/>
  <c r="U36" i="9"/>
  <c r="U105" i="9" s="1"/>
  <c r="T36" i="9"/>
  <c r="T105" i="9" s="1"/>
  <c r="S36" i="9"/>
  <c r="S105" i="9" s="1"/>
  <c r="R36" i="9"/>
  <c r="R105" i="9" s="1"/>
  <c r="Q36" i="9"/>
  <c r="Q105" i="9" s="1"/>
  <c r="P36" i="9"/>
  <c r="P105" i="9" s="1"/>
  <c r="O36" i="9"/>
  <c r="O105" i="9" s="1"/>
  <c r="N36" i="9"/>
  <c r="N105" i="9" s="1"/>
  <c r="M36" i="9"/>
  <c r="M105" i="9" s="1"/>
  <c r="L36" i="9"/>
  <c r="L105" i="9" s="1"/>
  <c r="K36" i="9"/>
  <c r="K105" i="9" s="1"/>
  <c r="J36" i="9"/>
  <c r="J105" i="9" s="1"/>
  <c r="I36" i="9"/>
  <c r="I105" i="9" s="1"/>
  <c r="H36" i="9"/>
  <c r="H105" i="9" s="1"/>
  <c r="G36" i="9"/>
  <c r="G105" i="9" s="1"/>
  <c r="F36" i="9"/>
  <c r="F105" i="9" s="1"/>
  <c r="E36" i="9"/>
  <c r="E105" i="9" s="1"/>
  <c r="AI35" i="9"/>
  <c r="AI104" i="9" s="1"/>
  <c r="AH35" i="9"/>
  <c r="AH104" i="9" s="1"/>
  <c r="AG35" i="9"/>
  <c r="AG104" i="9" s="1"/>
  <c r="AF35" i="9"/>
  <c r="AF104" i="9" s="1"/>
  <c r="AE35" i="9"/>
  <c r="AE104" i="9" s="1"/>
  <c r="AD35" i="9"/>
  <c r="AD104" i="9" s="1"/>
  <c r="AC35" i="9"/>
  <c r="AC104" i="9" s="1"/>
  <c r="AB35" i="9"/>
  <c r="AB104" i="9" s="1"/>
  <c r="AA35" i="9"/>
  <c r="AA104" i="9" s="1"/>
  <c r="Z35" i="9"/>
  <c r="Z104" i="9" s="1"/>
  <c r="Y35" i="9"/>
  <c r="Y104" i="9" s="1"/>
  <c r="X35" i="9"/>
  <c r="X104" i="9" s="1"/>
  <c r="W35" i="9"/>
  <c r="W104" i="9" s="1"/>
  <c r="V35" i="9"/>
  <c r="V104" i="9" s="1"/>
  <c r="U35" i="9"/>
  <c r="U104" i="9" s="1"/>
  <c r="T35" i="9"/>
  <c r="T104" i="9" s="1"/>
  <c r="S35" i="9"/>
  <c r="S104" i="9" s="1"/>
  <c r="R35" i="9"/>
  <c r="R104" i="9" s="1"/>
  <c r="Q35" i="9"/>
  <c r="Q104" i="9" s="1"/>
  <c r="P35" i="9"/>
  <c r="P104" i="9" s="1"/>
  <c r="O35" i="9"/>
  <c r="O104" i="9" s="1"/>
  <c r="N35" i="9"/>
  <c r="N104" i="9" s="1"/>
  <c r="M35" i="9"/>
  <c r="M104" i="9" s="1"/>
  <c r="L35" i="9"/>
  <c r="L104" i="9" s="1"/>
  <c r="K35" i="9"/>
  <c r="K104" i="9" s="1"/>
  <c r="J35" i="9"/>
  <c r="J104" i="9" s="1"/>
  <c r="I35" i="9"/>
  <c r="I104" i="9" s="1"/>
  <c r="H35" i="9"/>
  <c r="H104" i="9" s="1"/>
  <c r="G35" i="9"/>
  <c r="G104" i="9" s="1"/>
  <c r="F35" i="9"/>
  <c r="F104" i="9" s="1"/>
  <c r="E35" i="9"/>
  <c r="E104" i="9" s="1"/>
  <c r="AI34" i="9"/>
  <c r="AI103" i="9" s="1"/>
  <c r="AH34" i="9"/>
  <c r="AH103" i="9" s="1"/>
  <c r="AG34" i="9"/>
  <c r="AG103" i="9" s="1"/>
  <c r="AF34" i="9"/>
  <c r="AF103" i="9" s="1"/>
  <c r="AE34" i="9"/>
  <c r="AE103" i="9" s="1"/>
  <c r="AD34" i="9"/>
  <c r="AD103" i="9" s="1"/>
  <c r="AC34" i="9"/>
  <c r="AC103" i="9" s="1"/>
  <c r="AB34" i="9"/>
  <c r="AB103" i="9" s="1"/>
  <c r="AA34" i="9"/>
  <c r="AA103" i="9" s="1"/>
  <c r="Z34" i="9"/>
  <c r="Z103" i="9" s="1"/>
  <c r="Y34" i="9"/>
  <c r="Y103" i="9" s="1"/>
  <c r="X34" i="9"/>
  <c r="X103" i="9" s="1"/>
  <c r="W34" i="9"/>
  <c r="W103" i="9" s="1"/>
  <c r="V34" i="9"/>
  <c r="V103" i="9" s="1"/>
  <c r="U34" i="9"/>
  <c r="U103" i="9" s="1"/>
  <c r="T34" i="9"/>
  <c r="T103" i="9" s="1"/>
  <c r="S34" i="9"/>
  <c r="S103" i="9" s="1"/>
  <c r="R34" i="9"/>
  <c r="R103" i="9" s="1"/>
  <c r="Q34" i="9"/>
  <c r="Q103" i="9" s="1"/>
  <c r="P34" i="9"/>
  <c r="P103" i="9" s="1"/>
  <c r="O34" i="9"/>
  <c r="O103" i="9" s="1"/>
  <c r="N34" i="9"/>
  <c r="N103" i="9" s="1"/>
  <c r="M34" i="9"/>
  <c r="M103" i="9" s="1"/>
  <c r="L34" i="9"/>
  <c r="L103" i="9" s="1"/>
  <c r="K34" i="9"/>
  <c r="K103" i="9" s="1"/>
  <c r="J34" i="9"/>
  <c r="J103" i="9" s="1"/>
  <c r="I34" i="9"/>
  <c r="I103" i="9" s="1"/>
  <c r="H34" i="9"/>
  <c r="H103" i="9" s="1"/>
  <c r="G34" i="9"/>
  <c r="G103" i="9" s="1"/>
  <c r="F34" i="9"/>
  <c r="F103" i="9" s="1"/>
  <c r="E34" i="9"/>
  <c r="E103" i="9" s="1"/>
  <c r="AK33" i="9"/>
  <c r="AO32" i="9"/>
  <c r="AN32" i="9"/>
  <c r="AM32" i="9"/>
  <c r="AL32" i="9"/>
  <c r="D32" i="9"/>
  <c r="AO31" i="9"/>
  <c r="AN31" i="9"/>
  <c r="AM31" i="9"/>
  <c r="AL31" i="9"/>
  <c r="AO30" i="9"/>
  <c r="AN30" i="9"/>
  <c r="AM30" i="9"/>
  <c r="AL30" i="9"/>
  <c r="D30" i="9"/>
  <c r="AO29" i="9"/>
  <c r="AN29" i="9"/>
  <c r="AM29" i="9"/>
  <c r="AL29" i="9"/>
  <c r="AO28" i="9"/>
  <c r="AN28" i="9"/>
  <c r="AM28" i="9"/>
  <c r="AL28" i="9"/>
  <c r="AO27" i="9"/>
  <c r="AN27" i="9"/>
  <c r="AM27" i="9"/>
  <c r="AL27" i="9"/>
  <c r="AO26" i="9"/>
  <c r="AN26" i="9"/>
  <c r="AM26" i="9"/>
  <c r="AL26" i="9"/>
  <c r="AO25" i="9"/>
  <c r="AN25" i="9"/>
  <c r="AM25" i="9"/>
  <c r="AL25" i="9"/>
  <c r="AO24" i="9"/>
  <c r="AN24" i="9"/>
  <c r="AM24" i="9"/>
  <c r="AL24" i="9"/>
  <c r="AO23" i="9"/>
  <c r="AN23" i="9"/>
  <c r="AM23" i="9"/>
  <c r="AL23" i="9"/>
  <c r="AO22" i="9"/>
  <c r="AN22" i="9"/>
  <c r="AM22" i="9"/>
  <c r="AL22" i="9"/>
  <c r="AO21" i="9"/>
  <c r="AN21" i="9"/>
  <c r="AM21" i="9"/>
  <c r="AL21" i="9"/>
  <c r="AO20" i="9"/>
  <c r="AN20" i="9"/>
  <c r="AM20" i="9"/>
  <c r="AL20" i="9"/>
  <c r="AO19" i="9"/>
  <c r="AN19" i="9"/>
  <c r="AM19" i="9"/>
  <c r="AL19" i="9"/>
  <c r="AO18" i="9"/>
  <c r="AN18" i="9"/>
  <c r="AM18" i="9"/>
  <c r="AL18" i="9"/>
  <c r="AO17" i="9"/>
  <c r="AN17" i="9"/>
  <c r="AM17" i="9"/>
  <c r="AL17" i="9"/>
  <c r="AO16" i="9"/>
  <c r="AN16" i="9"/>
  <c r="AM16" i="9"/>
  <c r="AL16" i="9"/>
  <c r="AO15" i="9"/>
  <c r="AN15" i="9"/>
  <c r="AM15" i="9"/>
  <c r="AL15" i="9"/>
  <c r="AO14" i="9"/>
  <c r="AN14" i="9"/>
  <c r="AM14" i="9"/>
  <c r="AL14" i="9"/>
  <c r="AP13" i="9"/>
  <c r="AO13" i="9"/>
  <c r="AN13" i="9"/>
  <c r="AM13" i="9"/>
  <c r="AL13" i="9"/>
  <c r="AO12" i="9"/>
  <c r="AN12" i="9"/>
  <c r="AM12" i="9"/>
  <c r="AL12" i="9"/>
  <c r="AO11" i="9"/>
  <c r="AN11" i="9"/>
  <c r="AM11" i="9"/>
  <c r="AL11" i="9"/>
  <c r="AO10" i="9"/>
  <c r="AN10" i="9"/>
  <c r="AM10" i="9"/>
  <c r="AL10" i="9"/>
  <c r="AO9" i="9"/>
  <c r="AN9" i="9"/>
  <c r="AM9" i="9"/>
  <c r="AL9" i="9"/>
  <c r="AO8" i="9"/>
  <c r="AN8" i="9"/>
  <c r="AM8" i="9"/>
  <c r="AL8" i="9"/>
  <c r="AO7" i="9"/>
  <c r="AN7" i="9"/>
  <c r="AM7" i="9"/>
  <c r="AL7" i="9"/>
  <c r="AO6" i="9"/>
  <c r="AN6" i="9"/>
  <c r="AM6" i="9"/>
  <c r="AL6" i="9"/>
  <c r="AO5" i="9"/>
  <c r="AN5" i="9"/>
  <c r="AM5" i="9"/>
  <c r="AL5" i="9"/>
  <c r="AO4" i="9"/>
  <c r="AN4" i="9"/>
  <c r="AM4" i="9"/>
  <c r="AL4" i="9"/>
  <c r="AO3" i="9"/>
  <c r="AN3" i="9"/>
  <c r="AM3" i="9"/>
  <c r="AL3" i="9"/>
  <c r="AO2" i="9"/>
  <c r="AN2" i="9"/>
  <c r="AM2" i="9"/>
  <c r="AL2" i="9"/>
  <c r="AK1" i="9"/>
  <c r="C31" i="8"/>
  <c r="N26" i="8"/>
  <c r="L26" i="8"/>
  <c r="I26" i="8"/>
  <c r="G26" i="8"/>
  <c r="N25" i="8"/>
  <c r="L25" i="8"/>
  <c r="I25" i="8"/>
  <c r="G25" i="8"/>
  <c r="N24" i="8"/>
  <c r="L24" i="8"/>
  <c r="I24" i="8"/>
  <c r="G24" i="8"/>
  <c r="N23" i="8"/>
  <c r="L23" i="8"/>
  <c r="I23" i="8"/>
  <c r="G23" i="8"/>
  <c r="N20" i="8"/>
  <c r="L20" i="8"/>
  <c r="I20" i="8"/>
  <c r="G20" i="8"/>
  <c r="N19" i="8"/>
  <c r="L19" i="8"/>
  <c r="I19" i="8"/>
  <c r="G19" i="8"/>
  <c r="N18" i="8"/>
  <c r="L18" i="8"/>
  <c r="I18" i="8"/>
  <c r="G18" i="8"/>
  <c r="N17" i="8"/>
  <c r="L17" i="8"/>
  <c r="I17" i="8"/>
  <c r="G17" i="8"/>
  <c r="N14" i="8"/>
  <c r="L14" i="8"/>
  <c r="I14" i="8"/>
  <c r="G14" i="8"/>
  <c r="N13" i="8"/>
  <c r="L13" i="8"/>
  <c r="I13" i="8"/>
  <c r="G13" i="8"/>
  <c r="N12" i="8"/>
  <c r="L12" i="8"/>
  <c r="I12" i="8"/>
  <c r="G12" i="8"/>
  <c r="N11" i="8"/>
  <c r="L11" i="8"/>
  <c r="I11" i="8"/>
  <c r="G11" i="8"/>
  <c r="N8" i="8"/>
  <c r="L8" i="8"/>
  <c r="I8" i="8"/>
  <c r="G8" i="8"/>
  <c r="N7" i="8"/>
  <c r="L7" i="8"/>
  <c r="I7" i="8"/>
  <c r="G7" i="8"/>
  <c r="N6" i="8"/>
  <c r="L6" i="8"/>
  <c r="I6" i="8"/>
  <c r="G6" i="8"/>
  <c r="N5" i="8"/>
  <c r="L5" i="8"/>
  <c r="I5" i="8"/>
  <c r="G5" i="8"/>
  <c r="AL104" i="7"/>
  <c r="AK104" i="7"/>
  <c r="AJ104" i="7"/>
  <c r="D104" i="7"/>
  <c r="AM104" i="7" s="1"/>
  <c r="AL103" i="7"/>
  <c r="AK103" i="7"/>
  <c r="AJ103" i="7"/>
  <c r="D103" i="7"/>
  <c r="AM103" i="7" s="1"/>
  <c r="AL102" i="7"/>
  <c r="AK102" i="7"/>
  <c r="AJ102" i="7"/>
  <c r="D102" i="7"/>
  <c r="AM102" i="7" s="1"/>
  <c r="AL101" i="7"/>
  <c r="AK101" i="7"/>
  <c r="AJ101" i="7"/>
  <c r="D101" i="7"/>
  <c r="AM101" i="7" s="1"/>
  <c r="AL100" i="7"/>
  <c r="AK100" i="7"/>
  <c r="AJ100" i="7"/>
  <c r="D100" i="7"/>
  <c r="AM100" i="7" s="1"/>
  <c r="AL99" i="7"/>
  <c r="AK99" i="7"/>
  <c r="AJ99" i="7"/>
  <c r="D99" i="7"/>
  <c r="AM99" i="7" s="1"/>
  <c r="AL98" i="7"/>
  <c r="AK98" i="7"/>
  <c r="AJ98" i="7"/>
  <c r="D98" i="7"/>
  <c r="AM98" i="7" s="1"/>
  <c r="AL97" i="7"/>
  <c r="AK97" i="7"/>
  <c r="AJ97" i="7"/>
  <c r="D97" i="7"/>
  <c r="AM97" i="7" s="1"/>
  <c r="AL96" i="7"/>
  <c r="AK96" i="7"/>
  <c r="AJ96" i="7"/>
  <c r="AI96" i="7"/>
  <c r="D96" i="7"/>
  <c r="AM96" i="7" s="1"/>
  <c r="AL95" i="7"/>
  <c r="AK95" i="7"/>
  <c r="AJ95" i="7"/>
  <c r="D95" i="7"/>
  <c r="AM95" i="7" s="1"/>
  <c r="AL94" i="7"/>
  <c r="AK94" i="7"/>
  <c r="AJ94" i="7"/>
  <c r="D94" i="7"/>
  <c r="AM94" i="7" s="1"/>
  <c r="AL93" i="7"/>
  <c r="AK93" i="7"/>
  <c r="AJ93" i="7"/>
  <c r="D93" i="7"/>
  <c r="AM93" i="7" s="1"/>
  <c r="AL92" i="7"/>
  <c r="AK92" i="7"/>
  <c r="AJ92" i="7"/>
  <c r="D92" i="7"/>
  <c r="AM92" i="7" s="1"/>
  <c r="AL91" i="7"/>
  <c r="AK91" i="7"/>
  <c r="AJ91" i="7"/>
  <c r="D91" i="7"/>
  <c r="AM91" i="7" s="1"/>
  <c r="AL90" i="7"/>
  <c r="AK90" i="7"/>
  <c r="AJ90" i="7"/>
  <c r="D90" i="7"/>
  <c r="AM90" i="7" s="1"/>
  <c r="AL89" i="7"/>
  <c r="AK89" i="7"/>
  <c r="AJ89" i="7"/>
  <c r="D89" i="7"/>
  <c r="AM89" i="7" s="1"/>
  <c r="AL88" i="7"/>
  <c r="AK88" i="7"/>
  <c r="AJ88" i="7"/>
  <c r="D88" i="7"/>
  <c r="AM88" i="7" s="1"/>
  <c r="AL87" i="7"/>
  <c r="AK87" i="7"/>
  <c r="AJ87" i="7"/>
  <c r="D87" i="7"/>
  <c r="AM87" i="7" s="1"/>
  <c r="AL86" i="7"/>
  <c r="AK86" i="7"/>
  <c r="AJ86" i="7"/>
  <c r="D86" i="7"/>
  <c r="AM86" i="7" s="1"/>
  <c r="AL85" i="7"/>
  <c r="AK85" i="7"/>
  <c r="AJ85" i="7"/>
  <c r="D85" i="7"/>
  <c r="AM85" i="7" s="1"/>
  <c r="AL84" i="7"/>
  <c r="AK84" i="7"/>
  <c r="AJ84" i="7"/>
  <c r="D84" i="7"/>
  <c r="AM84" i="7" s="1"/>
  <c r="AL83" i="7"/>
  <c r="AK83" i="7"/>
  <c r="AJ83" i="7"/>
  <c r="D83" i="7"/>
  <c r="AM83" i="7" s="1"/>
  <c r="AL82" i="7"/>
  <c r="AK82" i="7"/>
  <c r="AJ82" i="7"/>
  <c r="D82" i="7"/>
  <c r="AM82" i="7" s="1"/>
  <c r="AL81" i="7"/>
  <c r="AK81" i="7"/>
  <c r="AJ81" i="7"/>
  <c r="D81" i="7"/>
  <c r="AM81" i="7" s="1"/>
  <c r="AL80" i="7"/>
  <c r="AK80" i="7"/>
  <c r="AJ80" i="7"/>
  <c r="D80" i="7"/>
  <c r="AM80" i="7" s="1"/>
  <c r="AL79" i="7"/>
  <c r="AK79" i="7"/>
  <c r="AJ79" i="7"/>
  <c r="D79" i="7"/>
  <c r="AM79" i="7" s="1"/>
  <c r="AL78" i="7"/>
  <c r="AK78" i="7"/>
  <c r="AJ78" i="7"/>
  <c r="D78" i="7"/>
  <c r="AM78" i="7" s="1"/>
  <c r="AL77" i="7"/>
  <c r="AK77" i="7"/>
  <c r="AJ77" i="7"/>
  <c r="D77" i="7"/>
  <c r="AM77" i="7" s="1"/>
  <c r="AL76" i="7"/>
  <c r="AK76" i="7"/>
  <c r="AJ76" i="7"/>
  <c r="D76" i="7"/>
  <c r="AM76" i="7" s="1"/>
  <c r="AL75" i="7"/>
  <c r="AK75" i="7"/>
  <c r="AJ75" i="7"/>
  <c r="D75" i="7"/>
  <c r="AM75" i="7" s="1"/>
  <c r="AL74" i="7"/>
  <c r="AK74" i="7"/>
  <c r="AJ74" i="7"/>
  <c r="D74" i="7"/>
  <c r="AM74" i="7" s="1"/>
  <c r="AL73" i="7"/>
  <c r="AK73" i="7"/>
  <c r="AJ73" i="7"/>
  <c r="D73" i="7"/>
  <c r="AM73" i="7" s="1"/>
  <c r="AL72" i="7"/>
  <c r="AK72" i="7"/>
  <c r="AJ72" i="7"/>
  <c r="D72" i="7"/>
  <c r="AM72" i="7" s="1"/>
  <c r="AL71" i="7"/>
  <c r="AK71" i="7"/>
  <c r="AJ71" i="7"/>
  <c r="D71" i="7"/>
  <c r="AM71" i="7" s="1"/>
  <c r="AL70" i="7"/>
  <c r="AK70" i="7"/>
  <c r="AJ70" i="7"/>
  <c r="D70" i="7"/>
  <c r="AM70" i="7" s="1"/>
  <c r="AL69" i="7"/>
  <c r="AK69" i="7"/>
  <c r="AJ69" i="7"/>
  <c r="AI69" i="7"/>
  <c r="D69" i="7"/>
  <c r="AM69" i="7" s="1"/>
  <c r="AL68" i="7"/>
  <c r="AK68" i="7"/>
  <c r="AJ68" i="7"/>
  <c r="D68" i="7"/>
  <c r="AM68" i="7" s="1"/>
  <c r="AL67" i="7"/>
  <c r="AK67" i="7"/>
  <c r="AJ67" i="7"/>
  <c r="D67" i="7"/>
  <c r="AM67" i="7" s="1"/>
  <c r="AL66" i="7"/>
  <c r="AK66" i="7"/>
  <c r="AJ66" i="7"/>
  <c r="D66" i="7"/>
  <c r="AM66" i="7" s="1"/>
  <c r="AL65" i="7"/>
  <c r="AK65" i="7"/>
  <c r="AJ65" i="7"/>
  <c r="D65" i="7"/>
  <c r="AM65" i="7" s="1"/>
  <c r="AL64" i="7"/>
  <c r="AK64" i="7"/>
  <c r="AJ64" i="7"/>
  <c r="D64" i="7"/>
  <c r="AM64" i="7" s="1"/>
  <c r="AL63" i="7"/>
  <c r="AK63" i="7"/>
  <c r="AJ63" i="7"/>
  <c r="D63" i="7"/>
  <c r="AM63" i="7" s="1"/>
  <c r="AL62" i="7"/>
  <c r="AK62" i="7"/>
  <c r="AJ62" i="7"/>
  <c r="D62" i="7"/>
  <c r="AM62" i="7" s="1"/>
  <c r="AL61" i="7"/>
  <c r="AK61" i="7"/>
  <c r="AJ61" i="7"/>
  <c r="D61" i="7"/>
  <c r="AM61" i="7" s="1"/>
  <c r="AL60" i="7"/>
  <c r="AK60" i="7"/>
  <c r="AJ60" i="7"/>
  <c r="D60" i="7"/>
  <c r="AM60" i="7" s="1"/>
  <c r="AL59" i="7"/>
  <c r="AK59" i="7"/>
  <c r="AJ59" i="7"/>
  <c r="D59" i="7"/>
  <c r="AM59" i="7" s="1"/>
  <c r="AL58" i="7"/>
  <c r="AK58" i="7"/>
  <c r="AJ58" i="7"/>
  <c r="D58" i="7"/>
  <c r="AM58" i="7" s="1"/>
  <c r="AL57" i="7"/>
  <c r="AK57" i="7"/>
  <c r="AJ57" i="7"/>
  <c r="D57" i="7"/>
  <c r="AM57" i="7" s="1"/>
  <c r="AL56" i="7"/>
  <c r="AK56" i="7"/>
  <c r="AJ56" i="7"/>
  <c r="D56" i="7"/>
  <c r="AM56" i="7" s="1"/>
  <c r="AL55" i="7"/>
  <c r="AK55" i="7"/>
  <c r="AJ55" i="7"/>
  <c r="D55" i="7"/>
  <c r="AM55" i="7" s="1"/>
  <c r="AL54" i="7"/>
  <c r="AK54" i="7"/>
  <c r="AJ54" i="7"/>
  <c r="D54" i="7"/>
  <c r="AM54" i="7" s="1"/>
  <c r="AF37" i="7"/>
  <c r="AF109" i="7" s="1"/>
  <c r="AE37" i="7"/>
  <c r="AE109" i="7" s="1"/>
  <c r="AD37" i="7"/>
  <c r="AD109" i="7" s="1"/>
  <c r="AC37" i="7"/>
  <c r="AC109" i="7" s="1"/>
  <c r="AB37" i="7"/>
  <c r="AB109" i="7" s="1"/>
  <c r="AA37" i="7"/>
  <c r="AA109" i="7" s="1"/>
  <c r="Z37" i="7"/>
  <c r="Z109" i="7" s="1"/>
  <c r="Y37" i="7"/>
  <c r="Y109" i="7" s="1"/>
  <c r="X37" i="7"/>
  <c r="X109" i="7" s="1"/>
  <c r="W37" i="7"/>
  <c r="W109" i="7" s="1"/>
  <c r="V37" i="7"/>
  <c r="V109" i="7" s="1"/>
  <c r="U37" i="7"/>
  <c r="U109" i="7" s="1"/>
  <c r="T37" i="7"/>
  <c r="T109" i="7" s="1"/>
  <c r="S37" i="7"/>
  <c r="S109" i="7" s="1"/>
  <c r="R37" i="7"/>
  <c r="R109" i="7" s="1"/>
  <c r="Q37" i="7"/>
  <c r="Q109" i="7" s="1"/>
  <c r="P37" i="7"/>
  <c r="P109" i="7" s="1"/>
  <c r="O37" i="7"/>
  <c r="O109" i="7" s="1"/>
  <c r="N37" i="7"/>
  <c r="N109" i="7" s="1"/>
  <c r="M37" i="7"/>
  <c r="M109" i="7" s="1"/>
  <c r="L37" i="7"/>
  <c r="L109" i="7" s="1"/>
  <c r="K37" i="7"/>
  <c r="K109" i="7" s="1"/>
  <c r="J37" i="7"/>
  <c r="J109" i="7" s="1"/>
  <c r="I37" i="7"/>
  <c r="I109" i="7" s="1"/>
  <c r="H37" i="7"/>
  <c r="H109" i="7" s="1"/>
  <c r="G37" i="7"/>
  <c r="G109" i="7" s="1"/>
  <c r="F37" i="7"/>
  <c r="F109" i="7" s="1"/>
  <c r="E37" i="7"/>
  <c r="E109" i="7" s="1"/>
  <c r="AF36" i="7"/>
  <c r="AF108" i="7" s="1"/>
  <c r="AE36" i="7"/>
  <c r="AE108" i="7" s="1"/>
  <c r="AD36" i="7"/>
  <c r="AD108" i="7" s="1"/>
  <c r="AC36" i="7"/>
  <c r="AC108" i="7" s="1"/>
  <c r="AB36" i="7"/>
  <c r="AB108" i="7" s="1"/>
  <c r="AA36" i="7"/>
  <c r="AA108" i="7" s="1"/>
  <c r="Z36" i="7"/>
  <c r="Z108" i="7" s="1"/>
  <c r="Y36" i="7"/>
  <c r="Y108" i="7" s="1"/>
  <c r="X36" i="7"/>
  <c r="X108" i="7" s="1"/>
  <c r="W36" i="7"/>
  <c r="W108" i="7" s="1"/>
  <c r="V36" i="7"/>
  <c r="V108" i="7" s="1"/>
  <c r="U36" i="7"/>
  <c r="U108" i="7" s="1"/>
  <c r="T36" i="7"/>
  <c r="T108" i="7" s="1"/>
  <c r="S36" i="7"/>
  <c r="S108" i="7" s="1"/>
  <c r="R36" i="7"/>
  <c r="R108" i="7" s="1"/>
  <c r="Q36" i="7"/>
  <c r="Q108" i="7" s="1"/>
  <c r="P36" i="7"/>
  <c r="P108" i="7" s="1"/>
  <c r="O36" i="7"/>
  <c r="O108" i="7" s="1"/>
  <c r="N36" i="7"/>
  <c r="N108" i="7" s="1"/>
  <c r="M36" i="7"/>
  <c r="M108" i="7" s="1"/>
  <c r="L36" i="7"/>
  <c r="L108" i="7" s="1"/>
  <c r="K36" i="7"/>
  <c r="K108" i="7" s="1"/>
  <c r="J36" i="7"/>
  <c r="J108" i="7" s="1"/>
  <c r="I36" i="7"/>
  <c r="I108" i="7" s="1"/>
  <c r="H36" i="7"/>
  <c r="H108" i="7" s="1"/>
  <c r="G36" i="7"/>
  <c r="G108" i="7" s="1"/>
  <c r="F36" i="7"/>
  <c r="F108" i="7" s="1"/>
  <c r="E36" i="7"/>
  <c r="E108" i="7" s="1"/>
  <c r="AF35" i="7"/>
  <c r="AF107" i="7" s="1"/>
  <c r="AE35" i="7"/>
  <c r="AE107" i="7" s="1"/>
  <c r="AD35" i="7"/>
  <c r="AD107" i="7" s="1"/>
  <c r="AC35" i="7"/>
  <c r="AC107" i="7" s="1"/>
  <c r="AB35" i="7"/>
  <c r="AB107" i="7" s="1"/>
  <c r="AA35" i="7"/>
  <c r="AA107" i="7" s="1"/>
  <c r="Z35" i="7"/>
  <c r="Z107" i="7" s="1"/>
  <c r="Y35" i="7"/>
  <c r="Y107" i="7" s="1"/>
  <c r="X35" i="7"/>
  <c r="X107" i="7" s="1"/>
  <c r="W35" i="7"/>
  <c r="W107" i="7" s="1"/>
  <c r="V35" i="7"/>
  <c r="V107" i="7" s="1"/>
  <c r="U35" i="7"/>
  <c r="U107" i="7" s="1"/>
  <c r="T35" i="7"/>
  <c r="T107" i="7" s="1"/>
  <c r="S35" i="7"/>
  <c r="S107" i="7" s="1"/>
  <c r="R35" i="7"/>
  <c r="R107" i="7" s="1"/>
  <c r="Q35" i="7"/>
  <c r="Q107" i="7" s="1"/>
  <c r="P35" i="7"/>
  <c r="P107" i="7" s="1"/>
  <c r="O35" i="7"/>
  <c r="O107" i="7" s="1"/>
  <c r="N35" i="7"/>
  <c r="N107" i="7" s="1"/>
  <c r="M35" i="7"/>
  <c r="M107" i="7" s="1"/>
  <c r="L35" i="7"/>
  <c r="L107" i="7" s="1"/>
  <c r="K35" i="7"/>
  <c r="K107" i="7" s="1"/>
  <c r="J35" i="7"/>
  <c r="J107" i="7" s="1"/>
  <c r="I35" i="7"/>
  <c r="I107" i="7" s="1"/>
  <c r="H35" i="7"/>
  <c r="H107" i="7" s="1"/>
  <c r="G35" i="7"/>
  <c r="G107" i="7" s="1"/>
  <c r="F35" i="7"/>
  <c r="F107" i="7" s="1"/>
  <c r="E35" i="7"/>
  <c r="E107" i="7" s="1"/>
  <c r="AF34" i="7"/>
  <c r="AF106" i="7" s="1"/>
  <c r="AE34" i="7"/>
  <c r="AE106" i="7" s="1"/>
  <c r="AD34" i="7"/>
  <c r="AD106" i="7" s="1"/>
  <c r="AC34" i="7"/>
  <c r="AC106" i="7" s="1"/>
  <c r="AB34" i="7"/>
  <c r="AB106" i="7" s="1"/>
  <c r="AA34" i="7"/>
  <c r="AA106" i="7" s="1"/>
  <c r="Z34" i="7"/>
  <c r="Z106" i="7" s="1"/>
  <c r="Y34" i="7"/>
  <c r="Y106" i="7" s="1"/>
  <c r="X34" i="7"/>
  <c r="X106" i="7" s="1"/>
  <c r="W34" i="7"/>
  <c r="W106" i="7" s="1"/>
  <c r="V34" i="7"/>
  <c r="V106" i="7" s="1"/>
  <c r="U34" i="7"/>
  <c r="U106" i="7" s="1"/>
  <c r="T34" i="7"/>
  <c r="T106" i="7" s="1"/>
  <c r="S34" i="7"/>
  <c r="S106" i="7" s="1"/>
  <c r="R34" i="7"/>
  <c r="R106" i="7" s="1"/>
  <c r="Q34" i="7"/>
  <c r="Q106" i="7" s="1"/>
  <c r="P34" i="7"/>
  <c r="P106" i="7" s="1"/>
  <c r="O34" i="7"/>
  <c r="O106" i="7" s="1"/>
  <c r="N34" i="7"/>
  <c r="N106" i="7" s="1"/>
  <c r="M34" i="7"/>
  <c r="M106" i="7" s="1"/>
  <c r="L34" i="7"/>
  <c r="L106" i="7" s="1"/>
  <c r="K34" i="7"/>
  <c r="K106" i="7" s="1"/>
  <c r="J34" i="7"/>
  <c r="J106" i="7" s="1"/>
  <c r="I34" i="7"/>
  <c r="I106" i="7" s="1"/>
  <c r="H34" i="7"/>
  <c r="H106" i="7" s="1"/>
  <c r="G34" i="7"/>
  <c r="G106" i="7" s="1"/>
  <c r="F34" i="7"/>
  <c r="F106" i="7" s="1"/>
  <c r="E34" i="7"/>
  <c r="E106" i="7" s="1"/>
  <c r="AL32" i="7"/>
  <c r="AK32" i="7"/>
  <c r="AJ32" i="7"/>
  <c r="AL31" i="7"/>
  <c r="AK31" i="7"/>
  <c r="AJ31" i="7"/>
  <c r="AL30" i="7"/>
  <c r="AK30" i="7"/>
  <c r="AJ30" i="7"/>
  <c r="AL29" i="7"/>
  <c r="AK29" i="7"/>
  <c r="AJ29" i="7"/>
  <c r="AL28" i="7"/>
  <c r="AK28" i="7"/>
  <c r="AJ28" i="7"/>
  <c r="AL27" i="7"/>
  <c r="AK27" i="7"/>
  <c r="AJ27" i="7"/>
  <c r="AL26" i="7"/>
  <c r="AK26" i="7"/>
  <c r="AJ26" i="7"/>
  <c r="AO25" i="7"/>
  <c r="AM25" i="7"/>
  <c r="AL25" i="7"/>
  <c r="AK25" i="7"/>
  <c r="AJ25" i="7"/>
  <c r="AL24" i="7"/>
  <c r="AK24" i="7"/>
  <c r="AJ24" i="7"/>
  <c r="AL23" i="7"/>
  <c r="AK23" i="7"/>
  <c r="AJ23" i="7"/>
  <c r="AL22" i="7"/>
  <c r="AK22" i="7"/>
  <c r="AJ22" i="7"/>
  <c r="AL21" i="7"/>
  <c r="AK21" i="7"/>
  <c r="AJ21" i="7"/>
  <c r="AL20" i="7"/>
  <c r="AK20" i="7"/>
  <c r="AJ20" i="7"/>
  <c r="AL19" i="7"/>
  <c r="AK19" i="7"/>
  <c r="AJ19" i="7"/>
  <c r="AL18" i="7"/>
  <c r="AK18" i="7"/>
  <c r="AJ18" i="7"/>
  <c r="AL17" i="7"/>
  <c r="AK17" i="7"/>
  <c r="AJ17" i="7"/>
  <c r="AL16" i="7"/>
  <c r="AK16" i="7"/>
  <c r="AJ16" i="7"/>
  <c r="AN15" i="7"/>
  <c r="AL15" i="7"/>
  <c r="AK15" i="7"/>
  <c r="AJ15" i="7"/>
  <c r="AL14" i="7"/>
  <c r="AK14" i="7"/>
  <c r="AJ14" i="7"/>
  <c r="AL13" i="7"/>
  <c r="AK13" i="7"/>
  <c r="AJ13" i="7"/>
  <c r="AL12" i="7"/>
  <c r="AK12" i="7"/>
  <c r="AJ12" i="7"/>
  <c r="AL11" i="7"/>
  <c r="AK11" i="7"/>
  <c r="AJ11" i="7"/>
  <c r="AL10" i="7"/>
  <c r="AK10" i="7"/>
  <c r="AJ10" i="7"/>
  <c r="AL9" i="7"/>
  <c r="AK9" i="7"/>
  <c r="AJ9" i="7"/>
  <c r="AL8" i="7"/>
  <c r="AK8" i="7"/>
  <c r="AJ8" i="7"/>
  <c r="AL7" i="7"/>
  <c r="AK7" i="7"/>
  <c r="AJ7" i="7"/>
  <c r="AL6" i="7"/>
  <c r="AK6" i="7"/>
  <c r="AJ6" i="7"/>
  <c r="AL5" i="7"/>
  <c r="AK5" i="7"/>
  <c r="AJ5" i="7"/>
  <c r="AL4" i="7"/>
  <c r="AK4" i="7"/>
  <c r="AJ4" i="7"/>
  <c r="AL3" i="7"/>
  <c r="AK3" i="7"/>
  <c r="AJ3" i="7"/>
  <c r="AL2" i="7"/>
  <c r="AK2" i="7"/>
  <c r="AJ2" i="7"/>
  <c r="AH1" i="7"/>
  <c r="C34" i="6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AP92" i="5"/>
  <c r="AO92" i="5"/>
  <c r="AN92" i="5"/>
  <c r="AM92" i="5"/>
  <c r="D92" i="5"/>
  <c r="AP91" i="5"/>
  <c r="AO91" i="5"/>
  <c r="AN91" i="5"/>
  <c r="AM91" i="5"/>
  <c r="D91" i="5"/>
  <c r="AP90" i="5"/>
  <c r="AO90" i="5"/>
  <c r="AN90" i="5"/>
  <c r="AM90" i="5"/>
  <c r="D90" i="5"/>
  <c r="AP89" i="5"/>
  <c r="AO89" i="5"/>
  <c r="AN89" i="5"/>
  <c r="AM89" i="5"/>
  <c r="D89" i="5"/>
  <c r="AP88" i="5"/>
  <c r="AO88" i="5"/>
  <c r="AN88" i="5"/>
  <c r="AM88" i="5"/>
  <c r="AP87" i="5"/>
  <c r="AO87" i="5"/>
  <c r="AN87" i="5"/>
  <c r="AM87" i="5"/>
  <c r="D87" i="5"/>
  <c r="AP86" i="5"/>
  <c r="AO86" i="5"/>
  <c r="AN86" i="5"/>
  <c r="AM86" i="5"/>
  <c r="D86" i="5"/>
  <c r="AP85" i="5"/>
  <c r="AO85" i="5"/>
  <c r="AN85" i="5"/>
  <c r="AM85" i="5"/>
  <c r="D85" i="5"/>
  <c r="AP84" i="5"/>
  <c r="AO84" i="5"/>
  <c r="AN84" i="5"/>
  <c r="AM84" i="5"/>
  <c r="D84" i="5"/>
  <c r="AP83" i="5"/>
  <c r="AO83" i="5"/>
  <c r="AN83" i="5"/>
  <c r="AM83" i="5"/>
  <c r="D83" i="5"/>
  <c r="AP82" i="5"/>
  <c r="AO82" i="5"/>
  <c r="AN82" i="5"/>
  <c r="AM82" i="5"/>
  <c r="D82" i="5"/>
  <c r="AP81" i="5"/>
  <c r="AO81" i="5"/>
  <c r="AN81" i="5"/>
  <c r="AM81" i="5"/>
  <c r="D81" i="5"/>
  <c r="AP80" i="5"/>
  <c r="AO80" i="5"/>
  <c r="AN80" i="5"/>
  <c r="AM80" i="5"/>
  <c r="D80" i="5"/>
  <c r="AP79" i="5"/>
  <c r="AO79" i="5"/>
  <c r="AN79" i="5"/>
  <c r="AM79" i="5"/>
  <c r="D79" i="5"/>
  <c r="AP78" i="5"/>
  <c r="AO78" i="5"/>
  <c r="AN78" i="5"/>
  <c r="AM78" i="5"/>
  <c r="D78" i="5"/>
  <c r="AP77" i="5"/>
  <c r="AO77" i="5"/>
  <c r="AN77" i="5"/>
  <c r="AM77" i="5"/>
  <c r="D77" i="5"/>
  <c r="AP76" i="5"/>
  <c r="AO76" i="5"/>
  <c r="AN76" i="5"/>
  <c r="AM76" i="5"/>
  <c r="D76" i="5"/>
  <c r="AP75" i="5"/>
  <c r="AO75" i="5"/>
  <c r="AN75" i="5"/>
  <c r="AM75" i="5"/>
  <c r="D75" i="5"/>
  <c r="AP74" i="5"/>
  <c r="AO74" i="5"/>
  <c r="AN74" i="5"/>
  <c r="AM74" i="5"/>
  <c r="D74" i="5"/>
  <c r="AP73" i="5"/>
  <c r="AO73" i="5"/>
  <c r="AN73" i="5"/>
  <c r="AM73" i="5"/>
  <c r="D73" i="5"/>
  <c r="AP72" i="5"/>
  <c r="AO72" i="5"/>
  <c r="AN72" i="5"/>
  <c r="AM72" i="5"/>
  <c r="AO71" i="5"/>
  <c r="AN71" i="5"/>
  <c r="AM71" i="5"/>
  <c r="D71" i="5"/>
  <c r="AP70" i="5"/>
  <c r="AO70" i="5"/>
  <c r="AN70" i="5"/>
  <c r="AM70" i="5"/>
  <c r="D70" i="5"/>
  <c r="AP69" i="5"/>
  <c r="AO69" i="5"/>
  <c r="AN69" i="5"/>
  <c r="AM69" i="5"/>
  <c r="D69" i="5"/>
  <c r="AP68" i="5"/>
  <c r="AO68" i="5"/>
  <c r="AN68" i="5"/>
  <c r="AM68" i="5"/>
  <c r="D68" i="5"/>
  <c r="AP67" i="5"/>
  <c r="AO67" i="5"/>
  <c r="AN67" i="5"/>
  <c r="AM67" i="5"/>
  <c r="D67" i="5"/>
  <c r="AP66" i="5"/>
  <c r="AO66" i="5"/>
  <c r="AN66" i="5"/>
  <c r="AM66" i="5"/>
  <c r="AL66" i="5"/>
  <c r="D66" i="5"/>
  <c r="AP65" i="5"/>
  <c r="AO65" i="5"/>
  <c r="AN65" i="5"/>
  <c r="AM65" i="5"/>
  <c r="D65" i="5"/>
  <c r="AP64" i="5"/>
  <c r="AO64" i="5"/>
  <c r="AN64" i="5"/>
  <c r="AM64" i="5"/>
  <c r="D64" i="5"/>
  <c r="AP63" i="5"/>
  <c r="AO63" i="5"/>
  <c r="AN63" i="5"/>
  <c r="AM63" i="5"/>
  <c r="D63" i="5"/>
  <c r="AP62" i="5"/>
  <c r="AO62" i="5"/>
  <c r="AN62" i="5"/>
  <c r="AM62" i="5"/>
  <c r="D62" i="5"/>
  <c r="AP61" i="5"/>
  <c r="AO61" i="5"/>
  <c r="AN61" i="5"/>
  <c r="AM61" i="5"/>
  <c r="D61" i="5"/>
  <c r="AP60" i="5"/>
  <c r="AO60" i="5"/>
  <c r="AN60" i="5"/>
  <c r="AM60" i="5"/>
  <c r="D60" i="5"/>
  <c r="AP59" i="5"/>
  <c r="AO59" i="5"/>
  <c r="AN59" i="5"/>
  <c r="AM59" i="5"/>
  <c r="D59" i="5"/>
  <c r="AP58" i="5"/>
  <c r="AO58" i="5"/>
  <c r="AN58" i="5"/>
  <c r="AM58" i="5"/>
  <c r="D58" i="5"/>
  <c r="AP57" i="5"/>
  <c r="AO57" i="5"/>
  <c r="AN57" i="5"/>
  <c r="AM57" i="5"/>
  <c r="D57" i="5"/>
  <c r="AP56" i="5"/>
  <c r="AO56" i="5"/>
  <c r="AN56" i="5"/>
  <c r="AM56" i="5"/>
  <c r="D56" i="5"/>
  <c r="AP55" i="5"/>
  <c r="AO55" i="5"/>
  <c r="AN55" i="5"/>
  <c r="AM55" i="5"/>
  <c r="D55" i="5"/>
  <c r="AP54" i="5"/>
  <c r="AO54" i="5"/>
  <c r="AN54" i="5"/>
  <c r="AM54" i="5"/>
  <c r="D54" i="5"/>
  <c r="AP53" i="5"/>
  <c r="AO53" i="5"/>
  <c r="AN53" i="5"/>
  <c r="AM53" i="5"/>
  <c r="D53" i="5"/>
  <c r="AP52" i="5"/>
  <c r="AO52" i="5"/>
  <c r="AN52" i="5"/>
  <c r="AM52" i="5"/>
  <c r="D52" i="5"/>
  <c r="AP51" i="5"/>
  <c r="AO51" i="5"/>
  <c r="AN51" i="5"/>
  <c r="AM51" i="5"/>
  <c r="D51" i="5"/>
  <c r="AP50" i="5"/>
  <c r="AO50" i="5"/>
  <c r="AN50" i="5"/>
  <c r="AM50" i="5"/>
  <c r="D50" i="5"/>
  <c r="AP49" i="5"/>
  <c r="AO49" i="5"/>
  <c r="AN49" i="5"/>
  <c r="AM49" i="5"/>
  <c r="AL49" i="5"/>
  <c r="D49" i="5"/>
  <c r="AP48" i="5"/>
  <c r="AO48" i="5"/>
  <c r="AN48" i="5"/>
  <c r="AM48" i="5"/>
  <c r="AL48" i="5"/>
  <c r="AP47" i="5"/>
  <c r="AO47" i="5"/>
  <c r="AN47" i="5"/>
  <c r="AM47" i="5"/>
  <c r="AL47" i="5"/>
  <c r="D47" i="5"/>
  <c r="AP46" i="5"/>
  <c r="AO46" i="5"/>
  <c r="AN46" i="5"/>
  <c r="AM46" i="5"/>
  <c r="AL46" i="5"/>
  <c r="D46" i="5"/>
  <c r="AP45" i="5"/>
  <c r="AO45" i="5"/>
  <c r="AN45" i="5"/>
  <c r="AM45" i="5"/>
  <c r="AL45" i="5"/>
  <c r="D45" i="5"/>
  <c r="AP44" i="5"/>
  <c r="AO44" i="5"/>
  <c r="AN44" i="5"/>
  <c r="AM44" i="5"/>
  <c r="AL44" i="5"/>
  <c r="D44" i="5"/>
  <c r="AP43" i="5"/>
  <c r="AO43" i="5"/>
  <c r="AN43" i="5"/>
  <c r="AM43" i="5"/>
  <c r="AL43" i="5"/>
  <c r="D43" i="5"/>
  <c r="AP42" i="5"/>
  <c r="AO42" i="5"/>
  <c r="AN42" i="5"/>
  <c r="AM42" i="5"/>
  <c r="AL42" i="5"/>
  <c r="D42" i="5"/>
  <c r="AK41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AP32" i="5"/>
  <c r="AO32" i="5"/>
  <c r="AN32" i="5"/>
  <c r="AM32" i="5"/>
  <c r="D32" i="5"/>
  <c r="AP31" i="5"/>
  <c r="AO31" i="5"/>
  <c r="AN31" i="5"/>
  <c r="AM31" i="5"/>
  <c r="AP30" i="5"/>
  <c r="AO30" i="5"/>
  <c r="AN30" i="5"/>
  <c r="AM30" i="5"/>
  <c r="D30" i="5"/>
  <c r="AP29" i="5"/>
  <c r="AO29" i="5"/>
  <c r="AN29" i="5"/>
  <c r="AM29" i="5"/>
  <c r="D29" i="5"/>
  <c r="AP28" i="5"/>
  <c r="AO28" i="5"/>
  <c r="AN28" i="5"/>
  <c r="AM28" i="5"/>
  <c r="D28" i="5"/>
  <c r="AP27" i="5"/>
  <c r="AO27" i="5"/>
  <c r="AN27" i="5"/>
  <c r="AM27" i="5"/>
  <c r="D27" i="5"/>
  <c r="AP26" i="5"/>
  <c r="AO26" i="5"/>
  <c r="AN26" i="5"/>
  <c r="AM26" i="5"/>
  <c r="D26" i="5"/>
  <c r="AP25" i="5"/>
  <c r="AO25" i="5"/>
  <c r="AN25" i="5"/>
  <c r="AM25" i="5"/>
  <c r="D25" i="5"/>
  <c r="AP24" i="5"/>
  <c r="AO24" i="5"/>
  <c r="AN24" i="5"/>
  <c r="AM24" i="5"/>
  <c r="D24" i="5"/>
  <c r="AP23" i="5"/>
  <c r="AO23" i="5"/>
  <c r="AN23" i="5"/>
  <c r="AM23" i="5"/>
  <c r="D23" i="5"/>
  <c r="AP22" i="5"/>
  <c r="AO22" i="5"/>
  <c r="AN22" i="5"/>
  <c r="AM22" i="5"/>
  <c r="D22" i="5"/>
  <c r="AP21" i="5"/>
  <c r="AO21" i="5"/>
  <c r="AN21" i="5"/>
  <c r="AM21" i="5"/>
  <c r="D21" i="5"/>
  <c r="AP20" i="5"/>
  <c r="AO20" i="5"/>
  <c r="AN20" i="5"/>
  <c r="AM20" i="5"/>
  <c r="D20" i="5"/>
  <c r="AP19" i="5"/>
  <c r="AO19" i="5"/>
  <c r="AN19" i="5"/>
  <c r="AM19" i="5"/>
  <c r="D19" i="5"/>
  <c r="AP18" i="5"/>
  <c r="AO18" i="5"/>
  <c r="AN18" i="5"/>
  <c r="AM18" i="5"/>
  <c r="AP17" i="5"/>
  <c r="AO17" i="5"/>
  <c r="AN17" i="5"/>
  <c r="AM17" i="5"/>
  <c r="D17" i="5"/>
  <c r="AP16" i="5"/>
  <c r="AO16" i="5"/>
  <c r="AN16" i="5"/>
  <c r="AM16" i="5"/>
  <c r="D16" i="5"/>
  <c r="AQ15" i="5"/>
  <c r="AP15" i="5"/>
  <c r="AO15" i="5"/>
  <c r="AN15" i="5"/>
  <c r="AM15" i="5"/>
  <c r="D15" i="5"/>
  <c r="AP14" i="5"/>
  <c r="AO14" i="5"/>
  <c r="AN14" i="5"/>
  <c r="AM14" i="5"/>
  <c r="D14" i="5"/>
  <c r="AP13" i="5"/>
  <c r="AO13" i="5"/>
  <c r="AN13" i="5"/>
  <c r="AM13" i="5"/>
  <c r="D13" i="5"/>
  <c r="AP12" i="5"/>
  <c r="AO12" i="5"/>
  <c r="AN12" i="5"/>
  <c r="AM12" i="5"/>
  <c r="D12" i="5"/>
  <c r="AP11" i="5"/>
  <c r="AO11" i="5"/>
  <c r="AN11" i="5"/>
  <c r="AM11" i="5"/>
  <c r="AP10" i="5"/>
  <c r="AO10" i="5"/>
  <c r="AN10" i="5"/>
  <c r="AM10" i="5"/>
  <c r="D10" i="5"/>
  <c r="AP9" i="5"/>
  <c r="AO9" i="5"/>
  <c r="AN9" i="5"/>
  <c r="AM9" i="5"/>
  <c r="D9" i="5"/>
  <c r="AP8" i="5"/>
  <c r="AO8" i="5"/>
  <c r="AN8" i="5"/>
  <c r="AM8" i="5"/>
  <c r="D8" i="5"/>
  <c r="AP7" i="5"/>
  <c r="AO7" i="5"/>
  <c r="AN7" i="5"/>
  <c r="AM7" i="5"/>
  <c r="D7" i="5"/>
  <c r="AP6" i="5"/>
  <c r="AO6" i="5"/>
  <c r="AN6" i="5"/>
  <c r="AM6" i="5"/>
  <c r="D6" i="5"/>
  <c r="AP5" i="5"/>
  <c r="AO5" i="5"/>
  <c r="AN5" i="5"/>
  <c r="AM5" i="5"/>
  <c r="D5" i="5"/>
  <c r="AP4" i="5"/>
  <c r="AO4" i="5"/>
  <c r="AN4" i="5"/>
  <c r="AM4" i="5"/>
  <c r="D4" i="5"/>
  <c r="AP3" i="5"/>
  <c r="AO3" i="5"/>
  <c r="AN3" i="5"/>
  <c r="AM3" i="5"/>
  <c r="D3" i="5"/>
  <c r="AP2" i="5"/>
  <c r="AO2" i="5"/>
  <c r="AN2" i="5"/>
  <c r="AM2" i="5"/>
  <c r="D2" i="5"/>
  <c r="AK1" i="5"/>
  <c r="D30" i="13"/>
  <c r="D30" i="11"/>
  <c r="D29" i="13"/>
  <c r="D29" i="11"/>
  <c r="D29" i="9"/>
  <c r="D28" i="13"/>
  <c r="D28" i="11"/>
  <c r="D28" i="9"/>
  <c r="D27" i="13"/>
  <c r="D27" i="11"/>
  <c r="D27" i="9"/>
  <c r="D26" i="13"/>
  <c r="D26" i="11"/>
  <c r="D26" i="9"/>
  <c r="D25" i="13"/>
  <c r="D25" i="11"/>
  <c r="D25" i="9"/>
  <c r="D24" i="13"/>
  <c r="D24" i="11"/>
  <c r="D24" i="9"/>
  <c r="D23" i="13"/>
  <c r="D23" i="11"/>
  <c r="D23" i="9"/>
  <c r="D22" i="13"/>
  <c r="D22" i="11"/>
  <c r="D22" i="9"/>
  <c r="D21" i="13"/>
  <c r="D21" i="11"/>
  <c r="D21" i="9"/>
  <c r="D20" i="13"/>
  <c r="D20" i="11"/>
  <c r="D20" i="9"/>
  <c r="D19" i="13"/>
  <c r="D19" i="11"/>
  <c r="D19" i="9"/>
  <c r="AL18" i="15"/>
  <c r="D17" i="13"/>
  <c r="D17" i="11"/>
  <c r="D17" i="9"/>
  <c r="D16" i="13"/>
  <c r="D16" i="11"/>
  <c r="D16" i="9"/>
  <c r="D15" i="13"/>
  <c r="D15" i="11"/>
  <c r="D14" i="13"/>
  <c r="D14" i="11"/>
  <c r="D14" i="9"/>
  <c r="D13" i="13"/>
  <c r="D13" i="11"/>
  <c r="D13" i="9"/>
  <c r="D12" i="13"/>
  <c r="D12" i="11"/>
  <c r="D12" i="9"/>
  <c r="D10" i="13"/>
  <c r="D10" i="11"/>
  <c r="D10" i="9"/>
  <c r="D9" i="13"/>
  <c r="D9" i="11"/>
  <c r="D9" i="9"/>
  <c r="D8" i="13"/>
  <c r="D8" i="11"/>
  <c r="D8" i="9"/>
  <c r="D7" i="13"/>
  <c r="D7" i="11"/>
  <c r="D7" i="9"/>
  <c r="D6" i="13"/>
  <c r="D6" i="11"/>
  <c r="D6" i="9"/>
  <c r="D5" i="13"/>
  <c r="D5" i="11"/>
  <c r="D5" i="9"/>
  <c r="D4" i="13"/>
  <c r="D4" i="11"/>
  <c r="D4" i="9"/>
  <c r="D3" i="13"/>
  <c r="D3" i="11"/>
  <c r="D3" i="9"/>
  <c r="D2" i="13"/>
  <c r="D2" i="11"/>
  <c r="D2" i="9"/>
  <c r="D101" i="13"/>
  <c r="D100" i="13"/>
  <c r="D99" i="13"/>
  <c r="D98" i="13"/>
  <c r="D96" i="13"/>
  <c r="D95" i="13"/>
  <c r="D94" i="13"/>
  <c r="D93" i="13"/>
  <c r="D92" i="13"/>
  <c r="D91" i="13"/>
  <c r="D89" i="13"/>
  <c r="D88" i="13"/>
  <c r="D87" i="13"/>
  <c r="D86" i="13"/>
  <c r="D85" i="13"/>
  <c r="D84" i="13"/>
  <c r="D83" i="13"/>
  <c r="D82" i="13"/>
  <c r="AL81" i="15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AL57" i="15"/>
  <c r="D56" i="13"/>
  <c r="D55" i="13"/>
  <c r="D54" i="13"/>
  <c r="D53" i="13"/>
  <c r="D52" i="13"/>
  <c r="D51" i="13"/>
  <c r="AO100" i="2"/>
  <c r="AN100" i="2"/>
  <c r="AM100" i="2"/>
  <c r="AL100" i="2"/>
  <c r="AJ100" i="2"/>
  <c r="D100" i="2"/>
  <c r="AO99" i="2"/>
  <c r="AN99" i="2"/>
  <c r="AM99" i="2"/>
  <c r="AL99" i="2"/>
  <c r="AJ99" i="2"/>
  <c r="D99" i="2"/>
  <c r="AO98" i="2"/>
  <c r="AN98" i="2"/>
  <c r="AM98" i="2"/>
  <c r="AL98" i="2"/>
  <c r="AJ98" i="2"/>
  <c r="D98" i="2"/>
  <c r="AO97" i="2"/>
  <c r="AN97" i="2"/>
  <c r="AM97" i="2"/>
  <c r="AL97" i="2"/>
  <c r="AJ97" i="2"/>
  <c r="D97" i="2"/>
  <c r="AO96" i="2"/>
  <c r="AN96" i="2"/>
  <c r="AM96" i="2"/>
  <c r="AL96" i="2"/>
  <c r="AJ96" i="2"/>
  <c r="D96" i="2"/>
  <c r="AO95" i="2"/>
  <c r="AN95" i="2"/>
  <c r="AM95" i="2"/>
  <c r="AL95" i="2"/>
  <c r="AJ95" i="2"/>
  <c r="D95" i="2"/>
  <c r="AO94" i="2"/>
  <c r="AN94" i="2"/>
  <c r="AM94" i="2"/>
  <c r="AL94" i="2"/>
  <c r="AJ94" i="2"/>
  <c r="D94" i="2"/>
  <c r="AO93" i="2"/>
  <c r="AN93" i="2"/>
  <c r="AM93" i="2"/>
  <c r="AL93" i="2"/>
  <c r="AJ93" i="2"/>
  <c r="D93" i="2"/>
  <c r="AO92" i="2"/>
  <c r="AN92" i="2"/>
  <c r="AM92" i="2"/>
  <c r="AL92" i="2"/>
  <c r="AJ92" i="2"/>
  <c r="D92" i="2"/>
  <c r="AO91" i="2"/>
  <c r="AN91" i="2"/>
  <c r="AM91" i="2"/>
  <c r="AL91" i="2"/>
  <c r="AJ91" i="2"/>
  <c r="D91" i="2"/>
  <c r="AO90" i="2"/>
  <c r="AN90" i="2"/>
  <c r="AM90" i="2"/>
  <c r="AL90" i="2"/>
  <c r="AJ90" i="2"/>
  <c r="D90" i="2"/>
  <c r="AO89" i="2"/>
  <c r="AN89" i="2"/>
  <c r="AM89" i="2"/>
  <c r="AL89" i="2"/>
  <c r="AJ89" i="2"/>
  <c r="D89" i="2"/>
  <c r="AO88" i="2"/>
  <c r="AN88" i="2"/>
  <c r="AM88" i="2"/>
  <c r="AL88" i="2"/>
  <c r="AJ88" i="2"/>
  <c r="D88" i="2"/>
  <c r="AO87" i="2"/>
  <c r="AN87" i="2"/>
  <c r="AM87" i="2"/>
  <c r="AL87" i="2"/>
  <c r="AJ87" i="2"/>
  <c r="D87" i="2"/>
  <c r="AO86" i="2"/>
  <c r="AN86" i="2"/>
  <c r="AM86" i="2"/>
  <c r="AL86" i="2"/>
  <c r="AJ86" i="2"/>
  <c r="D86" i="2"/>
  <c r="AO85" i="2"/>
  <c r="AN85" i="2"/>
  <c r="AM85" i="2"/>
  <c r="AL85" i="2"/>
  <c r="AJ85" i="2"/>
  <c r="D85" i="2"/>
  <c r="AO84" i="2"/>
  <c r="AN84" i="2"/>
  <c r="AM84" i="2"/>
  <c r="AL84" i="2"/>
  <c r="AJ84" i="2"/>
  <c r="D84" i="2"/>
  <c r="AO83" i="2"/>
  <c r="AN83" i="2"/>
  <c r="AM83" i="2"/>
  <c r="AL83" i="2"/>
  <c r="AJ83" i="2"/>
  <c r="D83" i="2"/>
  <c r="AO82" i="2"/>
  <c r="AN82" i="2"/>
  <c r="AM82" i="2"/>
  <c r="AL82" i="2"/>
  <c r="AJ82" i="2"/>
  <c r="D82" i="2"/>
  <c r="AO81" i="2"/>
  <c r="AN81" i="2"/>
  <c r="AM81" i="2"/>
  <c r="AL81" i="2"/>
  <c r="AJ81" i="2"/>
  <c r="D81" i="2"/>
  <c r="AO80" i="2"/>
  <c r="AN80" i="2"/>
  <c r="AM80" i="2"/>
  <c r="AL80" i="2"/>
  <c r="AJ80" i="2"/>
  <c r="D80" i="2"/>
  <c r="AO79" i="2"/>
  <c r="AN79" i="2"/>
  <c r="AM79" i="2"/>
  <c r="AL79" i="2"/>
  <c r="AJ79" i="2"/>
  <c r="D79" i="2"/>
  <c r="AO78" i="2"/>
  <c r="AN78" i="2"/>
  <c r="AM78" i="2"/>
  <c r="AL78" i="2"/>
  <c r="AJ78" i="2"/>
  <c r="D78" i="2"/>
  <c r="AO77" i="2"/>
  <c r="AN77" i="2"/>
  <c r="AM77" i="2"/>
  <c r="AL77" i="2"/>
  <c r="AJ77" i="2"/>
  <c r="D77" i="2"/>
  <c r="AO76" i="2"/>
  <c r="AN76" i="2"/>
  <c r="AM76" i="2"/>
  <c r="AL76" i="2"/>
  <c r="AJ76" i="2"/>
  <c r="D76" i="2"/>
  <c r="AO75" i="2"/>
  <c r="AN75" i="2"/>
  <c r="AM75" i="2"/>
  <c r="AL75" i="2"/>
  <c r="AJ75" i="2"/>
  <c r="D75" i="2"/>
  <c r="AO74" i="2"/>
  <c r="AN74" i="2"/>
  <c r="AM74" i="2"/>
  <c r="AL74" i="2"/>
  <c r="AJ74" i="2"/>
  <c r="D74" i="2"/>
  <c r="AO73" i="2"/>
  <c r="AN73" i="2"/>
  <c r="AM73" i="2"/>
  <c r="AL73" i="2"/>
  <c r="AJ73" i="2"/>
  <c r="D73" i="2"/>
  <c r="AO72" i="2"/>
  <c r="AN72" i="2"/>
  <c r="AM72" i="2"/>
  <c r="AL72" i="2"/>
  <c r="AJ72" i="2"/>
  <c r="D72" i="2"/>
  <c r="AO71" i="2"/>
  <c r="AN71" i="2"/>
  <c r="AM71" i="2"/>
  <c r="AL71" i="2"/>
  <c r="AJ71" i="2"/>
  <c r="D71" i="2"/>
  <c r="AO70" i="2"/>
  <c r="AN70" i="2"/>
  <c r="AM70" i="2"/>
  <c r="AL70" i="2"/>
  <c r="AJ70" i="2"/>
  <c r="D70" i="2"/>
  <c r="AO69" i="2"/>
  <c r="AN69" i="2"/>
  <c r="AM69" i="2"/>
  <c r="AL69" i="2"/>
  <c r="AJ69" i="2"/>
  <c r="D69" i="2"/>
  <c r="AO68" i="2"/>
  <c r="AN68" i="2"/>
  <c r="AM68" i="2"/>
  <c r="AL68" i="2"/>
  <c r="AJ68" i="2"/>
  <c r="D68" i="2"/>
  <c r="AO67" i="2"/>
  <c r="AN67" i="2"/>
  <c r="AM67" i="2"/>
  <c r="AL67" i="2"/>
  <c r="AJ67" i="2"/>
  <c r="D67" i="2"/>
  <c r="AO66" i="2"/>
  <c r="AN66" i="2"/>
  <c r="AM66" i="2"/>
  <c r="AL66" i="2"/>
  <c r="AJ66" i="2"/>
  <c r="D66" i="2"/>
  <c r="AO65" i="2"/>
  <c r="AN65" i="2"/>
  <c r="AM65" i="2"/>
  <c r="AL65" i="2"/>
  <c r="AJ65" i="2"/>
  <c r="D65" i="2"/>
  <c r="AO64" i="2"/>
  <c r="AN64" i="2"/>
  <c r="AM64" i="2"/>
  <c r="AL64" i="2"/>
  <c r="AJ64" i="2"/>
  <c r="D64" i="2"/>
  <c r="AO63" i="2"/>
  <c r="AN63" i="2"/>
  <c r="AM63" i="2"/>
  <c r="AL63" i="2"/>
  <c r="AJ63" i="2"/>
  <c r="D63" i="2"/>
  <c r="AO62" i="2"/>
  <c r="AN62" i="2"/>
  <c r="AM62" i="2"/>
  <c r="AL62" i="2"/>
  <c r="AJ62" i="2"/>
  <c r="D62" i="2"/>
  <c r="AO61" i="2"/>
  <c r="AN61" i="2"/>
  <c r="AM61" i="2"/>
  <c r="AL61" i="2"/>
  <c r="AJ61" i="2"/>
  <c r="D61" i="2"/>
  <c r="AO60" i="2"/>
  <c r="AN60" i="2"/>
  <c r="AM60" i="2"/>
  <c r="AL60" i="2"/>
  <c r="AJ60" i="2"/>
  <c r="D60" i="2"/>
  <c r="AO59" i="2"/>
  <c r="AN59" i="2"/>
  <c r="AM59" i="2"/>
  <c r="AL59" i="2"/>
  <c r="AJ59" i="2"/>
  <c r="D59" i="2"/>
  <c r="AO58" i="2"/>
  <c r="AN58" i="2"/>
  <c r="AM58" i="2"/>
  <c r="AL58" i="2"/>
  <c r="AJ58" i="2"/>
  <c r="D58" i="2"/>
  <c r="AO57" i="2"/>
  <c r="AN57" i="2"/>
  <c r="AM57" i="2"/>
  <c r="AL57" i="2"/>
  <c r="AJ57" i="2"/>
  <c r="D57" i="2"/>
  <c r="AO56" i="2"/>
  <c r="AN56" i="2"/>
  <c r="AM56" i="2"/>
  <c r="AL56" i="2"/>
  <c r="AJ56" i="2"/>
  <c r="D56" i="2"/>
  <c r="AO55" i="2"/>
  <c r="AN55" i="2"/>
  <c r="AM55" i="2"/>
  <c r="AL55" i="2"/>
  <c r="AJ55" i="2"/>
  <c r="D55" i="2"/>
  <c r="AO54" i="2"/>
  <c r="AN54" i="2"/>
  <c r="AM54" i="2"/>
  <c r="AL54" i="2"/>
  <c r="AJ54" i="2"/>
  <c r="D54" i="2"/>
  <c r="AO53" i="2"/>
  <c r="AN53" i="2"/>
  <c r="AM53" i="2"/>
  <c r="AL53" i="2"/>
  <c r="AJ53" i="2"/>
  <c r="D53" i="2"/>
  <c r="AO52" i="2"/>
  <c r="AN52" i="2"/>
  <c r="AM52" i="2"/>
  <c r="AL52" i="2"/>
  <c r="AJ52" i="2"/>
  <c r="D52" i="2"/>
  <c r="AO51" i="2"/>
  <c r="AN51" i="2"/>
  <c r="AM51" i="2"/>
  <c r="AL51" i="2"/>
  <c r="AJ51" i="2"/>
  <c r="D51" i="2"/>
  <c r="AO50" i="2"/>
  <c r="AN50" i="2"/>
  <c r="AM50" i="2"/>
  <c r="AL50" i="2"/>
  <c r="AJ50" i="2"/>
  <c r="D50" i="2"/>
  <c r="AO49" i="2"/>
  <c r="AN49" i="2"/>
  <c r="AM49" i="2"/>
  <c r="AL49" i="2"/>
  <c r="AJ49" i="2"/>
  <c r="D49" i="2"/>
  <c r="AO48" i="2"/>
  <c r="AN48" i="2"/>
  <c r="AM48" i="2"/>
  <c r="AL48" i="2"/>
  <c r="AJ48" i="2"/>
  <c r="D48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AI31" i="2"/>
  <c r="AI34" i="2" s="1"/>
  <c r="AH31" i="2"/>
  <c r="AH34" i="2" s="1"/>
  <c r="AG31" i="2"/>
  <c r="AG34" i="2" s="1"/>
  <c r="AF31" i="2"/>
  <c r="AF34" i="2" s="1"/>
  <c r="AE31" i="2"/>
  <c r="AE34" i="2" s="1"/>
  <c r="AD31" i="2"/>
  <c r="AD34" i="2" s="1"/>
  <c r="AC31" i="2"/>
  <c r="AC34" i="2" s="1"/>
  <c r="AB31" i="2"/>
  <c r="AB34" i="2" s="1"/>
  <c r="AA31" i="2"/>
  <c r="AA34" i="2" s="1"/>
  <c r="Z31" i="2"/>
  <c r="Z34" i="2" s="1"/>
  <c r="Y31" i="2"/>
  <c r="Y34" i="2" s="1"/>
  <c r="X31" i="2"/>
  <c r="X34" i="2" s="1"/>
  <c r="W31" i="2"/>
  <c r="W34" i="2" s="1"/>
  <c r="V31" i="2"/>
  <c r="V34" i="2" s="1"/>
  <c r="U31" i="2"/>
  <c r="U34" i="2" s="1"/>
  <c r="T31" i="2"/>
  <c r="T34" i="2" s="1"/>
  <c r="S31" i="2"/>
  <c r="S34" i="2" s="1"/>
  <c r="R31" i="2"/>
  <c r="R34" i="2" s="1"/>
  <c r="Q31" i="2"/>
  <c r="Q34" i="2" s="1"/>
  <c r="P31" i="2"/>
  <c r="P34" i="2" s="1"/>
  <c r="O31" i="2"/>
  <c r="O34" i="2" s="1"/>
  <c r="N31" i="2"/>
  <c r="N34" i="2" s="1"/>
  <c r="M31" i="2"/>
  <c r="M34" i="2" s="1"/>
  <c r="L31" i="2"/>
  <c r="L34" i="2" s="1"/>
  <c r="K31" i="2"/>
  <c r="K34" i="2" s="1"/>
  <c r="J31" i="2"/>
  <c r="J34" i="2" s="1"/>
  <c r="I31" i="2"/>
  <c r="I34" i="2" s="1"/>
  <c r="H31" i="2"/>
  <c r="H34" i="2" s="1"/>
  <c r="G31" i="2"/>
  <c r="G34" i="2" s="1"/>
  <c r="F31" i="2"/>
  <c r="F34" i="2" s="1"/>
  <c r="E31" i="2"/>
  <c r="E34" i="2" s="1"/>
  <c r="AO29" i="2"/>
  <c r="AN29" i="2"/>
  <c r="AM29" i="2"/>
  <c r="AL29" i="2"/>
  <c r="AJ29" i="2"/>
  <c r="D29" i="2"/>
  <c r="AO28" i="2"/>
  <c r="AN28" i="2"/>
  <c r="AM28" i="2"/>
  <c r="AL28" i="2"/>
  <c r="AJ28" i="2"/>
  <c r="D28" i="2"/>
  <c r="AO27" i="2"/>
  <c r="AN27" i="2"/>
  <c r="AM27" i="2"/>
  <c r="AL27" i="2"/>
  <c r="AJ27" i="2"/>
  <c r="D27" i="2"/>
  <c r="AO26" i="2"/>
  <c r="AN26" i="2"/>
  <c r="AM26" i="2"/>
  <c r="AL26" i="2"/>
  <c r="AJ26" i="2"/>
  <c r="D26" i="2"/>
  <c r="AO25" i="2"/>
  <c r="AN25" i="2"/>
  <c r="AM25" i="2"/>
  <c r="AL25" i="2"/>
  <c r="AJ25" i="2"/>
  <c r="D25" i="2"/>
  <c r="AO24" i="2"/>
  <c r="AN24" i="2"/>
  <c r="AM24" i="2"/>
  <c r="AL24" i="2"/>
  <c r="AJ24" i="2"/>
  <c r="D24" i="2"/>
  <c r="AO23" i="2"/>
  <c r="AN23" i="2"/>
  <c r="AM23" i="2"/>
  <c r="AL23" i="2"/>
  <c r="AJ23" i="2"/>
  <c r="D23" i="2"/>
  <c r="AO22" i="2"/>
  <c r="AN22" i="2"/>
  <c r="AM22" i="2"/>
  <c r="AL22" i="2"/>
  <c r="AJ22" i="2"/>
  <c r="D22" i="2"/>
  <c r="AO21" i="2"/>
  <c r="AN21" i="2"/>
  <c r="AM21" i="2"/>
  <c r="AL21" i="2"/>
  <c r="AJ21" i="2"/>
  <c r="D21" i="2"/>
  <c r="AO20" i="2"/>
  <c r="AN20" i="2"/>
  <c r="AM20" i="2"/>
  <c r="AL20" i="2"/>
  <c r="AJ20" i="2"/>
  <c r="D20" i="2"/>
  <c r="AO19" i="2"/>
  <c r="AN19" i="2"/>
  <c r="AM19" i="2"/>
  <c r="AL19" i="2"/>
  <c r="AJ19" i="2"/>
  <c r="D19" i="2"/>
  <c r="AO18" i="2"/>
  <c r="AN18" i="2"/>
  <c r="AM18" i="2"/>
  <c r="AL18" i="2"/>
  <c r="AJ18" i="2"/>
  <c r="D18" i="2"/>
  <c r="AO17" i="2"/>
  <c r="AN17" i="2"/>
  <c r="AM17" i="2"/>
  <c r="AL17" i="2"/>
  <c r="AJ17" i="2"/>
  <c r="D17" i="2"/>
  <c r="AO16" i="2"/>
  <c r="AN16" i="2"/>
  <c r="AM16" i="2"/>
  <c r="AL16" i="2"/>
  <c r="AJ16" i="2"/>
  <c r="D16" i="2"/>
  <c r="AO15" i="2"/>
  <c r="AN15" i="2"/>
  <c r="AM15" i="2"/>
  <c r="AL15" i="2"/>
  <c r="AJ15" i="2"/>
  <c r="D15" i="2"/>
  <c r="AO14" i="2"/>
  <c r="AN14" i="2"/>
  <c r="AM14" i="2"/>
  <c r="AL14" i="2"/>
  <c r="AJ14" i="2"/>
  <c r="D14" i="2"/>
  <c r="AO13" i="2"/>
  <c r="AN13" i="2"/>
  <c r="AM13" i="2"/>
  <c r="AL13" i="2"/>
  <c r="AJ13" i="2"/>
  <c r="D13" i="2"/>
  <c r="AO12" i="2"/>
  <c r="AM12" i="2"/>
  <c r="AL12" i="2"/>
  <c r="AJ12" i="2"/>
  <c r="D12" i="2"/>
  <c r="AO11" i="2"/>
  <c r="AN11" i="2"/>
  <c r="AM11" i="2"/>
  <c r="AL11" i="2"/>
  <c r="AJ11" i="2"/>
  <c r="D11" i="2"/>
  <c r="AO10" i="2"/>
  <c r="AN10" i="2"/>
  <c r="AM10" i="2"/>
  <c r="AL10" i="2"/>
  <c r="AJ10" i="2"/>
  <c r="D10" i="2"/>
  <c r="AO9" i="2"/>
  <c r="AN9" i="2"/>
  <c r="AM9" i="2"/>
  <c r="AL9" i="2"/>
  <c r="AJ9" i="2"/>
  <c r="D9" i="2"/>
  <c r="AO8" i="2"/>
  <c r="AN8" i="2"/>
  <c r="AM8" i="2"/>
  <c r="AL8" i="2"/>
  <c r="AJ8" i="2"/>
  <c r="D8" i="2"/>
  <c r="AO7" i="2"/>
  <c r="AN7" i="2"/>
  <c r="AM7" i="2"/>
  <c r="AL7" i="2"/>
  <c r="AJ7" i="2"/>
  <c r="D7" i="2"/>
  <c r="AO6" i="2"/>
  <c r="AN6" i="2"/>
  <c r="AM6" i="2"/>
  <c r="AL6" i="2"/>
  <c r="AJ6" i="2"/>
  <c r="D6" i="2"/>
  <c r="AO5" i="2"/>
  <c r="AN5" i="2"/>
  <c r="AM5" i="2"/>
  <c r="AL5" i="2"/>
  <c r="AJ5" i="2"/>
  <c r="D5" i="2"/>
  <c r="AO4" i="2"/>
  <c r="AN4" i="2"/>
  <c r="AM4" i="2"/>
  <c r="AL4" i="2"/>
  <c r="AJ4" i="2"/>
  <c r="D4" i="2"/>
  <c r="AO3" i="2"/>
  <c r="AN3" i="2"/>
  <c r="AM3" i="2"/>
  <c r="AL3" i="2"/>
  <c r="AJ3" i="2"/>
  <c r="D3" i="2"/>
  <c r="AO2" i="2"/>
  <c r="AN2" i="2"/>
  <c r="AM2" i="2"/>
  <c r="AL2" i="2"/>
  <c r="AJ2" i="2"/>
  <c r="D2" i="2"/>
  <c r="AK1" i="2"/>
  <c r="D101" i="11"/>
  <c r="D101" i="9"/>
  <c r="AK101" i="9" s="1"/>
  <c r="AI104" i="7" s="1"/>
  <c r="D100" i="11"/>
  <c r="D100" i="9"/>
  <c r="D99" i="11"/>
  <c r="D99" i="9"/>
  <c r="D98" i="11"/>
  <c r="D98" i="9"/>
  <c r="D88" i="5"/>
  <c r="D96" i="11"/>
  <c r="D96" i="9"/>
  <c r="D95" i="11"/>
  <c r="D95" i="9"/>
  <c r="D94" i="11"/>
  <c r="D94" i="9"/>
  <c r="D93" i="11"/>
  <c r="D93" i="9"/>
  <c r="D92" i="11"/>
  <c r="D92" i="9"/>
  <c r="D91" i="11"/>
  <c r="D91" i="9"/>
  <c r="D90" i="11"/>
  <c r="D90" i="9"/>
  <c r="D89" i="11"/>
  <c r="D89" i="9"/>
  <c r="D88" i="11"/>
  <c r="D88" i="9"/>
  <c r="D87" i="11"/>
  <c r="D87" i="9"/>
  <c r="D86" i="11"/>
  <c r="D86" i="9"/>
  <c r="D85" i="11"/>
  <c r="D85" i="9"/>
  <c r="D84" i="11"/>
  <c r="D84" i="9"/>
  <c r="D83" i="11"/>
  <c r="D83" i="9"/>
  <c r="D82" i="11"/>
  <c r="D82" i="9"/>
  <c r="D72" i="5"/>
  <c r="D80" i="11"/>
  <c r="D80" i="9"/>
  <c r="D79" i="11"/>
  <c r="D79" i="9"/>
  <c r="D78" i="11"/>
  <c r="D78" i="9"/>
  <c r="D77" i="9"/>
  <c r="D76" i="11"/>
  <c r="D76" i="9"/>
  <c r="D75" i="11"/>
  <c r="D75" i="9"/>
  <c r="D74" i="11"/>
  <c r="D74" i="9"/>
  <c r="D73" i="11"/>
  <c r="D73" i="9"/>
  <c r="D72" i="9"/>
  <c r="D71" i="11"/>
  <c r="D71" i="9"/>
  <c r="D70" i="11"/>
  <c r="D70" i="9"/>
  <c r="D69" i="9"/>
  <c r="AK69" i="9" s="1"/>
  <c r="D68" i="11"/>
  <c r="D68" i="9"/>
  <c r="D67" i="11"/>
  <c r="D67" i="9"/>
  <c r="D66" i="11"/>
  <c r="D66" i="9"/>
  <c r="D65" i="11"/>
  <c r="D65" i="9"/>
  <c r="D64" i="11"/>
  <c r="D64" i="9"/>
  <c r="D63" i="11"/>
  <c r="D63" i="9"/>
  <c r="D62" i="11"/>
  <c r="AK62" i="11" s="1"/>
  <c r="D62" i="9"/>
  <c r="D61" i="11"/>
  <c r="D61" i="9"/>
  <c r="AK61" i="9" s="1"/>
  <c r="D60" i="9"/>
  <c r="D59" i="11"/>
  <c r="D59" i="9"/>
  <c r="D58" i="11"/>
  <c r="D58" i="9"/>
  <c r="D48" i="5"/>
  <c r="D56" i="11"/>
  <c r="AK56" i="11" s="1"/>
  <c r="D56" i="9"/>
  <c r="D55" i="11"/>
  <c r="D55" i="9"/>
  <c r="D54" i="11"/>
  <c r="D54" i="9"/>
  <c r="D53" i="11"/>
  <c r="D53" i="9"/>
  <c r="D52" i="11"/>
  <c r="D52" i="9"/>
  <c r="D51" i="11"/>
  <c r="D51" i="9"/>
  <c r="AK73" i="9" l="1"/>
  <c r="AK58" i="13"/>
  <c r="AK26" i="11"/>
  <c r="AK96" i="15"/>
  <c r="AK83" i="9"/>
  <c r="AK95" i="9"/>
  <c r="AI98" i="7" s="1"/>
  <c r="AK77" i="9"/>
  <c r="AK65" i="9"/>
  <c r="AK91" i="9"/>
  <c r="AP102" i="11"/>
  <c r="AK52" i="11"/>
  <c r="D4" i="30"/>
  <c r="D5" i="30"/>
  <c r="C11" i="30"/>
  <c r="C9" i="30"/>
  <c r="C22" i="30"/>
  <c r="D11" i="11"/>
  <c r="AK11" i="11" s="1"/>
  <c r="AK74" i="15"/>
  <c r="AK77" i="24"/>
  <c r="AK58" i="24"/>
  <c r="AK58" i="11"/>
  <c r="AK100" i="15"/>
  <c r="AK99" i="24"/>
  <c r="AK83" i="26"/>
  <c r="AK90" i="21"/>
  <c r="AK23" i="26"/>
  <c r="AK94" i="26"/>
  <c r="AK98" i="26"/>
  <c r="AK75" i="18"/>
  <c r="AK87" i="9"/>
  <c r="AK53" i="2"/>
  <c r="AK57" i="2"/>
  <c r="AK61" i="2"/>
  <c r="AK22" i="11"/>
  <c r="AK24" i="11"/>
  <c r="AK28" i="11"/>
  <c r="AK55" i="24"/>
  <c r="AK60" i="26"/>
  <c r="AK80" i="13"/>
  <c r="AK82" i="13"/>
  <c r="AK84" i="13"/>
  <c r="AK86" i="13"/>
  <c r="AK89" i="13"/>
  <c r="AK92" i="13"/>
  <c r="AK95" i="13"/>
  <c r="AK99" i="13"/>
  <c r="AK101" i="13"/>
  <c r="AK15" i="9"/>
  <c r="AK90" i="13"/>
  <c r="M37" i="15"/>
  <c r="M106" i="15" s="1"/>
  <c r="M38" i="15" s="1"/>
  <c r="AK34" i="15"/>
  <c r="AK54" i="15"/>
  <c r="AK70" i="15"/>
  <c r="AK73" i="15"/>
  <c r="AK78" i="15"/>
  <c r="AK95" i="15"/>
  <c r="AK99" i="15"/>
  <c r="AK50" i="18"/>
  <c r="AK52" i="18"/>
  <c r="AK54" i="18"/>
  <c r="AK56" i="18"/>
  <c r="AK58" i="18"/>
  <c r="AK60" i="18"/>
  <c r="AK62" i="18"/>
  <c r="AK84" i="18"/>
  <c r="AK80" i="21"/>
  <c r="AK86" i="21"/>
  <c r="AK51" i="11"/>
  <c r="AK55" i="11"/>
  <c r="AK61" i="11"/>
  <c r="AK73" i="11"/>
  <c r="AK13" i="2"/>
  <c r="AK25" i="2"/>
  <c r="AK54" i="11"/>
  <c r="AK86" i="11"/>
  <c r="AK74" i="13"/>
  <c r="AK72" i="21"/>
  <c r="AK76" i="21"/>
  <c r="AK77" i="21"/>
  <c r="AK100" i="21"/>
  <c r="AK22" i="26"/>
  <c r="AK50" i="26"/>
  <c r="AK70" i="26"/>
  <c r="AK54" i="9"/>
  <c r="AL54" i="5" s="1"/>
  <c r="AK65" i="11"/>
  <c r="AK82" i="9"/>
  <c r="AK86" i="9"/>
  <c r="AL86" i="5" s="1"/>
  <c r="AK90" i="9"/>
  <c r="AI93" i="7" s="1"/>
  <c r="AK94" i="9"/>
  <c r="AI97" i="7" s="1"/>
  <c r="AK100" i="9"/>
  <c r="AI103" i="7" s="1"/>
  <c r="AK26" i="2"/>
  <c r="AK53" i="9"/>
  <c r="AL53" i="5" s="1"/>
  <c r="AK64" i="11"/>
  <c r="AK68" i="11"/>
  <c r="AK82" i="11"/>
  <c r="AK53" i="11"/>
  <c r="AK58" i="9"/>
  <c r="AL58" i="5" s="1"/>
  <c r="AK59" i="11"/>
  <c r="AK62" i="9"/>
  <c r="AI65" i="7" s="1"/>
  <c r="AK63" i="11"/>
  <c r="AK67" i="11"/>
  <c r="AK70" i="9"/>
  <c r="AL70" i="5" s="1"/>
  <c r="AK74" i="9"/>
  <c r="AI77" i="7" s="1"/>
  <c r="AK78" i="9"/>
  <c r="AL78" i="5" s="1"/>
  <c r="AK99" i="11"/>
  <c r="AK79" i="13"/>
  <c r="AK83" i="13"/>
  <c r="AK85" i="13"/>
  <c r="AK87" i="13"/>
  <c r="AK88" i="13"/>
  <c r="AK91" i="13"/>
  <c r="AK93" i="13"/>
  <c r="AK94" i="13"/>
  <c r="AK96" i="13"/>
  <c r="AK98" i="13"/>
  <c r="AK100" i="13"/>
  <c r="AK9" i="21"/>
  <c r="AK10" i="21"/>
  <c r="AK52" i="21"/>
  <c r="AK54" i="21"/>
  <c r="AK56" i="21"/>
  <c r="AK58" i="21"/>
  <c r="AK60" i="21"/>
  <c r="AK62" i="21"/>
  <c r="AK64" i="21"/>
  <c r="AK6" i="24"/>
  <c r="AK62" i="24"/>
  <c r="AK74" i="24"/>
  <c r="AK80" i="24"/>
  <c r="AK81" i="24"/>
  <c r="AK93" i="24"/>
  <c r="AK4" i="26"/>
  <c r="AK8" i="26"/>
  <c r="AK12" i="26"/>
  <c r="AK77" i="26"/>
  <c r="D33" i="34"/>
  <c r="AK14" i="2"/>
  <c r="AK15" i="5"/>
  <c r="AK19" i="5"/>
  <c r="D19" i="7" s="1"/>
  <c r="AM19" i="7" s="1"/>
  <c r="AH19" i="7" s="1"/>
  <c r="AK23" i="5"/>
  <c r="D23" i="7" s="1"/>
  <c r="AM23" i="7" s="1"/>
  <c r="AH23" i="7" s="1"/>
  <c r="AK27" i="5"/>
  <c r="D27" i="7" s="1"/>
  <c r="AM27" i="7" s="1"/>
  <c r="AK32" i="5"/>
  <c r="D32" i="7" s="1"/>
  <c r="AM32" i="7" s="1"/>
  <c r="AK43" i="5"/>
  <c r="AK45" i="5"/>
  <c r="AK47" i="5"/>
  <c r="AK53" i="5"/>
  <c r="AK61" i="5"/>
  <c r="AK65" i="5"/>
  <c r="AK68" i="5"/>
  <c r="AK73" i="5"/>
  <c r="AK77" i="5"/>
  <c r="AK81" i="5"/>
  <c r="AK85" i="5"/>
  <c r="AK30" i="9"/>
  <c r="AL30" i="5" s="1"/>
  <c r="AK52" i="9"/>
  <c r="AI55" i="7" s="1"/>
  <c r="AK56" i="9"/>
  <c r="AL56" i="5" s="1"/>
  <c r="AK68" i="9"/>
  <c r="AK76" i="9"/>
  <c r="AL76" i="5" s="1"/>
  <c r="D81" i="9"/>
  <c r="AK81" i="9" s="1"/>
  <c r="AL81" i="5" s="1"/>
  <c r="AK85" i="9"/>
  <c r="AL11" i="15"/>
  <c r="D11" i="5"/>
  <c r="D57" i="9"/>
  <c r="AK57" i="9" s="1"/>
  <c r="AL57" i="5" s="1"/>
  <c r="D57" i="11"/>
  <c r="AK57" i="11" s="1"/>
  <c r="AK60" i="9"/>
  <c r="AI63" i="7" s="1"/>
  <c r="AK64" i="9"/>
  <c r="AL64" i="5" s="1"/>
  <c r="AK72" i="9"/>
  <c r="AL72" i="5" s="1"/>
  <c r="AK80" i="9"/>
  <c r="AI83" i="7" s="1"/>
  <c r="AK72" i="2"/>
  <c r="AK20" i="11"/>
  <c r="AK51" i="9"/>
  <c r="AK55" i="9"/>
  <c r="AI58" i="7" s="1"/>
  <c r="AK59" i="9"/>
  <c r="AL59" i="5" s="1"/>
  <c r="AK63" i="9"/>
  <c r="AI66" i="7" s="1"/>
  <c r="AK67" i="9"/>
  <c r="AI70" i="7" s="1"/>
  <c r="AK71" i="9"/>
  <c r="AI74" i="7" s="1"/>
  <c r="AK75" i="9"/>
  <c r="AI78" i="7" s="1"/>
  <c r="AK79" i="9"/>
  <c r="AI82" i="7" s="1"/>
  <c r="D81" i="11"/>
  <c r="AK81" i="11" s="1"/>
  <c r="AK84" i="9"/>
  <c r="AI87" i="7" s="1"/>
  <c r="AK88" i="9"/>
  <c r="AL88" i="5" s="1"/>
  <c r="AK92" i="9"/>
  <c r="AI95" i="7" s="1"/>
  <c r="AK96" i="9"/>
  <c r="AI99" i="7" s="1"/>
  <c r="AK98" i="9"/>
  <c r="AI101" i="7" s="1"/>
  <c r="AK18" i="2"/>
  <c r="AK80" i="2"/>
  <c r="AK92" i="2"/>
  <c r="AK95" i="2"/>
  <c r="AK60" i="13"/>
  <c r="AK62" i="13"/>
  <c r="AK64" i="13"/>
  <c r="AK68" i="13"/>
  <c r="AK70" i="13"/>
  <c r="AK72" i="13"/>
  <c r="AK76" i="13"/>
  <c r="AK78" i="13"/>
  <c r="D11" i="9"/>
  <c r="AK11" i="9" s="1"/>
  <c r="AI11" i="7" s="1"/>
  <c r="AK89" i="9"/>
  <c r="AI92" i="7" s="1"/>
  <c r="AK90" i="11"/>
  <c r="AK94" i="11"/>
  <c r="AK99" i="9"/>
  <c r="AI102" i="7" s="1"/>
  <c r="AK100" i="11"/>
  <c r="AK7" i="2"/>
  <c r="AK21" i="2"/>
  <c r="AK68" i="2"/>
  <c r="AK76" i="2"/>
  <c r="AK77" i="2"/>
  <c r="AK81" i="2"/>
  <c r="AK84" i="2"/>
  <c r="AK91" i="2"/>
  <c r="AK59" i="13"/>
  <c r="AK61" i="13"/>
  <c r="AK63" i="13"/>
  <c r="AK65" i="13"/>
  <c r="AK67" i="13"/>
  <c r="AK69" i="13"/>
  <c r="AK71" i="13"/>
  <c r="AK73" i="13"/>
  <c r="AK75" i="13"/>
  <c r="AK77" i="13"/>
  <c r="AK2" i="9"/>
  <c r="AI2" i="7" s="1"/>
  <c r="AK3" i="13"/>
  <c r="AK4" i="9"/>
  <c r="AL4" i="5" s="1"/>
  <c r="AK5" i="13"/>
  <c r="AK6" i="9"/>
  <c r="AI6" i="7" s="1"/>
  <c r="AK7" i="13"/>
  <c r="AK8" i="9"/>
  <c r="AI8" i="7" s="1"/>
  <c r="AK9" i="13"/>
  <c r="AK10" i="9"/>
  <c r="AI10" i="7" s="1"/>
  <c r="AK12" i="13"/>
  <c r="AK13" i="9"/>
  <c r="AL13" i="5" s="1"/>
  <c r="AK14" i="13"/>
  <c r="AK16" i="13"/>
  <c r="AK17" i="9"/>
  <c r="AL17" i="5" s="1"/>
  <c r="AK19" i="11"/>
  <c r="AK21" i="11"/>
  <c r="AK23" i="11"/>
  <c r="AK25" i="11"/>
  <c r="AK27" i="11"/>
  <c r="AK29" i="11"/>
  <c r="AK2" i="5"/>
  <c r="D2" i="7" s="1"/>
  <c r="AM2" i="7" s="1"/>
  <c r="AH2" i="7" s="1"/>
  <c r="AK6" i="5"/>
  <c r="D6" i="7" s="1"/>
  <c r="AM6" i="7" s="1"/>
  <c r="AH6" i="7" s="1"/>
  <c r="AK10" i="5"/>
  <c r="D10" i="7" s="1"/>
  <c r="AM10" i="7" s="1"/>
  <c r="AH10" i="7" s="1"/>
  <c r="AK14" i="5"/>
  <c r="D14" i="7" s="1"/>
  <c r="AM14" i="7" s="1"/>
  <c r="AH14" i="7" s="1"/>
  <c r="AK65" i="15"/>
  <c r="AK67" i="15"/>
  <c r="AK68" i="15"/>
  <c r="AK85" i="15"/>
  <c r="AK78" i="18"/>
  <c r="AK82" i="18"/>
  <c r="AK83" i="18"/>
  <c r="AK6" i="21"/>
  <c r="AK74" i="21"/>
  <c r="AK84" i="21"/>
  <c r="AK85" i="21"/>
  <c r="AK92" i="21"/>
  <c r="AK98" i="21"/>
  <c r="AK8" i="24"/>
  <c r="AK12" i="24"/>
  <c r="AK18" i="24"/>
  <c r="AK26" i="24"/>
  <c r="AK48" i="24"/>
  <c r="AK49" i="24"/>
  <c r="AK69" i="24"/>
  <c r="AK71" i="24"/>
  <c r="AK88" i="24"/>
  <c r="AK90" i="24"/>
  <c r="AK91" i="24"/>
  <c r="AK27" i="26"/>
  <c r="AK67" i="26"/>
  <c r="AK80" i="26"/>
  <c r="AK90" i="26"/>
  <c r="AK28" i="29"/>
  <c r="C28" i="4" s="1"/>
  <c r="D28" i="32" s="1"/>
  <c r="D28" i="4" s="1"/>
  <c r="AK90" i="5"/>
  <c r="AK69" i="11"/>
  <c r="AK30" i="15"/>
  <c r="AK57" i="15"/>
  <c r="AK59" i="15"/>
  <c r="AK60" i="15"/>
  <c r="AK61" i="15"/>
  <c r="AK63" i="15"/>
  <c r="AK79" i="15"/>
  <c r="AK80" i="15"/>
  <c r="AK81" i="15"/>
  <c r="AK88" i="18"/>
  <c r="AK90" i="18"/>
  <c r="AK94" i="18"/>
  <c r="AK95" i="18"/>
  <c r="AK97" i="18"/>
  <c r="AK99" i="18"/>
  <c r="AK70" i="21"/>
  <c r="AK82" i="21"/>
  <c r="AK96" i="21"/>
  <c r="AK97" i="21"/>
  <c r="AK102" i="21"/>
  <c r="AK5" i="24"/>
  <c r="AK16" i="24"/>
  <c r="AK20" i="24"/>
  <c r="AK24" i="24"/>
  <c r="AK85" i="24"/>
  <c r="AK51" i="26"/>
  <c r="AK71" i="26"/>
  <c r="AK72" i="26"/>
  <c r="AK99" i="26"/>
  <c r="AK100" i="26"/>
  <c r="AK10" i="29"/>
  <c r="C10" i="4" s="1"/>
  <c r="D10" i="32" s="1"/>
  <c r="D10" i="4" s="1"/>
  <c r="AK22" i="29"/>
  <c r="C22" i="4" s="1"/>
  <c r="D22" i="32" s="1"/>
  <c r="AK24" i="29"/>
  <c r="C24" i="4" s="1"/>
  <c r="D24" i="32" s="1"/>
  <c r="AL102" i="11"/>
  <c r="AK66" i="18"/>
  <c r="AK67" i="18"/>
  <c r="AK68" i="21"/>
  <c r="AK69" i="21"/>
  <c r="AK78" i="21"/>
  <c r="AK2" i="24"/>
  <c r="AK14" i="24"/>
  <c r="AK28" i="26"/>
  <c r="AK93" i="26"/>
  <c r="AK20" i="2"/>
  <c r="AK48" i="2"/>
  <c r="AK71" i="2"/>
  <c r="AK17" i="2"/>
  <c r="AK65" i="2"/>
  <c r="AK66" i="2"/>
  <c r="AK82" i="2"/>
  <c r="AI15" i="7"/>
  <c r="AL15" i="5"/>
  <c r="AK5" i="2"/>
  <c r="AK52" i="2"/>
  <c r="AK80" i="11"/>
  <c r="AK15" i="2"/>
  <c r="AK56" i="2"/>
  <c r="AK75" i="2"/>
  <c r="AK93" i="2"/>
  <c r="AK71" i="11"/>
  <c r="AK75" i="11"/>
  <c r="AK79" i="11"/>
  <c r="AK84" i="11"/>
  <c r="AK88" i="11"/>
  <c r="AK92" i="11"/>
  <c r="AK96" i="11"/>
  <c r="AK98" i="11"/>
  <c r="AK2" i="2"/>
  <c r="AK4" i="2"/>
  <c r="AK6" i="2"/>
  <c r="AK11" i="2"/>
  <c r="AK19" i="2"/>
  <c r="AK29" i="2"/>
  <c r="AK50" i="2"/>
  <c r="AK51" i="2"/>
  <c r="AK69" i="2"/>
  <c r="AK70" i="2"/>
  <c r="AK79" i="2"/>
  <c r="AK85" i="2"/>
  <c r="AK86" i="2"/>
  <c r="AK90" i="2"/>
  <c r="AK96" i="2"/>
  <c r="AK97" i="2"/>
  <c r="AK99" i="2"/>
  <c r="AK100" i="2"/>
  <c r="AL97" i="15"/>
  <c r="AK2" i="13"/>
  <c r="AK3" i="9"/>
  <c r="AI3" i="7" s="1"/>
  <c r="AK4" i="13"/>
  <c r="AK5" i="9"/>
  <c r="AK6" i="13"/>
  <c r="AK7" i="9"/>
  <c r="AI7" i="7" s="1"/>
  <c r="AK8" i="13"/>
  <c r="AK9" i="9"/>
  <c r="AI9" i="7" s="1"/>
  <c r="AK10" i="13"/>
  <c r="AK12" i="9"/>
  <c r="AI12" i="7" s="1"/>
  <c r="AK13" i="13"/>
  <c r="AK14" i="9"/>
  <c r="AI14" i="7" s="1"/>
  <c r="AK15" i="13"/>
  <c r="AK16" i="9"/>
  <c r="AI16" i="7" s="1"/>
  <c r="AK17" i="13"/>
  <c r="AK30" i="13"/>
  <c r="AK4" i="5"/>
  <c r="D4" i="7" s="1"/>
  <c r="AM4" i="7" s="1"/>
  <c r="AH4" i="7" s="1"/>
  <c r="AK8" i="5"/>
  <c r="D8" i="7" s="1"/>
  <c r="AM8" i="7" s="1"/>
  <c r="AH8" i="7" s="1"/>
  <c r="AK12" i="5"/>
  <c r="D12" i="7" s="1"/>
  <c r="AM12" i="7" s="1"/>
  <c r="AK76" i="11"/>
  <c r="AK85" i="11"/>
  <c r="AK89" i="11"/>
  <c r="AK93" i="11"/>
  <c r="AK3" i="2"/>
  <c r="AK9" i="2"/>
  <c r="AK24" i="2"/>
  <c r="AK60" i="2"/>
  <c r="D15" i="7"/>
  <c r="AM15" i="7" s="1"/>
  <c r="AH15" i="7" s="1"/>
  <c r="AK70" i="11"/>
  <c r="AK74" i="11"/>
  <c r="AK78" i="11"/>
  <c r="AK83" i="11"/>
  <c r="AK87" i="11"/>
  <c r="AK91" i="11"/>
  <c r="AK95" i="11"/>
  <c r="AK101" i="11"/>
  <c r="AJ34" i="2"/>
  <c r="AK8" i="2"/>
  <c r="AK10" i="2"/>
  <c r="AK12" i="2"/>
  <c r="AK16" i="2"/>
  <c r="AK22" i="2"/>
  <c r="AK23" i="2"/>
  <c r="AK28" i="2"/>
  <c r="AK49" i="2"/>
  <c r="AK54" i="2"/>
  <c r="AK55" i="2"/>
  <c r="AK58" i="2"/>
  <c r="AK59" i="2"/>
  <c r="AK62" i="2"/>
  <c r="AK63" i="2"/>
  <c r="AK67" i="2"/>
  <c r="AK73" i="2"/>
  <c r="AK74" i="2"/>
  <c r="AK83" i="2"/>
  <c r="AK94" i="2"/>
  <c r="AK16" i="5"/>
  <c r="D16" i="7" s="1"/>
  <c r="AM16" i="7" s="1"/>
  <c r="AH16" i="7" s="1"/>
  <c r="AK21" i="5"/>
  <c r="D21" i="7" s="1"/>
  <c r="AM21" i="7" s="1"/>
  <c r="AK25" i="5"/>
  <c r="AK29" i="5"/>
  <c r="D29" i="7" s="1"/>
  <c r="AM29" i="7" s="1"/>
  <c r="AH29" i="7" s="1"/>
  <c r="AK42" i="5"/>
  <c r="AK44" i="5"/>
  <c r="AK46" i="5"/>
  <c r="AK51" i="5"/>
  <c r="AK55" i="5"/>
  <c r="AK59" i="5"/>
  <c r="AK63" i="5"/>
  <c r="AK66" i="5"/>
  <c r="AK70" i="5"/>
  <c r="AK75" i="5"/>
  <c r="AK79" i="5"/>
  <c r="AK83" i="5"/>
  <c r="AK87" i="5"/>
  <c r="AK88" i="5"/>
  <c r="AK92" i="5"/>
  <c r="AK78" i="2"/>
  <c r="AK88" i="2"/>
  <c r="AK89" i="2"/>
  <c r="AK98" i="2"/>
  <c r="AK52" i="13"/>
  <c r="AK54" i="13"/>
  <c r="AK56" i="13"/>
  <c r="AK2" i="11"/>
  <c r="AK4" i="11"/>
  <c r="AK6" i="11"/>
  <c r="AK8" i="11"/>
  <c r="AK10" i="11"/>
  <c r="AK15" i="11"/>
  <c r="AK17" i="11"/>
  <c r="AK19" i="13"/>
  <c r="AK20" i="9"/>
  <c r="AL20" i="5" s="1"/>
  <c r="AK21" i="13"/>
  <c r="AK22" i="9"/>
  <c r="AL22" i="5" s="1"/>
  <c r="AK23" i="13"/>
  <c r="AK24" i="9"/>
  <c r="AL24" i="5" s="1"/>
  <c r="AK25" i="13"/>
  <c r="AK26" i="9"/>
  <c r="AL26" i="5" s="1"/>
  <c r="AK27" i="13"/>
  <c r="AK28" i="9"/>
  <c r="AL28" i="5" s="1"/>
  <c r="AK29" i="13"/>
  <c r="AK30" i="11"/>
  <c r="AK3" i="5"/>
  <c r="D3" i="7" s="1"/>
  <c r="AM3" i="7" s="1"/>
  <c r="AH3" i="7" s="1"/>
  <c r="AK7" i="5"/>
  <c r="D7" i="7" s="1"/>
  <c r="AM7" i="7" s="1"/>
  <c r="AH7" i="7" s="1"/>
  <c r="AK11" i="5"/>
  <c r="D11" i="7" s="1"/>
  <c r="AM11" i="7" s="1"/>
  <c r="AH11" i="7" s="1"/>
  <c r="AK17" i="5"/>
  <c r="D17" i="7" s="1"/>
  <c r="AM17" i="7" s="1"/>
  <c r="AH17" i="7" s="1"/>
  <c r="AK18" i="5"/>
  <c r="AK22" i="5"/>
  <c r="D22" i="7" s="1"/>
  <c r="AM22" i="7" s="1"/>
  <c r="AH22" i="7" s="1"/>
  <c r="AK26" i="5"/>
  <c r="D26" i="7" s="1"/>
  <c r="AM26" i="7" s="1"/>
  <c r="AH26" i="7" s="1"/>
  <c r="AK30" i="5"/>
  <c r="D30" i="7" s="1"/>
  <c r="AM30" i="7" s="1"/>
  <c r="AH30" i="7" s="1"/>
  <c r="AK31" i="5"/>
  <c r="AK49" i="5"/>
  <c r="AK52" i="5"/>
  <c r="AK56" i="5"/>
  <c r="AK60" i="5"/>
  <c r="AK64" i="5"/>
  <c r="AK67" i="5"/>
  <c r="AK71" i="5"/>
  <c r="AK72" i="5"/>
  <c r="AK76" i="5"/>
  <c r="AK80" i="5"/>
  <c r="AK84" i="5"/>
  <c r="AK89" i="5"/>
  <c r="AM102" i="11"/>
  <c r="AK77" i="11"/>
  <c r="G37" i="13"/>
  <c r="G106" i="13" s="1"/>
  <c r="W37" i="13"/>
  <c r="W106" i="13" s="1"/>
  <c r="W118" i="13" s="1"/>
  <c r="AK104" i="15"/>
  <c r="AK53" i="15"/>
  <c r="AK64" i="15"/>
  <c r="AK69" i="15"/>
  <c r="AK84" i="15"/>
  <c r="AK89" i="15"/>
  <c r="AK80" i="18"/>
  <c r="AK59" i="26"/>
  <c r="AK32" i="9"/>
  <c r="AL32" i="5" s="1"/>
  <c r="AK32" i="11"/>
  <c r="AN102" i="11"/>
  <c r="K37" i="13"/>
  <c r="K106" i="13" s="1"/>
  <c r="AA37" i="13"/>
  <c r="AA106" i="13" s="1"/>
  <c r="AK3" i="15"/>
  <c r="AK4" i="15"/>
  <c r="AK51" i="13"/>
  <c r="AK53" i="13"/>
  <c r="AK55" i="13"/>
  <c r="AK3" i="11"/>
  <c r="AK5" i="11"/>
  <c r="AK7" i="11"/>
  <c r="AK9" i="11"/>
  <c r="AK12" i="11"/>
  <c r="AK14" i="11"/>
  <c r="AK19" i="9"/>
  <c r="AL19" i="5" s="1"/>
  <c r="AK20" i="13"/>
  <c r="AK21" i="9"/>
  <c r="AL21" i="5" s="1"/>
  <c r="AK22" i="13"/>
  <c r="AK23" i="9"/>
  <c r="AI23" i="7" s="1"/>
  <c r="AK24" i="13"/>
  <c r="AK25" i="9"/>
  <c r="AI25" i="7" s="1"/>
  <c r="AK26" i="13"/>
  <c r="AK27" i="9"/>
  <c r="AL27" i="5" s="1"/>
  <c r="AK28" i="13"/>
  <c r="AK29" i="9"/>
  <c r="AI29" i="7" s="1"/>
  <c r="AK5" i="5"/>
  <c r="D5" i="7" s="1"/>
  <c r="AM5" i="7" s="1"/>
  <c r="AH5" i="7" s="1"/>
  <c r="AK9" i="5"/>
  <c r="D9" i="7" s="1"/>
  <c r="AM9" i="7" s="1"/>
  <c r="AH9" i="7" s="1"/>
  <c r="AK13" i="5"/>
  <c r="D13" i="7" s="1"/>
  <c r="AM13" i="7" s="1"/>
  <c r="AH13" i="7" s="1"/>
  <c r="AK20" i="5"/>
  <c r="D20" i="7" s="1"/>
  <c r="AM20" i="7" s="1"/>
  <c r="AH20" i="7" s="1"/>
  <c r="AK24" i="5"/>
  <c r="D24" i="7" s="1"/>
  <c r="AM24" i="7" s="1"/>
  <c r="AK28" i="5"/>
  <c r="D28" i="7" s="1"/>
  <c r="AM28" i="7" s="1"/>
  <c r="AH28" i="7" s="1"/>
  <c r="AK48" i="5"/>
  <c r="AK50" i="5"/>
  <c r="AK54" i="5"/>
  <c r="AK58" i="5"/>
  <c r="AK62" i="5"/>
  <c r="AK69" i="5"/>
  <c r="AK74" i="5"/>
  <c r="AK78" i="5"/>
  <c r="AK82" i="5"/>
  <c r="AK86" i="5"/>
  <c r="AK91" i="5"/>
  <c r="AH104" i="7"/>
  <c r="AK60" i="11"/>
  <c r="AK72" i="11"/>
  <c r="O37" i="13"/>
  <c r="O106" i="13" s="1"/>
  <c r="AE37" i="13"/>
  <c r="AE106" i="13" s="1"/>
  <c r="AK2" i="15"/>
  <c r="AK55" i="15"/>
  <c r="AK56" i="15"/>
  <c r="AK58" i="15"/>
  <c r="AK90" i="15"/>
  <c r="AK91" i="15"/>
  <c r="AK11" i="26"/>
  <c r="AK15" i="26"/>
  <c r="AK19" i="26"/>
  <c r="AK54" i="26"/>
  <c r="AK58" i="26"/>
  <c r="AK74" i="26"/>
  <c r="AK26" i="29"/>
  <c r="C26" i="4" s="1"/>
  <c r="D26" i="32" s="1"/>
  <c r="D26" i="4" s="1"/>
  <c r="AK70" i="18"/>
  <c r="AK72" i="18"/>
  <c r="AK29" i="24"/>
  <c r="AK4" i="24"/>
  <c r="AK10" i="24"/>
  <c r="AK21" i="24"/>
  <c r="AK22" i="24"/>
  <c r="AK51" i="24"/>
  <c r="AK65" i="24"/>
  <c r="AK73" i="24"/>
  <c r="AK92" i="24"/>
  <c r="AK49" i="18"/>
  <c r="AK51" i="18"/>
  <c r="AK53" i="18"/>
  <c r="AK55" i="18"/>
  <c r="AK57" i="18"/>
  <c r="AK59" i="18"/>
  <c r="AK61" i="18"/>
  <c r="AK63" i="18"/>
  <c r="AK65" i="18"/>
  <c r="AK73" i="18"/>
  <c r="AK81" i="18"/>
  <c r="AK91" i="18"/>
  <c r="AK93" i="18"/>
  <c r="AK5" i="21"/>
  <c r="AK67" i="21"/>
  <c r="AK75" i="21"/>
  <c r="AK83" i="21"/>
  <c r="AK93" i="21"/>
  <c r="AK95" i="21"/>
  <c r="AK7" i="24"/>
  <c r="AK15" i="24"/>
  <c r="AK23" i="24"/>
  <c r="AK56" i="24"/>
  <c r="AK61" i="24"/>
  <c r="AK67" i="24"/>
  <c r="AK70" i="24"/>
  <c r="AK76" i="24"/>
  <c r="AK83" i="24"/>
  <c r="AK86" i="24"/>
  <c r="AK89" i="24"/>
  <c r="AK95" i="24"/>
  <c r="AK2" i="26"/>
  <c r="AK5" i="26"/>
  <c r="AK7" i="26"/>
  <c r="AK18" i="26"/>
  <c r="AK24" i="26"/>
  <c r="AK25" i="26"/>
  <c r="AK48" i="26"/>
  <c r="AK57" i="26"/>
  <c r="AK62" i="26"/>
  <c r="AK66" i="26"/>
  <c r="AK82" i="26"/>
  <c r="AK84" i="26"/>
  <c r="AK85" i="26"/>
  <c r="AK89" i="26"/>
  <c r="AK95" i="26"/>
  <c r="AK96" i="26"/>
  <c r="AK5" i="29"/>
  <c r="C5" i="4" s="1"/>
  <c r="D5" i="32" s="1"/>
  <c r="D5" i="4" s="1"/>
  <c r="AK12" i="29"/>
  <c r="C12" i="4" s="1"/>
  <c r="D12" i="32" s="1"/>
  <c r="D12" i="4" s="1"/>
  <c r="AK13" i="29"/>
  <c r="C13" i="4" s="1"/>
  <c r="D13" i="32" s="1"/>
  <c r="D13" i="4" s="1"/>
  <c r="AK15" i="29"/>
  <c r="C15" i="4" s="1"/>
  <c r="D15" i="32" s="1"/>
  <c r="AK19" i="29"/>
  <c r="C19" i="4" s="1"/>
  <c r="D19" i="32" s="1"/>
  <c r="D19" i="4" s="1"/>
  <c r="AK21" i="29"/>
  <c r="C21" i="4" s="1"/>
  <c r="D21" i="32" s="1"/>
  <c r="AK6" i="15"/>
  <c r="AK62" i="15"/>
  <c r="AK71" i="15"/>
  <c r="AK72" i="15"/>
  <c r="AK77" i="15"/>
  <c r="AK82" i="15"/>
  <c r="AK83" i="15"/>
  <c r="AK88" i="15"/>
  <c r="AK93" i="15"/>
  <c r="AK94" i="15"/>
  <c r="AK97" i="15"/>
  <c r="AK98" i="15"/>
  <c r="AK30" i="18"/>
  <c r="AK69" i="18"/>
  <c r="AK77" i="18"/>
  <c r="AK85" i="18"/>
  <c r="AK87" i="18"/>
  <c r="AK21" i="21"/>
  <c r="AK3" i="21"/>
  <c r="AK4" i="21"/>
  <c r="AK8" i="21"/>
  <c r="AK14" i="21"/>
  <c r="AK71" i="21"/>
  <c r="AK79" i="21"/>
  <c r="AK87" i="21"/>
  <c r="AK89" i="21"/>
  <c r="AK99" i="21"/>
  <c r="AK3" i="24"/>
  <c r="AK11" i="24"/>
  <c r="AK19" i="24"/>
  <c r="AK28" i="24"/>
  <c r="AK50" i="24"/>
  <c r="AK52" i="24"/>
  <c r="AK53" i="24"/>
  <c r="AK59" i="24"/>
  <c r="AK68" i="24"/>
  <c r="AK75" i="24"/>
  <c r="AK78" i="24"/>
  <c r="AK84" i="24"/>
  <c r="AK94" i="24"/>
  <c r="AK97" i="24"/>
  <c r="AK16" i="26"/>
  <c r="AK26" i="26"/>
  <c r="AK49" i="26"/>
  <c r="AK55" i="26"/>
  <c r="AK61" i="26"/>
  <c r="AK63" i="26"/>
  <c r="AK65" i="26"/>
  <c r="AK75" i="26"/>
  <c r="AK76" i="26"/>
  <c r="AK81" i="26"/>
  <c r="AK86" i="26"/>
  <c r="AK88" i="26"/>
  <c r="AK97" i="26"/>
  <c r="AK18" i="29"/>
  <c r="C18" i="4" s="1"/>
  <c r="D18" i="32" s="1"/>
  <c r="AK4" i="29"/>
  <c r="C4" i="4" s="1"/>
  <c r="D4" i="32" s="1"/>
  <c r="AK6" i="29"/>
  <c r="C6" i="4" s="1"/>
  <c r="D6" i="32" s="1"/>
  <c r="D6" i="4" s="1"/>
  <c r="AK20" i="29"/>
  <c r="C20" i="4" s="1"/>
  <c r="D20" i="32" s="1"/>
  <c r="D20" i="4" s="1"/>
  <c r="AK51" i="15"/>
  <c r="AK52" i="15"/>
  <c r="AK75" i="15"/>
  <c r="AK76" i="15"/>
  <c r="AK86" i="15"/>
  <c r="AK87" i="15"/>
  <c r="AK92" i="15"/>
  <c r="AK101" i="15"/>
  <c r="AK71" i="18"/>
  <c r="AK79" i="18"/>
  <c r="AK89" i="18"/>
  <c r="AK96" i="18"/>
  <c r="AK98" i="18"/>
  <c r="AK100" i="18"/>
  <c r="AK2" i="21"/>
  <c r="AK7" i="21"/>
  <c r="AK51" i="21"/>
  <c r="AK53" i="21"/>
  <c r="AK55" i="21"/>
  <c r="AK57" i="21"/>
  <c r="AK59" i="21"/>
  <c r="AK61" i="21"/>
  <c r="AK63" i="21"/>
  <c r="AK65" i="21"/>
  <c r="AK73" i="21"/>
  <c r="AK81" i="21"/>
  <c r="AK91" i="21"/>
  <c r="AK101" i="21"/>
  <c r="AK9" i="24"/>
  <c r="AK17" i="24"/>
  <c r="AK25" i="24"/>
  <c r="AK54" i="24"/>
  <c r="AK57" i="24"/>
  <c r="AK60" i="24"/>
  <c r="AK63" i="24"/>
  <c r="AK66" i="24"/>
  <c r="AK72" i="24"/>
  <c r="AK79" i="24"/>
  <c r="AK82" i="24"/>
  <c r="AK98" i="24"/>
  <c r="AK3" i="26"/>
  <c r="AK14" i="26"/>
  <c r="AK20" i="26"/>
  <c r="AK53" i="26"/>
  <c r="AK68" i="26"/>
  <c r="AK69" i="26"/>
  <c r="AK73" i="26"/>
  <c r="AK78" i="26"/>
  <c r="AK79" i="26"/>
  <c r="AK91" i="26"/>
  <c r="AK92" i="26"/>
  <c r="AK9" i="29"/>
  <c r="C9" i="4" s="1"/>
  <c r="D9" i="32" s="1"/>
  <c r="D9" i="4" s="1"/>
  <c r="AK11" i="29"/>
  <c r="C11" i="4" s="1"/>
  <c r="D11" i="32" s="1"/>
  <c r="D11" i="4" s="1"/>
  <c r="AK23" i="29"/>
  <c r="C23" i="4" s="1"/>
  <c r="D23" i="32" s="1"/>
  <c r="AK25" i="29"/>
  <c r="C25" i="4" s="1"/>
  <c r="D25" i="32" s="1"/>
  <c r="D25" i="4" s="1"/>
  <c r="AK27" i="29"/>
  <c r="C27" i="4" s="1"/>
  <c r="D27" i="32" s="1"/>
  <c r="AK29" i="29"/>
  <c r="C29" i="4" s="1"/>
  <c r="D29" i="32" s="1"/>
  <c r="D29" i="4" s="1"/>
  <c r="AK7" i="29"/>
  <c r="C7" i="4" s="1"/>
  <c r="D7" i="32" s="1"/>
  <c r="AK14" i="29"/>
  <c r="C14" i="4" s="1"/>
  <c r="D14" i="32" s="1"/>
  <c r="D14" i="4" s="1"/>
  <c r="AK8" i="29"/>
  <c r="C8" i="4" s="1"/>
  <c r="D8" i="32" s="1"/>
  <c r="AI86" i="7"/>
  <c r="AL83" i="5"/>
  <c r="AI90" i="7"/>
  <c r="AL87" i="5"/>
  <c r="AL61" i="5"/>
  <c r="AI64" i="7"/>
  <c r="AL65" i="5"/>
  <c r="AI68" i="7"/>
  <c r="AL69" i="5"/>
  <c r="AI72" i="7"/>
  <c r="AI76" i="7"/>
  <c r="AL73" i="5"/>
  <c r="AI80" i="7"/>
  <c r="AL77" i="5"/>
  <c r="AI85" i="7"/>
  <c r="AL82" i="5"/>
  <c r="AI89" i="7"/>
  <c r="AL62" i="5"/>
  <c r="AI94" i="7"/>
  <c r="AL91" i="5"/>
  <c r="AL68" i="5"/>
  <c r="AI71" i="7"/>
  <c r="AI84" i="7"/>
  <c r="AI88" i="7"/>
  <c r="AL85" i="5"/>
  <c r="AL51" i="5"/>
  <c r="AI54" i="7"/>
  <c r="AL55" i="5"/>
  <c r="AL63" i="5"/>
  <c r="AI5" i="7"/>
  <c r="AL5" i="5"/>
  <c r="D97" i="9"/>
  <c r="AK97" i="9" s="1"/>
  <c r="AI100" i="7" s="1"/>
  <c r="D11" i="13"/>
  <c r="AK11" i="13" s="1"/>
  <c r="H37" i="9"/>
  <c r="H106" i="9" s="1"/>
  <c r="L37" i="9"/>
  <c r="L106" i="9" s="1"/>
  <c r="P37" i="9"/>
  <c r="P106" i="9" s="1"/>
  <c r="T37" i="9"/>
  <c r="T106" i="9" s="1"/>
  <c r="X37" i="9"/>
  <c r="X106" i="9" s="1"/>
  <c r="AB37" i="9"/>
  <c r="AB106" i="9" s="1"/>
  <c r="AF37" i="9"/>
  <c r="AF106" i="9" s="1"/>
  <c r="D97" i="11"/>
  <c r="AK97" i="11" s="1"/>
  <c r="D18" i="9"/>
  <c r="AK18" i="9" s="1"/>
  <c r="E37" i="9"/>
  <c r="E106" i="9" s="1"/>
  <c r="I37" i="9"/>
  <c r="I106" i="9" s="1"/>
  <c r="M37" i="9"/>
  <c r="M106" i="9" s="1"/>
  <c r="Q37" i="9"/>
  <c r="Q106" i="9" s="1"/>
  <c r="U37" i="9"/>
  <c r="U106" i="9" s="1"/>
  <c r="Y37" i="9"/>
  <c r="Y106" i="9" s="1"/>
  <c r="AC37" i="9"/>
  <c r="AC106" i="9" s="1"/>
  <c r="AG37" i="9"/>
  <c r="AG106" i="9" s="1"/>
  <c r="D97" i="13"/>
  <c r="AK97" i="13" s="1"/>
  <c r="D18" i="11"/>
  <c r="AH12" i="7"/>
  <c r="AH25" i="7"/>
  <c r="F37" i="9"/>
  <c r="F106" i="9" s="1"/>
  <c r="J37" i="9"/>
  <c r="J106" i="9" s="1"/>
  <c r="N37" i="9"/>
  <c r="N106" i="9" s="1"/>
  <c r="R37" i="9"/>
  <c r="R106" i="9" s="1"/>
  <c r="V37" i="9"/>
  <c r="V106" i="9" s="1"/>
  <c r="Z37" i="9"/>
  <c r="Z106" i="9" s="1"/>
  <c r="AD37" i="9"/>
  <c r="AD106" i="9" s="1"/>
  <c r="AH37" i="9"/>
  <c r="AH106" i="9" s="1"/>
  <c r="D81" i="13"/>
  <c r="AK81" i="13" s="1"/>
  <c r="D18" i="13"/>
  <c r="AK18" i="13" s="1"/>
  <c r="D18" i="5"/>
  <c r="D18" i="7" s="1"/>
  <c r="AM18" i="7" s="1"/>
  <c r="AH18" i="7" s="1"/>
  <c r="AH21" i="7"/>
  <c r="AH24" i="7"/>
  <c r="AH27" i="7"/>
  <c r="AH32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G37" i="9"/>
  <c r="G106" i="9" s="1"/>
  <c r="K37" i="9"/>
  <c r="K106" i="9" s="1"/>
  <c r="O37" i="9"/>
  <c r="O106" i="9" s="1"/>
  <c r="S37" i="9"/>
  <c r="S106" i="9" s="1"/>
  <c r="W37" i="9"/>
  <c r="W106" i="9" s="1"/>
  <c r="AA37" i="9"/>
  <c r="AA106" i="9" s="1"/>
  <c r="AE37" i="9"/>
  <c r="AE106" i="9" s="1"/>
  <c r="AI37" i="9"/>
  <c r="AI106" i="9" s="1"/>
  <c r="L37" i="11"/>
  <c r="L106" i="11" s="1"/>
  <c r="AB37" i="11"/>
  <c r="AB106" i="11" s="1"/>
  <c r="E103" i="11"/>
  <c r="E37" i="11" s="1"/>
  <c r="E106" i="11" s="1"/>
  <c r="P103" i="11"/>
  <c r="P37" i="11" s="1"/>
  <c r="P106" i="11" s="1"/>
  <c r="U103" i="11"/>
  <c r="U37" i="11" s="1"/>
  <c r="U106" i="11" s="1"/>
  <c r="AF103" i="11"/>
  <c r="AF37" i="11" s="1"/>
  <c r="AF106" i="11" s="1"/>
  <c r="AK5" i="15"/>
  <c r="AK9" i="15"/>
  <c r="AK12" i="15"/>
  <c r="AK16" i="15"/>
  <c r="AK19" i="15"/>
  <c r="AK29" i="15"/>
  <c r="H103" i="15"/>
  <c r="H37" i="15" s="1"/>
  <c r="H106" i="15" s="1"/>
  <c r="L103" i="15"/>
  <c r="L37" i="15" s="1"/>
  <c r="L106" i="15" s="1"/>
  <c r="P103" i="15"/>
  <c r="P37" i="15" s="1"/>
  <c r="P106" i="15" s="1"/>
  <c r="T103" i="15"/>
  <c r="T37" i="15" s="1"/>
  <c r="T106" i="15" s="1"/>
  <c r="X103" i="15"/>
  <c r="X37" i="15" s="1"/>
  <c r="X106" i="15" s="1"/>
  <c r="AB103" i="15"/>
  <c r="AB37" i="15" s="1"/>
  <c r="AB106" i="15" s="1"/>
  <c r="AF103" i="15"/>
  <c r="AF37" i="15" s="1"/>
  <c r="AF106" i="15" s="1"/>
  <c r="H37" i="11"/>
  <c r="H106" i="11" s="1"/>
  <c r="X37" i="11"/>
  <c r="X106" i="11" s="1"/>
  <c r="E103" i="13"/>
  <c r="E37" i="13" s="1"/>
  <c r="E106" i="13" s="1"/>
  <c r="I103" i="13"/>
  <c r="I37" i="13" s="1"/>
  <c r="I106" i="13" s="1"/>
  <c r="M103" i="13"/>
  <c r="M37" i="13" s="1"/>
  <c r="M106" i="13" s="1"/>
  <c r="Q103" i="13"/>
  <c r="Q37" i="13" s="1"/>
  <c r="Q106" i="13" s="1"/>
  <c r="U103" i="13"/>
  <c r="U37" i="13" s="1"/>
  <c r="U106" i="13" s="1"/>
  <c r="Y103" i="13"/>
  <c r="Y37" i="13" s="1"/>
  <c r="Y106" i="13" s="1"/>
  <c r="AC103" i="13"/>
  <c r="AC37" i="13" s="1"/>
  <c r="AC106" i="13" s="1"/>
  <c r="AG103" i="13"/>
  <c r="AG37" i="13" s="1"/>
  <c r="AG106" i="13" s="1"/>
  <c r="L37" i="13"/>
  <c r="L106" i="13" s="1"/>
  <c r="T37" i="13"/>
  <c r="T106" i="13" s="1"/>
  <c r="AB37" i="13"/>
  <c r="AB106" i="13" s="1"/>
  <c r="AK8" i="15"/>
  <c r="AK15" i="15"/>
  <c r="AK22" i="15"/>
  <c r="AK24" i="15"/>
  <c r="AK26" i="15"/>
  <c r="AK27" i="15"/>
  <c r="AK32" i="15"/>
  <c r="O37" i="15"/>
  <c r="O106" i="15" s="1"/>
  <c r="O38" i="15" s="1"/>
  <c r="E103" i="15"/>
  <c r="E37" i="15" s="1"/>
  <c r="E106" i="15" s="1"/>
  <c r="I103" i="15"/>
  <c r="I37" i="15" s="1"/>
  <c r="I106" i="15" s="1"/>
  <c r="Q103" i="15"/>
  <c r="Q37" i="15" s="1"/>
  <c r="U103" i="15"/>
  <c r="U37" i="15" s="1"/>
  <c r="Y103" i="15"/>
  <c r="Y37" i="15" s="1"/>
  <c r="AC103" i="15"/>
  <c r="AC37" i="15" s="1"/>
  <c r="AG103" i="15"/>
  <c r="AG37" i="15" s="1"/>
  <c r="AG106" i="15" s="1"/>
  <c r="AO102" i="11"/>
  <c r="I37" i="11"/>
  <c r="I106" i="11" s="1"/>
  <c r="T37" i="11"/>
  <c r="T106" i="11" s="1"/>
  <c r="Y37" i="11"/>
  <c r="Y106" i="11" s="1"/>
  <c r="AK7" i="15"/>
  <c r="AK11" i="15"/>
  <c r="AK14" i="15"/>
  <c r="AK18" i="15"/>
  <c r="AK31" i="15"/>
  <c r="R37" i="15"/>
  <c r="R106" i="15" s="1"/>
  <c r="R38" i="15" s="1"/>
  <c r="F37" i="11"/>
  <c r="F106" i="11" s="1"/>
  <c r="J37" i="11"/>
  <c r="J106" i="11" s="1"/>
  <c r="R37" i="11"/>
  <c r="R106" i="11" s="1"/>
  <c r="V37" i="11"/>
  <c r="V106" i="11" s="1"/>
  <c r="Z37" i="11"/>
  <c r="Z106" i="11" s="1"/>
  <c r="N103" i="11"/>
  <c r="N37" i="11" s="1"/>
  <c r="N106" i="11" s="1"/>
  <c r="AD103" i="11"/>
  <c r="AD37" i="11" s="1"/>
  <c r="AD106" i="11" s="1"/>
  <c r="AK32" i="13"/>
  <c r="H37" i="13"/>
  <c r="H106" i="13" s="1"/>
  <c r="P37" i="13"/>
  <c r="P106" i="13" s="1"/>
  <c r="X37" i="13"/>
  <c r="X106" i="13" s="1"/>
  <c r="AF37" i="13"/>
  <c r="AF106" i="13" s="1"/>
  <c r="J37" i="13"/>
  <c r="J106" i="13" s="1"/>
  <c r="J118" i="13" s="1"/>
  <c r="AK10" i="15"/>
  <c r="AK13" i="15"/>
  <c r="AK17" i="15"/>
  <c r="AK20" i="15"/>
  <c r="AK21" i="15"/>
  <c r="AK23" i="15"/>
  <c r="AK25" i="15"/>
  <c r="G103" i="15"/>
  <c r="G37" i="15" s="1"/>
  <c r="G106" i="15" s="1"/>
  <c r="K103" i="15"/>
  <c r="K37" i="15" s="1"/>
  <c r="K106" i="15" s="1"/>
  <c r="W103" i="15"/>
  <c r="W37" i="15" s="1"/>
  <c r="W106" i="15" s="1"/>
  <c r="AA103" i="15"/>
  <c r="AA37" i="15" s="1"/>
  <c r="AA106" i="15" s="1"/>
  <c r="AE103" i="15"/>
  <c r="AE37" i="15" s="1"/>
  <c r="AE106" i="15" s="1"/>
  <c r="AI103" i="15"/>
  <c r="AI37" i="15" s="1"/>
  <c r="AI106" i="15" s="1"/>
  <c r="AL102" i="15"/>
  <c r="N37" i="15"/>
  <c r="N106" i="15" s="1"/>
  <c r="N38" i="15" s="1"/>
  <c r="F103" i="15"/>
  <c r="F37" i="15" s="1"/>
  <c r="J103" i="15"/>
  <c r="J37" i="15" s="1"/>
  <c r="V103" i="15"/>
  <c r="V37" i="15" s="1"/>
  <c r="Z103" i="15"/>
  <c r="Z37" i="15" s="1"/>
  <c r="AD103" i="15"/>
  <c r="AD37" i="15" s="1"/>
  <c r="AH103" i="15"/>
  <c r="AH37" i="15" s="1"/>
  <c r="S37" i="15"/>
  <c r="S106" i="15" s="1"/>
  <c r="S38" i="15" s="1"/>
  <c r="AK3" i="18"/>
  <c r="AK5" i="18"/>
  <c r="AK7" i="18"/>
  <c r="AK9" i="18"/>
  <c r="AK11" i="18"/>
  <c r="AK13" i="18"/>
  <c r="AK15" i="18"/>
  <c r="AK17" i="18"/>
  <c r="AK19" i="18"/>
  <c r="AK21" i="18"/>
  <c r="AK23" i="18"/>
  <c r="AK25" i="18"/>
  <c r="AK27" i="18"/>
  <c r="AK29" i="18"/>
  <c r="AK86" i="18"/>
  <c r="AK92" i="18"/>
  <c r="H102" i="18"/>
  <c r="H35" i="18" s="1"/>
  <c r="L102" i="18"/>
  <c r="P102" i="18"/>
  <c r="P35" i="18" s="1"/>
  <c r="T102" i="18"/>
  <c r="X102" i="18"/>
  <c r="X35" i="18" s="1"/>
  <c r="AB102" i="18"/>
  <c r="AB35" i="18" s="1"/>
  <c r="AB105" i="18" s="1"/>
  <c r="AF102" i="18"/>
  <c r="AF35" i="18" s="1"/>
  <c r="C30" i="22"/>
  <c r="C26" i="22"/>
  <c r="AK12" i="21"/>
  <c r="AK29" i="21"/>
  <c r="G104" i="21"/>
  <c r="G34" i="21" s="1"/>
  <c r="G107" i="21" s="1"/>
  <c r="K104" i="21"/>
  <c r="K34" i="21" s="1"/>
  <c r="K107" i="21" s="1"/>
  <c r="O104" i="21"/>
  <c r="O34" i="21" s="1"/>
  <c r="O107" i="21" s="1"/>
  <c r="S104" i="21"/>
  <c r="S34" i="21" s="1"/>
  <c r="S107" i="21" s="1"/>
  <c r="W104" i="21"/>
  <c r="W34" i="21" s="1"/>
  <c r="W107" i="21" s="1"/>
  <c r="AA104" i="21"/>
  <c r="AA34" i="21" s="1"/>
  <c r="AA107" i="21" s="1"/>
  <c r="AE104" i="21"/>
  <c r="AE34" i="21" s="1"/>
  <c r="AE107" i="21" s="1"/>
  <c r="AI104" i="21"/>
  <c r="AI34" i="21" s="1"/>
  <c r="AI107" i="21" s="1"/>
  <c r="E102" i="18"/>
  <c r="E35" i="18" s="1"/>
  <c r="I102" i="18"/>
  <c r="I35" i="18" s="1"/>
  <c r="I105" i="18" s="1"/>
  <c r="M102" i="18"/>
  <c r="M35" i="18" s="1"/>
  <c r="M105" i="18" s="1"/>
  <c r="Q102" i="18"/>
  <c r="Q35" i="18" s="1"/>
  <c r="Q105" i="18" s="1"/>
  <c r="U102" i="18"/>
  <c r="U35" i="18" s="1"/>
  <c r="U105" i="18" s="1"/>
  <c r="Y102" i="18"/>
  <c r="Y35" i="18" s="1"/>
  <c r="Y105" i="18" s="1"/>
  <c r="AC102" i="18"/>
  <c r="AC35" i="18" s="1"/>
  <c r="AC105" i="18" s="1"/>
  <c r="AG102" i="18"/>
  <c r="C25" i="22"/>
  <c r="C17" i="22"/>
  <c r="AK20" i="21"/>
  <c r="AK28" i="21"/>
  <c r="AK2" i="18"/>
  <c r="AK4" i="18"/>
  <c r="AK6" i="18"/>
  <c r="AK8" i="18"/>
  <c r="AK10" i="18"/>
  <c r="AK12" i="18"/>
  <c r="AK14" i="18"/>
  <c r="AK16" i="18"/>
  <c r="AK18" i="18"/>
  <c r="AK20" i="18"/>
  <c r="AK22" i="18"/>
  <c r="AK24" i="18"/>
  <c r="AK26" i="18"/>
  <c r="AK28" i="18"/>
  <c r="L35" i="18"/>
  <c r="L105" i="18" s="1"/>
  <c r="T35" i="18"/>
  <c r="T105" i="18" s="1"/>
  <c r="F102" i="18"/>
  <c r="F35" i="18" s="1"/>
  <c r="J102" i="18"/>
  <c r="J35" i="18" s="1"/>
  <c r="N102" i="18"/>
  <c r="N35" i="18" s="1"/>
  <c r="R102" i="18"/>
  <c r="R35" i="18" s="1"/>
  <c r="V102" i="18"/>
  <c r="V35" i="18" s="1"/>
  <c r="Z102" i="18"/>
  <c r="Z35" i="18" s="1"/>
  <c r="AD102" i="18"/>
  <c r="AD35" i="18" s="1"/>
  <c r="AH102" i="18"/>
  <c r="AH35" i="18" s="1"/>
  <c r="AK94" i="21"/>
  <c r="AK88" i="21"/>
  <c r="AK13" i="21"/>
  <c r="AK15" i="21"/>
  <c r="AK18" i="21"/>
  <c r="AK22" i="21"/>
  <c r="AK25" i="21"/>
  <c r="AK26" i="21"/>
  <c r="AK32" i="18"/>
  <c r="AG35" i="18"/>
  <c r="AG105" i="18" s="1"/>
  <c r="G102" i="18"/>
  <c r="G35" i="18" s="1"/>
  <c r="K102" i="18"/>
  <c r="K35" i="18" s="1"/>
  <c r="O102" i="18"/>
  <c r="O35" i="18" s="1"/>
  <c r="S102" i="18"/>
  <c r="S35" i="18" s="1"/>
  <c r="W102" i="18"/>
  <c r="W35" i="18" s="1"/>
  <c r="AA102" i="18"/>
  <c r="AA35" i="18" s="1"/>
  <c r="AE102" i="18"/>
  <c r="AE35" i="18" s="1"/>
  <c r="AI102" i="18"/>
  <c r="AI35" i="18" s="1"/>
  <c r="C15" i="22"/>
  <c r="C7" i="22"/>
  <c r="AK11" i="21"/>
  <c r="AK16" i="21"/>
  <c r="AK17" i="21"/>
  <c r="AK23" i="21"/>
  <c r="AK24" i="21"/>
  <c r="E104" i="21"/>
  <c r="E34" i="21" s="1"/>
  <c r="E107" i="21" s="1"/>
  <c r="I104" i="21"/>
  <c r="I34" i="21" s="1"/>
  <c r="I107" i="21" s="1"/>
  <c r="M104" i="21"/>
  <c r="M34" i="21" s="1"/>
  <c r="M107" i="21" s="1"/>
  <c r="Q104" i="21"/>
  <c r="Q34" i="21" s="1"/>
  <c r="Q107" i="21" s="1"/>
  <c r="U104" i="21"/>
  <c r="U34" i="21" s="1"/>
  <c r="U107" i="21" s="1"/>
  <c r="Y104" i="21"/>
  <c r="Y34" i="21" s="1"/>
  <c r="Y107" i="21" s="1"/>
  <c r="AC104" i="21"/>
  <c r="AC34" i="21" s="1"/>
  <c r="AC107" i="21" s="1"/>
  <c r="AG104" i="21"/>
  <c r="AG34" i="21" s="1"/>
  <c r="AG107" i="21" s="1"/>
  <c r="C16" i="22"/>
  <c r="C20" i="22"/>
  <c r="C28" i="22"/>
  <c r="C19" i="25"/>
  <c r="C10" i="25"/>
  <c r="C30" i="25"/>
  <c r="C33" i="25"/>
  <c r="C18" i="25"/>
  <c r="C21" i="25"/>
  <c r="C15" i="25"/>
  <c r="C22" i="25"/>
  <c r="C29" i="25"/>
  <c r="C17" i="25"/>
  <c r="C13" i="25"/>
  <c r="G34" i="24"/>
  <c r="G105" i="24" s="1"/>
  <c r="K34" i="24"/>
  <c r="K105" i="24" s="1"/>
  <c r="O34" i="24"/>
  <c r="O105" i="24" s="1"/>
  <c r="S34" i="24"/>
  <c r="S105" i="24" s="1"/>
  <c r="W34" i="24"/>
  <c r="W105" i="24" s="1"/>
  <c r="AA34" i="24"/>
  <c r="AA105" i="24" s="1"/>
  <c r="AE34" i="24"/>
  <c r="AE105" i="24" s="1"/>
  <c r="AI34" i="24"/>
  <c r="AI105" i="24" s="1"/>
  <c r="F102" i="24"/>
  <c r="F34" i="24" s="1"/>
  <c r="F105" i="24" s="1"/>
  <c r="Q102" i="24"/>
  <c r="Q34" i="24" s="1"/>
  <c r="Q105" i="24" s="1"/>
  <c r="V102" i="24"/>
  <c r="V34" i="24" s="1"/>
  <c r="V105" i="24" s="1"/>
  <c r="AG102" i="24"/>
  <c r="AG34" i="24" s="1"/>
  <c r="AG105" i="24" s="1"/>
  <c r="C8" i="25"/>
  <c r="C24" i="25"/>
  <c r="F102" i="26"/>
  <c r="F34" i="26" s="1"/>
  <c r="J102" i="26"/>
  <c r="J34" i="26" s="1"/>
  <c r="N102" i="26"/>
  <c r="N34" i="26" s="1"/>
  <c r="R102" i="26"/>
  <c r="R34" i="26" s="1"/>
  <c r="V102" i="26"/>
  <c r="V34" i="26" s="1"/>
  <c r="Z102" i="26"/>
  <c r="Z34" i="26" s="1"/>
  <c r="AD102" i="26"/>
  <c r="AD34" i="26" s="1"/>
  <c r="AD105" i="26" s="1"/>
  <c r="AH102" i="26"/>
  <c r="AH34" i="26" s="1"/>
  <c r="AI103" i="26"/>
  <c r="H34" i="21"/>
  <c r="H107" i="21" s="1"/>
  <c r="L34" i="21"/>
  <c r="L107" i="21" s="1"/>
  <c r="P34" i="21"/>
  <c r="P107" i="21" s="1"/>
  <c r="T34" i="21"/>
  <c r="T107" i="21" s="1"/>
  <c r="X34" i="21"/>
  <c r="X107" i="21" s="1"/>
  <c r="AB34" i="21"/>
  <c r="AB107" i="21" s="1"/>
  <c r="AF34" i="21"/>
  <c r="AF107" i="21" s="1"/>
  <c r="C5" i="22"/>
  <c r="C13" i="22"/>
  <c r="C33" i="22"/>
  <c r="C31" i="25"/>
  <c r="C11" i="25"/>
  <c r="C26" i="25"/>
  <c r="H34" i="24"/>
  <c r="H105" i="24" s="1"/>
  <c r="L34" i="24"/>
  <c r="L105" i="24" s="1"/>
  <c r="P34" i="24"/>
  <c r="P105" i="24" s="1"/>
  <c r="T34" i="24"/>
  <c r="T105" i="24" s="1"/>
  <c r="X34" i="24"/>
  <c r="X105" i="24" s="1"/>
  <c r="AB34" i="24"/>
  <c r="AB105" i="24" s="1"/>
  <c r="AF34" i="24"/>
  <c r="AF105" i="24" s="1"/>
  <c r="AK100" i="24"/>
  <c r="M102" i="24"/>
  <c r="M34" i="24" s="1"/>
  <c r="M105" i="24" s="1"/>
  <c r="R102" i="24"/>
  <c r="R34" i="24" s="1"/>
  <c r="R105" i="24" s="1"/>
  <c r="AC102" i="24"/>
  <c r="AC34" i="24" s="1"/>
  <c r="AC105" i="24" s="1"/>
  <c r="AH102" i="24"/>
  <c r="AH34" i="24" s="1"/>
  <c r="AH105" i="24" s="1"/>
  <c r="C28" i="25"/>
  <c r="AJ34" i="26"/>
  <c r="C29" i="27"/>
  <c r="AK9" i="26"/>
  <c r="AK13" i="26"/>
  <c r="AK29" i="26"/>
  <c r="AK52" i="26"/>
  <c r="C6" i="22"/>
  <c r="C18" i="22"/>
  <c r="E34" i="24"/>
  <c r="E105" i="24" s="1"/>
  <c r="I34" i="24"/>
  <c r="I105" i="24" s="1"/>
  <c r="U34" i="24"/>
  <c r="U105" i="24" s="1"/>
  <c r="Y34" i="24"/>
  <c r="Y105" i="24" s="1"/>
  <c r="N102" i="24"/>
  <c r="N34" i="24" s="1"/>
  <c r="N105" i="24" s="1"/>
  <c r="AD102" i="24"/>
  <c r="AD34" i="24" s="1"/>
  <c r="AD105" i="24" s="1"/>
  <c r="C16" i="25"/>
  <c r="C32" i="25"/>
  <c r="AK6" i="26"/>
  <c r="AK17" i="26"/>
  <c r="AK56" i="26"/>
  <c r="J34" i="24"/>
  <c r="J105" i="24" s="1"/>
  <c r="Z34" i="24"/>
  <c r="Z105" i="24" s="1"/>
  <c r="C20" i="25"/>
  <c r="AK10" i="26"/>
  <c r="AK21" i="26"/>
  <c r="AA102" i="26"/>
  <c r="AA34" i="26" s="1"/>
  <c r="AE102" i="26"/>
  <c r="AE34" i="26" s="1"/>
  <c r="AE105" i="26" s="1"/>
  <c r="X102" i="26"/>
  <c r="X34" i="26" s="1"/>
  <c r="X105" i="26" s="1"/>
  <c r="C13" i="27"/>
  <c r="C17" i="27"/>
  <c r="C31" i="27"/>
  <c r="C5" i="30"/>
  <c r="K34" i="26"/>
  <c r="K105" i="26" s="1"/>
  <c r="S34" i="26"/>
  <c r="S105" i="26" s="1"/>
  <c r="AI34" i="26"/>
  <c r="AI105" i="26" s="1"/>
  <c r="E102" i="26"/>
  <c r="E34" i="26" s="1"/>
  <c r="E105" i="26" s="1"/>
  <c r="I102" i="26"/>
  <c r="I34" i="26" s="1"/>
  <c r="I105" i="26" s="1"/>
  <c r="M102" i="26"/>
  <c r="M34" i="26" s="1"/>
  <c r="M105" i="26" s="1"/>
  <c r="Q102" i="26"/>
  <c r="Q34" i="26" s="1"/>
  <c r="Q105" i="26" s="1"/>
  <c r="U102" i="26"/>
  <c r="U34" i="26" s="1"/>
  <c r="U105" i="26" s="1"/>
  <c r="Y102" i="26"/>
  <c r="Y34" i="26" s="1"/>
  <c r="Y105" i="26" s="1"/>
  <c r="C12" i="27"/>
  <c r="C16" i="27"/>
  <c r="C22" i="27"/>
  <c r="C27" i="27"/>
  <c r="C21" i="27"/>
  <c r="C10" i="27"/>
  <c r="C27" i="28"/>
  <c r="H34" i="26"/>
  <c r="H105" i="26" s="1"/>
  <c r="L34" i="26"/>
  <c r="L105" i="26" s="1"/>
  <c r="P34" i="26"/>
  <c r="P105" i="26" s="1"/>
  <c r="T34" i="26"/>
  <c r="T105" i="26" s="1"/>
  <c r="AB34" i="26"/>
  <c r="AB105" i="26" s="1"/>
  <c r="AF102" i="26"/>
  <c r="AF34" i="26" s="1"/>
  <c r="AF105" i="26" s="1"/>
  <c r="C5" i="27"/>
  <c r="C8" i="27"/>
  <c r="C24" i="27"/>
  <c r="C30" i="27"/>
  <c r="G102" i="26"/>
  <c r="G34" i="26" s="1"/>
  <c r="O102" i="26"/>
  <c r="O34" i="26" s="1"/>
  <c r="O105" i="26" s="1"/>
  <c r="W102" i="26"/>
  <c r="W34" i="26" s="1"/>
  <c r="AG102" i="26"/>
  <c r="AG34" i="26" s="1"/>
  <c r="AG105" i="26" s="1"/>
  <c r="C7" i="27"/>
  <c r="D27" i="28"/>
  <c r="AK2" i="29"/>
  <c r="C2" i="4" s="1"/>
  <c r="D2" i="32" s="1"/>
  <c r="D2" i="4" s="1"/>
  <c r="AK3" i="29"/>
  <c r="C3" i="4" s="1"/>
  <c r="D3" i="32" s="1"/>
  <c r="D3" i="4" s="1"/>
  <c r="AK16" i="29"/>
  <c r="AK17" i="29"/>
  <c r="C17" i="4" s="1"/>
  <c r="D17" i="32" s="1"/>
  <c r="C29" i="30"/>
  <c r="C21" i="30"/>
  <c r="C32" i="30"/>
  <c r="C26" i="30"/>
  <c r="C15" i="30"/>
  <c r="C18" i="30"/>
  <c r="C12" i="30"/>
  <c r="C25" i="30"/>
  <c r="C31" i="30"/>
  <c r="C20" i="30"/>
  <c r="C17" i="30"/>
  <c r="C13" i="30"/>
  <c r="C28" i="30"/>
  <c r="C16" i="30"/>
  <c r="C24" i="30"/>
  <c r="C19" i="30"/>
  <c r="C8" i="30"/>
  <c r="C33" i="30"/>
  <c r="C6" i="30"/>
  <c r="C30" i="30"/>
  <c r="C27" i="30"/>
  <c r="C7" i="30"/>
  <c r="C10" i="30"/>
  <c r="C4" i="30"/>
  <c r="C14" i="30"/>
  <c r="C23" i="30"/>
  <c r="D5" i="34"/>
  <c r="D9" i="34"/>
  <c r="D13" i="34"/>
  <c r="D17" i="34"/>
  <c r="D21" i="34"/>
  <c r="D25" i="34"/>
  <c r="D29" i="34"/>
  <c r="C4" i="34"/>
  <c r="C8" i="34"/>
  <c r="C12" i="34"/>
  <c r="C20" i="34"/>
  <c r="C28" i="34"/>
  <c r="C32" i="34"/>
  <c r="D6" i="34"/>
  <c r="D10" i="34"/>
  <c r="D14" i="34"/>
  <c r="C18" i="34"/>
  <c r="D26" i="34"/>
  <c r="D30" i="34"/>
  <c r="D4" i="34"/>
  <c r="D8" i="34"/>
  <c r="D12" i="34"/>
  <c r="D16" i="34"/>
  <c r="D20" i="34"/>
  <c r="D24" i="34"/>
  <c r="D28" i="34"/>
  <c r="D32" i="34"/>
  <c r="D3" i="34"/>
  <c r="D7" i="34"/>
  <c r="C11" i="34"/>
  <c r="D15" i="34"/>
  <c r="D19" i="34"/>
  <c r="D27" i="34"/>
  <c r="D31" i="34"/>
  <c r="C33" i="34"/>
  <c r="D11" i="34" l="1"/>
  <c r="AK9" i="32"/>
  <c r="E9" i="4" s="1"/>
  <c r="AK29" i="32"/>
  <c r="AL29" i="29" s="1"/>
  <c r="AK25" i="32"/>
  <c r="AL25" i="29" s="1"/>
  <c r="AL9" i="5"/>
  <c r="C15" i="28"/>
  <c r="AI75" i="7"/>
  <c r="AI60" i="7"/>
  <c r="AK11" i="32"/>
  <c r="AL11" i="29" s="1"/>
  <c r="AK13" i="32"/>
  <c r="AL13" i="29" s="1"/>
  <c r="AI17" i="7"/>
  <c r="AK3" i="32"/>
  <c r="AL3" i="29" s="1"/>
  <c r="AL29" i="5"/>
  <c r="AL14" i="5"/>
  <c r="AL12" i="5"/>
  <c r="AK26" i="32"/>
  <c r="AL26" i="29" s="1"/>
  <c r="AK2" i="32"/>
  <c r="E2" i="4" s="1"/>
  <c r="AK5" i="32"/>
  <c r="AL5" i="29" s="1"/>
  <c r="AK10" i="32"/>
  <c r="AL10" i="29" s="1"/>
  <c r="AK14" i="32"/>
  <c r="AL14" i="29" s="1"/>
  <c r="AK19" i="32"/>
  <c r="AL19" i="29" s="1"/>
  <c r="AK20" i="32"/>
  <c r="E20" i="4" s="1"/>
  <c r="AK28" i="32"/>
  <c r="E28" i="4" s="1"/>
  <c r="AK12" i="32"/>
  <c r="E12" i="4" s="1"/>
  <c r="AI13" i="7"/>
  <c r="AK23" i="32"/>
  <c r="D23" i="4"/>
  <c r="AI4" i="7"/>
  <c r="AK4" i="32"/>
  <c r="D4" i="4"/>
  <c r="AK18" i="32"/>
  <c r="D18" i="4"/>
  <c r="AK22" i="32"/>
  <c r="D22" i="4"/>
  <c r="AK27" i="32"/>
  <c r="D27" i="4"/>
  <c r="AL8" i="5"/>
  <c r="AI24" i="7"/>
  <c r="AI21" i="7"/>
  <c r="AK7" i="32"/>
  <c r="D7" i="4"/>
  <c r="AK15" i="32"/>
  <c r="D15" i="4"/>
  <c r="AK6" i="32"/>
  <c r="AK24" i="32"/>
  <c r="D24" i="4"/>
  <c r="AK8" i="32"/>
  <c r="D8" i="4"/>
  <c r="AK21" i="32"/>
  <c r="D21" i="4"/>
  <c r="AK17" i="32"/>
  <c r="D17" i="4"/>
  <c r="AI32" i="7"/>
  <c r="AI30" i="7"/>
  <c r="C16" i="4"/>
  <c r="D16" i="32" s="1"/>
  <c r="AL25" i="5"/>
  <c r="AI22" i="7"/>
  <c r="AI81" i="7"/>
  <c r="AL89" i="5"/>
  <c r="AL92" i="5"/>
  <c r="AL90" i="5"/>
  <c r="AL80" i="5"/>
  <c r="AL67" i="5"/>
  <c r="AI79" i="7"/>
  <c r="AL74" i="5"/>
  <c r="AI73" i="7"/>
  <c r="AI91" i="7"/>
  <c r="AL84" i="5"/>
  <c r="AL71" i="5"/>
  <c r="AK102" i="15"/>
  <c r="E105" i="18"/>
  <c r="C3" i="20"/>
  <c r="AL16" i="5"/>
  <c r="AI20" i="7"/>
  <c r="AI67" i="7"/>
  <c r="AI61" i="7"/>
  <c r="AL60" i="5"/>
  <c r="AI59" i="7"/>
  <c r="AL52" i="5"/>
  <c r="AI28" i="7"/>
  <c r="C18" i="28"/>
  <c r="AL79" i="5"/>
  <c r="AI26" i="7"/>
  <c r="AL23" i="5"/>
  <c r="AL11" i="5"/>
  <c r="AL7" i="5"/>
  <c r="AL3" i="5"/>
  <c r="AL75" i="5"/>
  <c r="AI62" i="7"/>
  <c r="AI19" i="7"/>
  <c r="AI57" i="7"/>
  <c r="AL10" i="5"/>
  <c r="AL6" i="5"/>
  <c r="AL2" i="5"/>
  <c r="AI56" i="7"/>
  <c r="AI27" i="7"/>
  <c r="C31" i="28"/>
  <c r="C7" i="28"/>
  <c r="C10" i="23"/>
  <c r="AK102" i="11"/>
  <c r="AH102" i="11" s="1"/>
  <c r="AH35" i="11" s="1"/>
  <c r="AH104" i="11" s="1"/>
  <c r="D26" i="28"/>
  <c r="C17" i="28"/>
  <c r="D31" i="11"/>
  <c r="AK31" i="11" s="1"/>
  <c r="AK33" i="11" s="1"/>
  <c r="AH33" i="11" s="1"/>
  <c r="C26" i="28"/>
  <c r="D17" i="28"/>
  <c r="N105" i="26"/>
  <c r="D12" i="28"/>
  <c r="F105" i="26"/>
  <c r="D4" i="28"/>
  <c r="D9" i="28"/>
  <c r="D6" i="28"/>
  <c r="D18" i="28"/>
  <c r="C28" i="28"/>
  <c r="C33" i="28"/>
  <c r="AK33" i="15"/>
  <c r="D15" i="28"/>
  <c r="D28" i="28"/>
  <c r="D33" i="17"/>
  <c r="D31" i="9"/>
  <c r="AK31" i="9" s="1"/>
  <c r="AL31" i="5" s="1"/>
  <c r="AK102" i="9"/>
  <c r="C21" i="34"/>
  <c r="C27" i="34"/>
  <c r="C9" i="34"/>
  <c r="C7" i="34"/>
  <c r="C5" i="34"/>
  <c r="C3" i="34"/>
  <c r="C23" i="34"/>
  <c r="C13" i="34"/>
  <c r="C29" i="34"/>
  <c r="C10" i="34"/>
  <c r="G105" i="26"/>
  <c r="C5" i="28"/>
  <c r="D5" i="28"/>
  <c r="V105" i="26"/>
  <c r="D20" i="28"/>
  <c r="C20" i="28"/>
  <c r="AE105" i="18"/>
  <c r="O105" i="18"/>
  <c r="C13" i="23"/>
  <c r="C13" i="20"/>
  <c r="V105" i="18"/>
  <c r="C20" i="23"/>
  <c r="C20" i="20"/>
  <c r="F105" i="18"/>
  <c r="X105" i="18"/>
  <c r="H105" i="18"/>
  <c r="AH106" i="15"/>
  <c r="D32" i="17"/>
  <c r="C32" i="17"/>
  <c r="J106" i="15"/>
  <c r="D8" i="17"/>
  <c r="Q106" i="15"/>
  <c r="R105" i="26"/>
  <c r="D16" i="28"/>
  <c r="J105" i="26"/>
  <c r="D8" i="28"/>
  <c r="C8" i="28"/>
  <c r="AA105" i="18"/>
  <c r="C25" i="20"/>
  <c r="C25" i="23"/>
  <c r="K105" i="18"/>
  <c r="AH105" i="18"/>
  <c r="R105" i="18"/>
  <c r="C16" i="20"/>
  <c r="C16" i="23"/>
  <c r="AD106" i="15"/>
  <c r="F106" i="15"/>
  <c r="AC106" i="15"/>
  <c r="W105" i="26"/>
  <c r="D21" i="28"/>
  <c r="C21" i="28"/>
  <c r="AH105" i="26"/>
  <c r="C32" i="28"/>
  <c r="D32" i="28"/>
  <c r="W105" i="18"/>
  <c r="G105" i="18"/>
  <c r="AD105" i="18"/>
  <c r="C28" i="23"/>
  <c r="C28" i="20"/>
  <c r="N105" i="18"/>
  <c r="AF105" i="18"/>
  <c r="P105" i="18"/>
  <c r="C14" i="20"/>
  <c r="C14" i="23"/>
  <c r="Z106" i="15"/>
  <c r="Y106" i="15"/>
  <c r="AA105" i="26"/>
  <c r="C25" i="28"/>
  <c r="D25" i="28"/>
  <c r="Z105" i="26"/>
  <c r="D24" i="28"/>
  <c r="C24" i="28"/>
  <c r="AI105" i="18"/>
  <c r="S105" i="18"/>
  <c r="Z105" i="18"/>
  <c r="J105" i="18"/>
  <c r="V106" i="15"/>
  <c r="U106" i="15"/>
  <c r="C30" i="34"/>
  <c r="C14" i="34"/>
  <c r="C6" i="34"/>
  <c r="D14" i="28"/>
  <c r="C10" i="28"/>
  <c r="C11" i="28"/>
  <c r="C29" i="28"/>
  <c r="D23" i="28"/>
  <c r="D7" i="28"/>
  <c r="D30" i="28"/>
  <c r="C13" i="28"/>
  <c r="C3" i="23"/>
  <c r="C15" i="34"/>
  <c r="D18" i="34"/>
  <c r="D10" i="28"/>
  <c r="D31" i="28"/>
  <c r="C9" i="28"/>
  <c r="D22" i="28"/>
  <c r="C6" i="28"/>
  <c r="D19" i="28"/>
  <c r="D29" i="28"/>
  <c r="C19" i="28"/>
  <c r="D3" i="28"/>
  <c r="C22" i="28"/>
  <c r="C12" i="28"/>
  <c r="C4" i="28"/>
  <c r="C10" i="20"/>
  <c r="D33" i="23"/>
  <c r="D57" i="13"/>
  <c r="AK57" i="13" s="1"/>
  <c r="AK102" i="13" s="1"/>
  <c r="AL31" i="15"/>
  <c r="AL33" i="15" s="1"/>
  <c r="D31" i="5"/>
  <c r="D31" i="7" s="1"/>
  <c r="AM31" i="7" s="1"/>
  <c r="AH31" i="7" s="1"/>
  <c r="C26" i="34"/>
  <c r="C3" i="28"/>
  <c r="D33" i="28"/>
  <c r="AK31" i="18"/>
  <c r="C31" i="23"/>
  <c r="D33" i="20"/>
  <c r="C14" i="28"/>
  <c r="D13" i="28"/>
  <c r="D11" i="28"/>
  <c r="C31" i="20"/>
  <c r="C33" i="17"/>
  <c r="C7" i="17"/>
  <c r="D31" i="13"/>
  <c r="AK31" i="13" s="1"/>
  <c r="AK33" i="13" s="1"/>
  <c r="AL18" i="5"/>
  <c r="AI18" i="7"/>
  <c r="AJ77" i="24"/>
  <c r="AJ51" i="5"/>
  <c r="AJ86" i="24"/>
  <c r="AJ22" i="5"/>
  <c r="AJ82" i="21"/>
  <c r="AJ100" i="21"/>
  <c r="AJ74" i="21"/>
  <c r="AJ78" i="21"/>
  <c r="AJ16" i="15"/>
  <c r="AJ70" i="18"/>
  <c r="AJ99" i="9"/>
  <c r="AJ89" i="18"/>
  <c r="AJ27" i="11"/>
  <c r="AJ71" i="15"/>
  <c r="AJ3" i="11"/>
  <c r="AJ97" i="13"/>
  <c r="AJ4" i="5"/>
  <c r="AJ98" i="11"/>
  <c r="AG98" i="7"/>
  <c r="AG77" i="7"/>
  <c r="AJ92" i="5"/>
  <c r="AJ80" i="5"/>
  <c r="AJ53" i="11"/>
  <c r="AJ101" i="9"/>
  <c r="AG80" i="7"/>
  <c r="AJ10" i="11"/>
  <c r="AJ54" i="13"/>
  <c r="AJ64" i="15"/>
  <c r="AJ4" i="9"/>
  <c r="AJ90" i="5"/>
  <c r="AJ19" i="5"/>
  <c r="AJ11" i="15"/>
  <c r="AJ9" i="13"/>
  <c r="AJ54" i="5"/>
  <c r="AJ74" i="13"/>
  <c r="AJ55" i="24"/>
  <c r="AJ16" i="11"/>
  <c r="AJ75" i="24"/>
  <c r="AJ8" i="11"/>
  <c r="AJ101" i="21"/>
  <c r="AJ74" i="18"/>
  <c r="AJ96" i="18"/>
  <c r="AJ93" i="18"/>
  <c r="AJ21" i="18"/>
  <c r="AJ97" i="15"/>
  <c r="AJ13" i="18"/>
  <c r="AJ75" i="15"/>
  <c r="AJ91" i="18"/>
  <c r="AJ18" i="15"/>
  <c r="AJ18" i="18"/>
  <c r="AJ32" i="11"/>
  <c r="AJ51" i="24"/>
  <c r="AJ68" i="18"/>
  <c r="AJ84" i="9"/>
  <c r="AJ59" i="18"/>
  <c r="AJ88" i="11"/>
  <c r="AJ68" i="21"/>
  <c r="AJ80" i="24"/>
  <c r="AJ61" i="24"/>
  <c r="AJ14" i="18"/>
  <c r="AJ19" i="9"/>
  <c r="AJ83" i="9"/>
  <c r="AJ91" i="15"/>
  <c r="AJ85" i="21"/>
  <c r="AG86" i="7"/>
  <c r="AJ81" i="11"/>
  <c r="AG66" i="7"/>
  <c r="AJ75" i="21"/>
  <c r="AG24" i="7"/>
  <c r="AJ62" i="18"/>
  <c r="AG20" i="7"/>
  <c r="AJ58" i="18"/>
  <c r="AJ31" i="9"/>
  <c r="AJ92" i="13"/>
  <c r="AG65" i="7"/>
  <c r="AJ76" i="11"/>
  <c r="AJ84" i="5"/>
  <c r="AJ61" i="11"/>
  <c r="AJ76" i="5"/>
  <c r="AJ3" i="15"/>
  <c r="AJ25" i="5"/>
  <c r="AJ97" i="9"/>
  <c r="AJ47" i="5"/>
  <c r="AJ18" i="5"/>
  <c r="AJ81" i="24"/>
  <c r="AJ3" i="9"/>
  <c r="AG60" i="7"/>
  <c r="AJ56" i="9"/>
  <c r="AJ80" i="11"/>
  <c r="AJ71" i="11"/>
  <c r="AJ20" i="15"/>
  <c r="AJ65" i="18"/>
  <c r="AJ57" i="24"/>
  <c r="AJ96" i="11"/>
  <c r="AJ73" i="13"/>
  <c r="AJ87" i="15"/>
  <c r="AJ94" i="9"/>
  <c r="AJ79" i="15"/>
  <c r="AJ57" i="11"/>
  <c r="AJ75" i="13"/>
  <c r="AJ61" i="5"/>
  <c r="AJ60" i="13"/>
  <c r="AJ8" i="5"/>
  <c r="AJ32" i="9"/>
  <c r="AJ12" i="13"/>
  <c r="AG4" i="7"/>
  <c r="AJ12" i="5"/>
  <c r="AJ9" i="9"/>
  <c r="AJ92" i="24"/>
  <c r="AJ55" i="5"/>
  <c r="AJ98" i="21"/>
  <c r="AJ62" i="21"/>
  <c r="AJ83" i="24"/>
  <c r="AJ28" i="13"/>
  <c r="AJ26" i="9"/>
  <c r="AG93" i="7"/>
  <c r="AJ85" i="15"/>
  <c r="AJ61" i="9"/>
  <c r="AJ59" i="5"/>
  <c r="AJ76" i="24"/>
  <c r="AJ54" i="18"/>
  <c r="AJ83" i="11"/>
  <c r="AJ70" i="9"/>
  <c r="AJ29" i="9"/>
  <c r="AJ100" i="15"/>
  <c r="AJ95" i="18"/>
  <c r="AJ24" i="13"/>
  <c r="AJ70" i="11"/>
  <c r="AG85" i="7"/>
  <c r="AJ54" i="15"/>
  <c r="AG19" i="7"/>
  <c r="AJ27" i="13"/>
  <c r="AJ60" i="9"/>
  <c r="AJ10" i="13"/>
  <c r="AJ100" i="24"/>
  <c r="AJ26" i="5"/>
  <c r="AJ90" i="21"/>
  <c r="AJ82" i="24"/>
  <c r="AJ67" i="24"/>
  <c r="AJ60" i="24"/>
  <c r="AJ49" i="24"/>
  <c r="AJ61" i="21"/>
  <c r="AJ69" i="21"/>
  <c r="AJ55" i="18"/>
  <c r="AJ29" i="18"/>
  <c r="AJ7" i="9"/>
  <c r="AJ89" i="21"/>
  <c r="AJ81" i="15"/>
  <c r="AJ5" i="13"/>
  <c r="AJ24" i="9"/>
  <c r="AJ72" i="21"/>
  <c r="AJ4" i="13"/>
  <c r="AJ26" i="11"/>
  <c r="AJ19" i="15"/>
  <c r="AJ42" i="5"/>
  <c r="AJ93" i="13"/>
  <c r="AJ54" i="9"/>
  <c r="AG103" i="7"/>
  <c r="AJ92" i="11"/>
  <c r="AJ73" i="21"/>
  <c r="AJ7" i="13"/>
  <c r="AJ19" i="18"/>
  <c r="AJ18" i="13"/>
  <c r="AJ99" i="15"/>
  <c r="AJ9" i="15"/>
  <c r="AJ73" i="15"/>
  <c r="AJ8" i="15"/>
  <c r="AJ73" i="24"/>
  <c r="AJ52" i="11"/>
  <c r="AJ76" i="21"/>
  <c r="AJ89" i="13"/>
  <c r="AJ79" i="21"/>
  <c r="AJ58" i="13"/>
  <c r="AJ92" i="18"/>
  <c r="AJ93" i="11"/>
  <c r="AJ90" i="15"/>
  <c r="AJ92" i="9"/>
  <c r="AJ78" i="24"/>
  <c r="AJ70" i="13"/>
  <c r="AJ20" i="13"/>
  <c r="AG22" i="7"/>
  <c r="AJ87" i="5"/>
  <c r="AG6" i="7"/>
  <c r="AJ51" i="21"/>
  <c r="AJ86" i="18"/>
  <c r="AJ76" i="18"/>
  <c r="AJ23" i="18"/>
  <c r="AJ53" i="15"/>
  <c r="AJ59" i="15"/>
  <c r="AJ89" i="15"/>
  <c r="AJ5" i="18"/>
  <c r="AJ21" i="15"/>
  <c r="AJ95" i="15"/>
  <c r="AJ51" i="15"/>
  <c r="AJ75" i="18"/>
  <c r="AJ77" i="11"/>
  <c r="AJ67" i="18"/>
  <c r="AJ21" i="11"/>
  <c r="AG70" i="7"/>
  <c r="AJ84" i="24"/>
  <c r="AG29" i="7"/>
  <c r="AJ22" i="18"/>
  <c r="AJ85" i="5"/>
  <c r="AJ96" i="13"/>
  <c r="AJ81" i="5"/>
  <c r="AJ7" i="15"/>
  <c r="AG8" i="7"/>
  <c r="AJ65" i="5"/>
  <c r="AJ21" i="9"/>
  <c r="AJ88" i="21"/>
  <c r="AJ17" i="18"/>
  <c r="AJ74" i="11"/>
  <c r="AJ78" i="11"/>
  <c r="AJ23" i="5"/>
  <c r="AJ14" i="15"/>
  <c r="AJ88" i="5"/>
  <c r="AG7" i="7"/>
  <c r="AJ28" i="18"/>
  <c r="AG100" i="7"/>
  <c r="AG72" i="7"/>
  <c r="AJ91" i="9"/>
  <c r="AG15" i="7"/>
  <c r="AJ22" i="9"/>
  <c r="AJ55" i="13"/>
  <c r="AJ14" i="5"/>
  <c r="AJ101" i="11"/>
  <c r="AJ55" i="9"/>
  <c r="AJ67" i="11"/>
  <c r="AJ23" i="9"/>
  <c r="AJ93" i="15"/>
  <c r="AJ30" i="13"/>
  <c r="AJ88" i="13"/>
  <c r="AJ66" i="5"/>
  <c r="AJ95" i="11"/>
  <c r="AG101" i="7"/>
  <c r="AJ82" i="11"/>
  <c r="AG89" i="7"/>
  <c r="AJ83" i="13"/>
  <c r="AJ72" i="5"/>
  <c r="AJ101" i="13"/>
  <c r="AJ3" i="5"/>
  <c r="AJ77" i="15"/>
  <c r="AJ99" i="18"/>
  <c r="AJ24" i="11"/>
  <c r="AJ67" i="9"/>
  <c r="AJ77" i="18"/>
  <c r="AJ6" i="18"/>
  <c r="AJ62" i="11"/>
  <c r="AJ4" i="11"/>
  <c r="AJ18" i="9"/>
  <c r="AJ94" i="13"/>
  <c r="AJ64" i="21"/>
  <c r="AJ63" i="24"/>
  <c r="AJ92" i="21"/>
  <c r="AJ84" i="18"/>
  <c r="AJ63" i="21"/>
  <c r="AJ81" i="18"/>
  <c r="AJ53" i="21"/>
  <c r="AJ67" i="15"/>
  <c r="AG28" i="7"/>
  <c r="AJ64" i="13"/>
  <c r="AJ75" i="9"/>
  <c r="AJ77" i="13"/>
  <c r="AJ53" i="9"/>
  <c r="AJ52" i="13"/>
  <c r="AJ17" i="9"/>
  <c r="AJ72" i="11"/>
  <c r="AJ86" i="21"/>
  <c r="AJ12" i="15"/>
  <c r="AJ22" i="13"/>
  <c r="AJ32" i="15"/>
  <c r="AJ27" i="15"/>
  <c r="AJ63" i="11"/>
  <c r="AJ98" i="15"/>
  <c r="AJ45" i="5"/>
  <c r="AJ83" i="15"/>
  <c r="AJ68" i="5"/>
  <c r="AJ64" i="5"/>
  <c r="AJ71" i="9"/>
  <c r="AG2" i="7"/>
  <c r="AJ49" i="5"/>
  <c r="AJ5" i="15"/>
  <c r="AJ10" i="5"/>
  <c r="AJ95" i="9"/>
  <c r="AJ80" i="13"/>
  <c r="AJ62" i="5"/>
  <c r="AJ79" i="13"/>
  <c r="AJ51" i="9"/>
  <c r="AJ61" i="13"/>
  <c r="AJ15" i="9"/>
  <c r="AJ66" i="18"/>
  <c r="AJ87" i="13"/>
  <c r="AJ57" i="18"/>
  <c r="AJ8" i="13"/>
  <c r="AJ73" i="18"/>
  <c r="AJ100" i="11"/>
  <c r="AJ30" i="18"/>
  <c r="AJ25" i="11"/>
  <c r="AJ22" i="15"/>
  <c r="AG73" i="7"/>
  <c r="AJ91" i="11"/>
  <c r="AJ54" i="11"/>
  <c r="AG62" i="7"/>
  <c r="AG58" i="7"/>
  <c r="AJ84" i="21"/>
  <c r="AJ7" i="5"/>
  <c r="AJ62" i="15"/>
  <c r="AJ79" i="24"/>
  <c r="AJ81" i="21"/>
  <c r="AJ94" i="18"/>
  <c r="AG27" i="7"/>
  <c r="AJ83" i="5"/>
  <c r="AJ28" i="5"/>
  <c r="AJ91" i="21"/>
  <c r="AJ97" i="11"/>
  <c r="AJ25" i="18"/>
  <c r="AJ100" i="13"/>
  <c r="AJ24" i="18"/>
  <c r="AJ29" i="11"/>
  <c r="AJ65" i="13"/>
  <c r="AJ12" i="11"/>
  <c r="AJ53" i="18"/>
  <c r="AJ51" i="11"/>
  <c r="AJ83" i="18"/>
  <c r="AJ66" i="13"/>
  <c r="AJ10" i="18"/>
  <c r="AJ28" i="11"/>
  <c r="AJ2" i="18"/>
  <c r="AJ13" i="11"/>
  <c r="AJ2" i="15"/>
  <c r="AJ71" i="5"/>
  <c r="AJ11" i="13"/>
  <c r="AJ57" i="9"/>
  <c r="AJ70" i="24"/>
  <c r="AJ52" i="24"/>
  <c r="AJ63" i="18"/>
  <c r="AJ10" i="9"/>
  <c r="AG26" i="7"/>
  <c r="AG11" i="7"/>
  <c r="AJ60" i="18"/>
  <c r="AJ52" i="18"/>
  <c r="AJ90" i="24"/>
  <c r="AJ76" i="9"/>
  <c r="AJ25" i="13"/>
  <c r="AJ91" i="24"/>
  <c r="AJ56" i="15"/>
  <c r="AJ19" i="11"/>
  <c r="AJ28" i="9"/>
  <c r="AJ67" i="13"/>
  <c r="AJ5" i="9"/>
  <c r="AJ21" i="13"/>
  <c r="AJ96" i="24"/>
  <c r="AJ89" i="11"/>
  <c r="AJ60" i="5"/>
  <c r="AJ4" i="15"/>
  <c r="AJ74" i="9"/>
  <c r="AJ62" i="13"/>
  <c r="AJ85" i="24"/>
  <c r="AJ58" i="24"/>
  <c r="AJ65" i="24"/>
  <c r="AJ52" i="21"/>
  <c r="AJ87" i="24"/>
  <c r="AJ92" i="15"/>
  <c r="AJ54" i="24"/>
  <c r="AJ58" i="11"/>
  <c r="AJ82" i="15"/>
  <c r="AJ52" i="15"/>
  <c r="AJ99" i="13"/>
  <c r="AJ5" i="5"/>
  <c r="AJ11" i="5"/>
  <c r="AJ98" i="18"/>
  <c r="AJ30" i="9"/>
  <c r="AJ6" i="9"/>
  <c r="AJ15" i="18"/>
  <c r="AJ102" i="21"/>
  <c r="AJ95" i="21"/>
  <c r="AJ70" i="15"/>
  <c r="AJ13" i="13"/>
  <c r="AG13" i="7"/>
  <c r="AJ49" i="18"/>
  <c r="AJ59" i="21"/>
  <c r="AJ88" i="18"/>
  <c r="AJ67" i="5"/>
  <c r="AG94" i="7"/>
  <c r="AG54" i="7"/>
  <c r="AJ4" i="18"/>
  <c r="AJ98" i="24"/>
  <c r="AJ70" i="5"/>
  <c r="AJ20" i="18"/>
  <c r="AJ72" i="13"/>
  <c r="AJ79" i="18"/>
  <c r="AJ66" i="15"/>
  <c r="AJ28" i="15"/>
  <c r="AJ70" i="21"/>
  <c r="AJ84" i="11"/>
  <c r="AG87" i="7"/>
  <c r="AJ77" i="5"/>
  <c r="AJ88" i="9"/>
  <c r="AJ68" i="9"/>
  <c r="AJ94" i="24"/>
  <c r="AJ88" i="15"/>
  <c r="AJ59" i="13"/>
  <c r="AG3" i="7"/>
  <c r="AJ58" i="5"/>
  <c r="AJ56" i="5"/>
  <c r="AJ46" i="5"/>
  <c r="AJ77" i="21"/>
  <c r="AJ30" i="11"/>
  <c r="AG75" i="7"/>
  <c r="AJ90" i="9"/>
  <c r="AJ15" i="13"/>
  <c r="AJ90" i="11"/>
  <c r="AJ48" i="24"/>
  <c r="AG32" i="7"/>
  <c r="AJ71" i="24"/>
  <c r="AJ6" i="13"/>
  <c r="AJ78" i="18"/>
  <c r="AJ9" i="18"/>
  <c r="AJ2" i="13"/>
  <c r="AJ82" i="9"/>
  <c r="AG55" i="7"/>
  <c r="AG59" i="7"/>
  <c r="AJ19" i="13"/>
  <c r="AJ89" i="24"/>
  <c r="AJ66" i="24"/>
  <c r="AJ32" i="5"/>
  <c r="AG92" i="7"/>
  <c r="AJ97" i="24"/>
  <c r="AJ21" i="5"/>
  <c r="AG95" i="7"/>
  <c r="AJ63" i="5"/>
  <c r="AG17" i="7"/>
  <c r="AJ56" i="18"/>
  <c r="AJ32" i="13"/>
  <c r="AJ73" i="11"/>
  <c r="AJ69" i="24"/>
  <c r="AJ57" i="5"/>
  <c r="AJ60" i="11"/>
  <c r="AJ64" i="18"/>
  <c r="AJ52" i="5"/>
  <c r="AJ20" i="9"/>
  <c r="AJ86" i="15"/>
  <c r="AJ11" i="9"/>
  <c r="AG69" i="7"/>
  <c r="AG57" i="7"/>
  <c r="AJ53" i="13"/>
  <c r="AJ99" i="11"/>
  <c r="AJ69" i="5"/>
  <c r="AJ6" i="11"/>
  <c r="AJ91" i="5"/>
  <c r="AJ8" i="9"/>
  <c r="AJ81" i="13"/>
  <c r="AJ84" i="13"/>
  <c r="AG82" i="7"/>
  <c r="AJ7" i="11"/>
  <c r="AG67" i="7"/>
  <c r="AJ86" i="11"/>
  <c r="AJ73" i="9"/>
  <c r="AJ80" i="21"/>
  <c r="AJ77" i="9"/>
  <c r="AJ14" i="11"/>
  <c r="AJ56" i="13"/>
  <c r="AG84" i="7"/>
  <c r="AJ13" i="15"/>
  <c r="AJ51" i="18"/>
  <c r="AG99" i="7"/>
  <c r="AJ27" i="5"/>
  <c r="AG96" i="7"/>
  <c r="AJ66" i="21"/>
  <c r="AJ2" i="11"/>
  <c r="AG5" i="7"/>
  <c r="AJ76" i="15"/>
  <c r="AG25" i="7"/>
  <c r="AJ53" i="5"/>
  <c r="AJ15" i="11"/>
  <c r="AJ78" i="5"/>
  <c r="AJ87" i="11"/>
  <c r="AJ6" i="15"/>
  <c r="AJ71" i="21"/>
  <c r="AJ26" i="15"/>
  <c r="AJ15" i="15"/>
  <c r="AJ85" i="11"/>
  <c r="AJ69" i="9"/>
  <c r="AG18" i="7"/>
  <c r="AJ72" i="24"/>
  <c r="AJ71" i="18"/>
  <c r="AJ57" i="15"/>
  <c r="AJ20" i="11"/>
  <c r="AJ97" i="18"/>
  <c r="AJ53" i="24"/>
  <c r="AJ68" i="15"/>
  <c r="AJ97" i="21"/>
  <c r="AJ85" i="9"/>
  <c r="AG61" i="7"/>
  <c r="AJ66" i="11"/>
  <c r="AJ58" i="9"/>
  <c r="AG102" i="7"/>
  <c r="AJ94" i="21"/>
  <c r="AJ58" i="15"/>
  <c r="AG91" i="7"/>
  <c r="AJ64" i="11"/>
  <c r="AJ86" i="9"/>
  <c r="AJ69" i="13"/>
  <c r="AJ16" i="13"/>
  <c r="AJ69" i="11"/>
  <c r="AJ87" i="21"/>
  <c r="AJ29" i="5"/>
  <c r="AJ44" i="5"/>
  <c r="AG71" i="7"/>
  <c r="AJ26" i="13"/>
  <c r="AJ96" i="15"/>
  <c r="AJ50" i="18"/>
  <c r="AJ5" i="11"/>
  <c r="AJ56" i="11"/>
  <c r="AG23" i="7"/>
  <c r="AJ59" i="11"/>
  <c r="AJ9" i="11"/>
  <c r="AG76" i="7"/>
  <c r="AG88" i="7"/>
  <c r="AJ75" i="5"/>
  <c r="AG79" i="7"/>
  <c r="AJ100" i="9"/>
  <c r="AJ66" i="9"/>
  <c r="AJ65" i="11"/>
  <c r="AJ87" i="18"/>
  <c r="AJ78" i="13"/>
  <c r="AJ73" i="5"/>
  <c r="AJ43" i="5"/>
  <c r="AJ30" i="5"/>
  <c r="AJ55" i="11"/>
  <c r="AJ100" i="18"/>
  <c r="AJ14" i="13"/>
  <c r="AG81" i="7"/>
  <c r="AJ24" i="5"/>
  <c r="AJ60" i="15"/>
  <c r="AJ26" i="18"/>
  <c r="AJ98" i="13"/>
  <c r="AJ13" i="5"/>
  <c r="AJ50" i="24"/>
  <c r="AJ65" i="9"/>
  <c r="AJ18" i="11"/>
  <c r="AJ81" i="9"/>
  <c r="AJ60" i="21"/>
  <c r="AJ85" i="13"/>
  <c r="AJ59" i="9"/>
  <c r="AJ96" i="9"/>
  <c r="AJ96" i="21"/>
  <c r="AJ67" i="21"/>
  <c r="AJ17" i="13"/>
  <c r="AJ14" i="9"/>
  <c r="AJ57" i="13"/>
  <c r="AG9" i="7"/>
  <c r="AJ27" i="18"/>
  <c r="AJ86" i="13"/>
  <c r="AJ11" i="11"/>
  <c r="AG97" i="7"/>
  <c r="AJ2" i="5"/>
  <c r="AJ23" i="13"/>
  <c r="AJ82" i="13"/>
  <c r="AJ30" i="15"/>
  <c r="AJ74" i="5"/>
  <c r="AJ95" i="13"/>
  <c r="AJ76" i="13"/>
  <c r="AJ20" i="5"/>
  <c r="AG63" i="7"/>
  <c r="AJ24" i="15"/>
  <c r="AG16" i="7"/>
  <c r="AJ82" i="18"/>
  <c r="AJ9" i="5"/>
  <c r="AJ90" i="18"/>
  <c r="AJ72" i="15"/>
  <c r="AJ71" i="13"/>
  <c r="AG12" i="7"/>
  <c r="AJ63" i="9"/>
  <c r="AJ98" i="9"/>
  <c r="AG83" i="7"/>
  <c r="AJ82" i="5"/>
  <c r="AJ68" i="24"/>
  <c r="AJ69" i="18"/>
  <c r="AJ64" i="24"/>
  <c r="AJ83" i="21"/>
  <c r="AJ85" i="18"/>
  <c r="AG30" i="7"/>
  <c r="AJ79" i="9"/>
  <c r="AJ10" i="15"/>
  <c r="AJ93" i="21"/>
  <c r="AJ80" i="18"/>
  <c r="AJ78" i="9"/>
  <c r="AG90" i="7"/>
  <c r="AJ89" i="5"/>
  <c r="AJ86" i="5"/>
  <c r="AJ17" i="11"/>
  <c r="AJ72" i="18"/>
  <c r="AJ101" i="15"/>
  <c r="AJ51" i="13"/>
  <c r="AJ25" i="15"/>
  <c r="AJ29" i="15"/>
  <c r="AJ62" i="24"/>
  <c r="AJ80" i="15"/>
  <c r="AJ31" i="15"/>
  <c r="AJ75" i="11"/>
  <c r="AJ16" i="9"/>
  <c r="AJ72" i="9"/>
  <c r="AJ17" i="5"/>
  <c r="AJ57" i="21"/>
  <c r="AJ68" i="13"/>
  <c r="AJ16" i="5"/>
  <c r="AJ12" i="9"/>
  <c r="AJ79" i="11"/>
  <c r="AJ22" i="11"/>
  <c r="AJ7" i="18"/>
  <c r="AJ65" i="15"/>
  <c r="AG10" i="7"/>
  <c r="AG14" i="7"/>
  <c r="AJ55" i="21"/>
  <c r="AJ55" i="15"/>
  <c r="AG78" i="7"/>
  <c r="AG74" i="7"/>
  <c r="AJ48" i="5"/>
  <c r="AJ31" i="13"/>
  <c r="AJ11" i="18"/>
  <c r="AG56" i="7"/>
  <c r="AJ50" i="5"/>
  <c r="AJ61" i="15"/>
  <c r="AG68" i="7"/>
  <c r="AJ79" i="5"/>
  <c r="AJ13" i="9"/>
  <c r="AJ99" i="24"/>
  <c r="AJ95" i="24"/>
  <c r="AJ3" i="13"/>
  <c r="AJ88" i="24"/>
  <c r="AG104" i="7"/>
  <c r="AJ94" i="11"/>
  <c r="AJ27" i="9"/>
  <c r="AJ62" i="9"/>
  <c r="AG31" i="7"/>
  <c r="AJ63" i="13"/>
  <c r="AJ74" i="15"/>
  <c r="AJ61" i="18"/>
  <c r="AJ90" i="13"/>
  <c r="AG21" i="7"/>
  <c r="AJ84" i="15"/>
  <c r="AJ6" i="5"/>
  <c r="AJ80" i="9"/>
  <c r="AJ74" i="24"/>
  <c r="AJ56" i="21"/>
  <c r="AJ68" i="11"/>
  <c r="AJ23" i="11"/>
  <c r="AJ63" i="15"/>
  <c r="AJ23" i="15"/>
  <c r="AJ65" i="21"/>
  <c r="AJ87" i="9"/>
  <c r="AJ25" i="9"/>
  <c r="AJ69" i="15"/>
  <c r="AJ54" i="21"/>
  <c r="AJ64" i="9"/>
  <c r="AJ16" i="18"/>
  <c r="AJ3" i="18"/>
  <c r="AJ17" i="15"/>
  <c r="AJ12" i="18"/>
  <c r="AJ91" i="13"/>
  <c r="AJ31" i="11"/>
  <c r="AJ8" i="18"/>
  <c r="AG64" i="7"/>
  <c r="AJ99" i="21"/>
  <c r="AJ59" i="24"/>
  <c r="AJ52" i="9"/>
  <c r="AJ78" i="15"/>
  <c r="AJ31" i="5"/>
  <c r="AJ58" i="21"/>
  <c r="AJ15" i="5"/>
  <c r="AJ93" i="24"/>
  <c r="AJ94" i="15"/>
  <c r="AJ89" i="9"/>
  <c r="AJ29" i="13"/>
  <c r="AJ2" i="9"/>
  <c r="AJ93" i="9"/>
  <c r="AL9" i="29" l="1"/>
  <c r="E29" i="4"/>
  <c r="E11" i="4"/>
  <c r="E25" i="4"/>
  <c r="E13" i="4"/>
  <c r="E3" i="4"/>
  <c r="AL12" i="29"/>
  <c r="AL28" i="29"/>
  <c r="AL20" i="29"/>
  <c r="AL2" i="29"/>
  <c r="E26" i="4"/>
  <c r="E5" i="4"/>
  <c r="E19" i="4"/>
  <c r="E10" i="4"/>
  <c r="E14" i="4"/>
  <c r="AL4" i="29"/>
  <c r="E4" i="4"/>
  <c r="AL27" i="29"/>
  <c r="E27" i="4"/>
  <c r="AK16" i="32"/>
  <c r="E16" i="4" s="1"/>
  <c r="D16" i="4"/>
  <c r="AL6" i="29"/>
  <c r="E6" i="4"/>
  <c r="AL15" i="29"/>
  <c r="E15" i="4"/>
  <c r="AL23" i="29"/>
  <c r="E23" i="4"/>
  <c r="AL22" i="29"/>
  <c r="E22" i="4"/>
  <c r="AL7" i="29"/>
  <c r="E7" i="4"/>
  <c r="AL21" i="29"/>
  <c r="E21" i="4"/>
  <c r="AL24" i="29"/>
  <c r="E24" i="4"/>
  <c r="AL17" i="29"/>
  <c r="E17" i="4"/>
  <c r="AL8" i="29"/>
  <c r="E8" i="4"/>
  <c r="AL18" i="29"/>
  <c r="E18" i="4"/>
  <c r="AI31" i="7"/>
  <c r="AH36" i="11"/>
  <c r="AH105" i="11" s="1"/>
  <c r="AH37" i="11"/>
  <c r="AH106" i="11" s="1"/>
  <c r="C34" i="10"/>
  <c r="C31" i="17"/>
  <c r="C22" i="14"/>
  <c r="C15" i="14"/>
  <c r="C8" i="17"/>
  <c r="C25" i="17"/>
  <c r="C13" i="17"/>
  <c r="C22" i="12"/>
  <c r="C19" i="8"/>
  <c r="C23" i="8"/>
  <c r="C9" i="14"/>
  <c r="C9" i="17"/>
  <c r="D9" i="23"/>
  <c r="D9" i="20"/>
  <c r="C5" i="8"/>
  <c r="C16" i="8"/>
  <c r="C13" i="6"/>
  <c r="C29" i="8"/>
  <c r="C21" i="10"/>
  <c r="C18" i="10"/>
  <c r="C14" i="10"/>
  <c r="C10" i="10"/>
  <c r="C4" i="12"/>
  <c r="C24" i="20"/>
  <c r="C24" i="23"/>
  <c r="C7" i="20"/>
  <c r="C7" i="23"/>
  <c r="C27" i="6"/>
  <c r="C21" i="23"/>
  <c r="C17" i="20"/>
  <c r="C17" i="23"/>
  <c r="C8" i="23"/>
  <c r="C21" i="20"/>
  <c r="C12" i="23"/>
  <c r="C12" i="20"/>
  <c r="C8" i="20"/>
  <c r="D15" i="17"/>
  <c r="C19" i="17"/>
  <c r="C5" i="14"/>
  <c r="C5" i="16"/>
  <c r="C10" i="6"/>
  <c r="C17" i="6"/>
  <c r="C7" i="6"/>
  <c r="C32" i="6"/>
  <c r="C28" i="6"/>
  <c r="C18" i="14"/>
  <c r="C31" i="14"/>
  <c r="C26" i="14"/>
  <c r="C6" i="23"/>
  <c r="C6" i="20"/>
  <c r="C27" i="17"/>
  <c r="C21" i="14"/>
  <c r="C24" i="14"/>
  <c r="C6" i="8"/>
  <c r="C9" i="8"/>
  <c r="AJ33" i="18"/>
  <c r="D18" i="17"/>
  <c r="D22" i="17"/>
  <c r="C13" i="14"/>
  <c r="C27" i="14"/>
  <c r="C22" i="19"/>
  <c r="C16" i="12"/>
  <c r="C13" i="12"/>
  <c r="C10" i="12"/>
  <c r="D28" i="20"/>
  <c r="D28" i="23"/>
  <c r="C21" i="17"/>
  <c r="C26" i="10"/>
  <c r="C17" i="10"/>
  <c r="C20" i="10"/>
  <c r="C5" i="10"/>
  <c r="C22" i="10"/>
  <c r="C8" i="10"/>
  <c r="C11" i="10"/>
  <c r="C7" i="12"/>
  <c r="D30" i="23"/>
  <c r="D21" i="23"/>
  <c r="D30" i="20"/>
  <c r="D21" i="20"/>
  <c r="C33" i="19"/>
  <c r="C30" i="19"/>
  <c r="C20" i="6"/>
  <c r="C29" i="6"/>
  <c r="C26" i="6"/>
  <c r="C23" i="6"/>
  <c r="C6" i="6"/>
  <c r="C12" i="6"/>
  <c r="C19" i="6"/>
  <c r="D17" i="17"/>
  <c r="AJ35" i="15"/>
  <c r="D21" i="17"/>
  <c r="D19" i="20"/>
  <c r="D19" i="23"/>
  <c r="C24" i="17"/>
  <c r="C20" i="17"/>
  <c r="C17" i="17"/>
  <c r="C30" i="17"/>
  <c r="C6" i="10"/>
  <c r="C12" i="10"/>
  <c r="C26" i="12"/>
  <c r="C6" i="14"/>
  <c r="C4" i="10"/>
  <c r="C18" i="6"/>
  <c r="C15" i="6"/>
  <c r="C4" i="6"/>
  <c r="C7" i="14"/>
  <c r="C4" i="16"/>
  <c r="C20" i="16"/>
  <c r="D23" i="17"/>
  <c r="D29" i="17"/>
  <c r="D6" i="17"/>
  <c r="C26" i="17"/>
  <c r="C9" i="12"/>
  <c r="C31" i="12"/>
  <c r="C33" i="6"/>
  <c r="C9" i="6"/>
  <c r="C30" i="6"/>
  <c r="C9" i="10"/>
  <c r="C31" i="10"/>
  <c r="C15" i="10"/>
  <c r="D26" i="17"/>
  <c r="D11" i="17"/>
  <c r="C23" i="17"/>
  <c r="D3" i="17"/>
  <c r="D16" i="17"/>
  <c r="C27" i="8"/>
  <c r="C30" i="8"/>
  <c r="C24" i="8"/>
  <c r="C11" i="14"/>
  <c r="C8" i="14"/>
  <c r="C23" i="14"/>
  <c r="C29" i="14"/>
  <c r="C31" i="16"/>
  <c r="C23" i="16"/>
  <c r="C26" i="23"/>
  <c r="C19" i="23"/>
  <c r="D4" i="23"/>
  <c r="D7" i="20"/>
  <c r="C26" i="20"/>
  <c r="D4" i="20"/>
  <c r="C23" i="20"/>
  <c r="D7" i="23"/>
  <c r="C23" i="23"/>
  <c r="C19" i="20"/>
  <c r="C32" i="16"/>
  <c r="C8" i="19"/>
  <c r="C21" i="8"/>
  <c r="C32" i="10"/>
  <c r="C28" i="10"/>
  <c r="C31" i="6"/>
  <c r="C21" i="6"/>
  <c r="C5" i="6"/>
  <c r="C23" i="10"/>
  <c r="C18" i="8"/>
  <c r="C11" i="6"/>
  <c r="C8" i="6"/>
  <c r="C11" i="16"/>
  <c r="C7" i="16"/>
  <c r="C14" i="16"/>
  <c r="C7" i="19"/>
  <c r="C10" i="16"/>
  <c r="C29" i="16"/>
  <c r="C17" i="16"/>
  <c r="C4" i="8"/>
  <c r="C30" i="10"/>
  <c r="C24" i="10"/>
  <c r="C27" i="10"/>
  <c r="C33" i="10"/>
  <c r="D22" i="23"/>
  <c r="D22" i="20"/>
  <c r="D26" i="20"/>
  <c r="D26" i="23"/>
  <c r="C6" i="16"/>
  <c r="C4" i="20"/>
  <c r="C4" i="23"/>
  <c r="C5" i="12"/>
  <c r="C15" i="8"/>
  <c r="C19" i="12"/>
  <c r="C25" i="12"/>
  <c r="C5" i="20"/>
  <c r="D12" i="23"/>
  <c r="C5" i="23"/>
  <c r="D12" i="20"/>
  <c r="C33" i="23"/>
  <c r="D18" i="20"/>
  <c r="C30" i="23"/>
  <c r="C30" i="20"/>
  <c r="D18" i="23"/>
  <c r="C33" i="20"/>
  <c r="C15" i="23"/>
  <c r="C15" i="20"/>
  <c r="D17" i="20"/>
  <c r="D17" i="23"/>
  <c r="C26" i="8"/>
  <c r="C7" i="8"/>
  <c r="C28" i="12"/>
  <c r="C23" i="12"/>
  <c r="C28" i="17"/>
  <c r="C11" i="19"/>
  <c r="C17" i="19"/>
  <c r="C14" i="19"/>
  <c r="C4" i="19"/>
  <c r="C6" i="19"/>
  <c r="C23" i="19"/>
  <c r="C16" i="19"/>
  <c r="C19" i="19"/>
  <c r="C5" i="17"/>
  <c r="C11" i="8"/>
  <c r="C17" i="8"/>
  <c r="C28" i="8"/>
  <c r="C14" i="8"/>
  <c r="C20" i="8"/>
  <c r="C21" i="19"/>
  <c r="C10" i="19"/>
  <c r="C15" i="19"/>
  <c r="C18" i="19"/>
  <c r="C24" i="19"/>
  <c r="C26" i="19"/>
  <c r="C11" i="20"/>
  <c r="C11" i="23"/>
  <c r="C29" i="23"/>
  <c r="C29" i="20"/>
  <c r="D15" i="20"/>
  <c r="D15" i="23"/>
  <c r="C6" i="12"/>
  <c r="C29" i="12"/>
  <c r="D27" i="17"/>
  <c r="D24" i="17"/>
  <c r="D20" i="17"/>
  <c r="D9" i="17"/>
  <c r="D30" i="17"/>
  <c r="D5" i="23"/>
  <c r="D5" i="20"/>
  <c r="C27" i="23"/>
  <c r="C27" i="20"/>
  <c r="C25" i="8"/>
  <c r="C9" i="19"/>
  <c r="C12" i="19"/>
  <c r="C29" i="19"/>
  <c r="D25" i="20"/>
  <c r="D25" i="23"/>
  <c r="D11" i="20"/>
  <c r="D11" i="23"/>
  <c r="C16" i="17"/>
  <c r="C9" i="16"/>
  <c r="C27" i="16"/>
  <c r="C21" i="16"/>
  <c r="D31" i="23"/>
  <c r="D6" i="23"/>
  <c r="D6" i="20"/>
  <c r="D31" i="20"/>
  <c r="C17" i="12"/>
  <c r="C27" i="12"/>
  <c r="C32" i="12"/>
  <c r="C20" i="12"/>
  <c r="C18" i="17"/>
  <c r="D25" i="17"/>
  <c r="C5" i="19"/>
  <c r="C27" i="19"/>
  <c r="C14" i="12"/>
  <c r="D10" i="17"/>
  <c r="C6" i="17"/>
  <c r="D29" i="23"/>
  <c r="D8" i="20"/>
  <c r="D29" i="20"/>
  <c r="D8" i="23"/>
  <c r="C25" i="19"/>
  <c r="C20" i="19"/>
  <c r="D23" i="23"/>
  <c r="D23" i="20"/>
  <c r="D12" i="17"/>
  <c r="D27" i="20"/>
  <c r="C22" i="20"/>
  <c r="C22" i="23"/>
  <c r="D27" i="23"/>
  <c r="C28" i="16"/>
  <c r="C25" i="10"/>
  <c r="C29" i="10"/>
  <c r="C13" i="10"/>
  <c r="C16" i="10"/>
  <c r="C19" i="10"/>
  <c r="C7" i="10"/>
  <c r="D5" i="17"/>
  <c r="C14" i="17"/>
  <c r="C8" i="16"/>
  <c r="C29" i="17"/>
  <c r="C8" i="12"/>
  <c r="C21" i="12"/>
  <c r="C12" i="12"/>
  <c r="C14" i="14"/>
  <c r="C25" i="14"/>
  <c r="C31" i="19"/>
  <c r="C13" i="19"/>
  <c r="C4" i="14"/>
  <c r="C25" i="16"/>
  <c r="C12" i="8"/>
  <c r="C8" i="8"/>
  <c r="D3" i="23"/>
  <c r="D3" i="20"/>
  <c r="D19" i="17"/>
  <c r="D13" i="17"/>
  <c r="C3" i="17"/>
  <c r="C10" i="8"/>
  <c r="D4" i="17"/>
  <c r="C11" i="17"/>
  <c r="D28" i="17"/>
  <c r="C22" i="8"/>
  <c r="C17" i="14"/>
  <c r="C10" i="14"/>
  <c r="C24" i="16"/>
  <c r="C15" i="16"/>
  <c r="C28" i="14"/>
  <c r="C12" i="17"/>
  <c r="C13" i="16"/>
  <c r="C30" i="14"/>
  <c r="C19" i="14"/>
  <c r="C33" i="14"/>
  <c r="D32" i="23"/>
  <c r="D24" i="23"/>
  <c r="D32" i="20"/>
  <c r="D24" i="20"/>
  <c r="C28" i="19"/>
  <c r="C32" i="20"/>
  <c r="C32" i="23"/>
  <c r="C22" i="6"/>
  <c r="C25" i="6"/>
  <c r="C15" i="17"/>
  <c r="C10" i="17"/>
  <c r="C16" i="16"/>
  <c r="C24" i="12"/>
  <c r="C18" i="12"/>
  <c r="C15" i="12"/>
  <c r="C30" i="12"/>
  <c r="C11" i="12"/>
  <c r="C22" i="17"/>
  <c r="D10" i="20"/>
  <c r="D10" i="23"/>
  <c r="D14" i="23"/>
  <c r="D14" i="20"/>
  <c r="C18" i="20"/>
  <c r="C18" i="23"/>
  <c r="C13" i="8"/>
  <c r="C16" i="6"/>
  <c r="C19" i="16"/>
  <c r="C26" i="16"/>
  <c r="C22" i="16"/>
  <c r="D14" i="17"/>
  <c r="C32" i="14"/>
  <c r="C9" i="23"/>
  <c r="C9" i="20"/>
  <c r="D13" i="20"/>
  <c r="D13" i="23"/>
  <c r="D16" i="23"/>
  <c r="D16" i="20"/>
  <c r="C18" i="16"/>
  <c r="C12" i="16"/>
  <c r="C16" i="14"/>
  <c r="C20" i="14"/>
  <c r="C12" i="14"/>
  <c r="C32" i="19"/>
  <c r="D20" i="23"/>
  <c r="D20" i="20"/>
  <c r="C14" i="6"/>
  <c r="C24" i="6"/>
  <c r="C4" i="17"/>
  <c r="D7" i="17"/>
  <c r="D31" i="17"/>
  <c r="AK30" i="32" l="1"/>
  <c r="AL16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P50" authorId="0" shapeId="0" xr:uid="{00000000-0006-0000-0100-000001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14 dni urlopu - termin nieznany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A27" authorId="0" shapeId="0" xr:uid="{00000000-0006-0000-0A00-000001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pilne 23-25</t>
        </r>
      </text>
    </comment>
    <comment ref="U29" authorId="0" shapeId="0" xr:uid="{00000000-0006-0000-0A00-000002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chrzciny</t>
        </r>
      </text>
    </comment>
    <comment ref="Z55" authorId="0" shapeId="0" xr:uid="{00000000-0006-0000-0A00-000003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rat</t>
        </r>
      </text>
    </comment>
    <comment ref="Q57" authorId="0" shapeId="0" xr:uid="{00000000-0006-0000-0A00-000004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itr</t>
        </r>
      </text>
    </comment>
    <comment ref="AA58" authorId="0" shapeId="0" xr:uid="{00000000-0006-0000-0A00-000005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rat</t>
        </r>
      </text>
    </comment>
    <comment ref="E62" authorId="0" shapeId="0" xr:uid="{00000000-0006-0000-0A00-000006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 xml:space="preserve">stcw
</t>
        </r>
      </text>
    </comment>
    <comment ref="K62" authorId="0" shapeId="0" xr:uid="{00000000-0006-0000-0A00-000007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vhf</t>
        </r>
      </text>
    </comment>
    <comment ref="AA79" authorId="0" shapeId="0" xr:uid="{00000000-0006-0000-0A00-000008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rat</t>
        </r>
      </text>
    </comment>
    <comment ref="AA80" authorId="0" shapeId="0" xr:uid="{00000000-0006-0000-0A00-000009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rat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2" authorId="0" shapeId="0" xr:uid="{00000000-0006-0000-0C00-000001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wolne - pilne 18-31</t>
        </r>
      </text>
    </comment>
    <comment ref="N3" authorId="0" shapeId="0" xr:uid="{00000000-0006-0000-0C00-000002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SG 112</t>
        </r>
      </text>
    </comment>
    <comment ref="I6" authorId="0" shapeId="0" xr:uid="{00000000-0006-0000-0C00-000003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nocka gazowiec</t>
        </r>
      </text>
    </comment>
    <comment ref="S13" authorId="0" shapeId="0" xr:uid="{00000000-0006-0000-0C00-000004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komunia</t>
        </r>
      </text>
    </comment>
    <comment ref="AF14" authorId="0" shapeId="0" xr:uid="{00000000-0006-0000-0C00-000005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komunia</t>
        </r>
      </text>
    </comment>
    <comment ref="S19" authorId="0" shapeId="0" xr:uid="{00000000-0006-0000-0C00-000006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szczepienie zony</t>
        </r>
      </text>
    </comment>
    <comment ref="Y22" authorId="0" shapeId="0" xr:uid="{00000000-0006-0000-0C00-000007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pilne od Wilczek, Sznajder Ślub</t>
        </r>
      </text>
    </comment>
    <comment ref="H32" authorId="0" shapeId="0" xr:uid="{00000000-0006-0000-0C00-000008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nocka gazowiec</t>
        </r>
      </text>
    </comment>
    <comment ref="J52" authorId="0" shapeId="0" xr:uid="{00000000-0006-0000-0C00-000009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urlop ojcowski</t>
        </r>
      </text>
    </comment>
    <comment ref="AF87" authorId="0" shapeId="0" xr:uid="{00000000-0006-0000-0C00-00000A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ZS</t>
        </r>
      </text>
    </comment>
    <comment ref="AI97" authorId="0" shapeId="0" xr:uid="{00000000-0006-0000-0C00-00000B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 xml:space="preserve">urlop
</t>
        </r>
      </text>
    </comment>
    <comment ref="AE98" authorId="0" shapeId="0" xr:uid="{00000000-0006-0000-0C00-00000C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ZS</t>
        </r>
      </text>
    </comment>
    <comment ref="AB101" authorId="0" shapeId="0" xr:uid="{00000000-0006-0000-0C00-00000D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 xml:space="preserve">angielski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" authorId="0" shapeId="0" xr:uid="{00000000-0006-0000-0E00-000001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PILNE</t>
        </r>
      </text>
    </comment>
    <comment ref="V3" authorId="0" shapeId="0" xr:uid="{00000000-0006-0000-0E00-000002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WESELE</t>
        </r>
      </text>
    </comment>
    <comment ref="O12" authorId="0" shapeId="0" xr:uid="{00000000-0006-0000-0E00-000003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pilne komunia</t>
        </r>
      </text>
    </comment>
    <comment ref="G14" authorId="0" shapeId="0" xr:uid="{00000000-0006-0000-0E00-000004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pilne 3-6</t>
        </r>
      </text>
    </comment>
    <comment ref="K14" authorId="0" shapeId="0" xr:uid="{00000000-0006-0000-0E00-000005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mosg 007</t>
        </r>
      </text>
    </comment>
    <comment ref="E31" authorId="0" shapeId="0" xr:uid="{00000000-0006-0000-0E00-000006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pilne 1-6</t>
        </r>
      </text>
    </comment>
    <comment ref="K32" authorId="0" shapeId="0" xr:uid="{00000000-0006-0000-0E00-000007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mosg 007</t>
        </r>
      </text>
    </comment>
    <comment ref="AC53" authorId="0" shapeId="0" xr:uid="{00000000-0006-0000-0E00-000008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 xml:space="preserve">dubler djp s-cie
</t>
        </r>
      </text>
    </comment>
    <comment ref="L82" authorId="0" shapeId="0" xr:uid="{00000000-0006-0000-0E00-000009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 xml:space="preserve">pilne egzaminy
</t>
        </r>
      </text>
    </comment>
    <comment ref="T82" authorId="0" shapeId="0" xr:uid="{00000000-0006-0000-0E00-00000A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pilne egzamin</t>
        </r>
      </text>
    </comment>
    <comment ref="K87" authorId="0" shapeId="0" xr:uid="{00000000-0006-0000-0E00-00000B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prace na lodce</t>
        </r>
      </text>
    </comment>
    <comment ref="S89" authorId="0" shapeId="0" xr:uid="{00000000-0006-0000-0E00-00000C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ZS</t>
        </r>
      </text>
    </comment>
    <comment ref="AH99" authorId="0" shapeId="0" xr:uid="{00000000-0006-0000-0E00-00000D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 xml:space="preserve">dubler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8" authorId="0" shapeId="0" xr:uid="{00000000-0006-0000-1100-000001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PILNE 12.07</t>
        </r>
      </text>
    </comment>
    <comment ref="M17" authorId="0" shapeId="0" xr:uid="{00000000-0006-0000-1100-000002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slub</t>
        </r>
      </text>
    </comment>
    <comment ref="T19" authorId="0" shapeId="0" xr:uid="{00000000-0006-0000-1100-000003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pilne 16-18.07</t>
        </r>
      </text>
    </comment>
    <comment ref="N86" authorId="0" shapeId="0" xr:uid="{00000000-0006-0000-1100-000004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 xml:space="preserve">świnoujście
</t>
        </r>
      </text>
    </comment>
    <comment ref="N92" authorId="0" shapeId="0" xr:uid="{00000000-0006-0000-1100-000005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PILNE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C7" authorId="0" shapeId="0" xr:uid="{00000000-0006-0000-1400-000001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pilne</t>
        </r>
      </text>
    </comment>
    <comment ref="AI7" authorId="0" shapeId="0" xr:uid="{00000000-0006-0000-1400-000002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pilne</t>
        </r>
      </text>
    </comment>
    <comment ref="AF16" authorId="0" shapeId="0" xr:uid="{00000000-0006-0000-1400-000003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pilne</t>
        </r>
      </text>
    </comment>
    <comment ref="T67" authorId="0" shapeId="0" xr:uid="{00000000-0006-0000-1400-000004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pilne - wolne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6" authorId="0" shapeId="0" xr:uid="{00000000-0006-0000-1700-000001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6-19 turnus rehab</t>
        </r>
      </text>
    </comment>
    <comment ref="AN12" authorId="0" shapeId="0" xr:uid="{00000000-0006-0000-1700-000002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 xml:space="preserve">+ 64 kurs MOSG
</t>
        </r>
      </text>
    </comment>
    <comment ref="R15" authorId="0" shapeId="0" xr:uid="{00000000-0006-0000-1700-000003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>pilne</t>
        </r>
      </text>
    </comment>
    <comment ref="Z19" authorId="0" shapeId="0" xr:uid="{00000000-0006-0000-1700-000004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kurs uaktual. RATOWNIK</t>
        </r>
      </text>
    </comment>
    <comment ref="AN23" authorId="0" shapeId="0" xr:uid="{00000000-0006-0000-1700-000005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+ 64 kurs MOSG</t>
        </r>
      </text>
    </comment>
    <comment ref="T29" authorId="0" shapeId="0" xr:uid="{00000000-0006-0000-1700-000006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zwolnienie 16 - 25</t>
        </r>
      </text>
    </comment>
    <comment ref="AC79" authorId="0" shapeId="0" xr:uid="{00000000-0006-0000-1700-000007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 xml:space="preserve">pilne 25-26
</t>
        </r>
      </text>
    </comment>
    <comment ref="AC80" authorId="0" shapeId="0" xr:uid="{00000000-0006-0000-1700-000008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family val="2"/>
            <charset val="238"/>
          </rPr>
          <t xml:space="preserve">pilne 25-26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G4" authorId="0" shapeId="0" xr:uid="{00000000-0006-0000-1900-000001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wolne 29-31</t>
        </r>
      </text>
    </comment>
    <comment ref="T6" authorId="0" shapeId="0" xr:uid="{00000000-0006-0000-1900-000002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17-18</t>
        </r>
      </text>
    </comment>
    <comment ref="M10" authorId="0" shapeId="0" xr:uid="{00000000-0006-0000-1900-000003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pilne</t>
        </r>
      </text>
    </comment>
    <comment ref="E15" authorId="0" shapeId="0" xr:uid="{00000000-0006-0000-1900-000004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wolnw 1-3</t>
        </r>
      </text>
    </comment>
    <comment ref="L15" authorId="0" shapeId="0" xr:uid="{00000000-0006-0000-1900-000005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studia</t>
        </r>
      </text>
    </comment>
    <comment ref="S15" authorId="0" shapeId="0" xr:uid="{00000000-0006-0000-1900-000006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studia</t>
        </r>
      </text>
    </comment>
    <comment ref="Z15" authorId="0" shapeId="0" xr:uid="{00000000-0006-0000-1900-000007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studia</t>
        </r>
      </text>
    </comment>
    <comment ref="V17" authorId="0" shapeId="0" xr:uid="{00000000-0006-0000-1900-000008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inwentaryzacja</t>
        </r>
      </text>
    </comment>
    <comment ref="H19" authorId="0" shapeId="0" xr:uid="{00000000-0006-0000-1900-000009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 xml:space="preserve">l4
</t>
        </r>
      </text>
    </comment>
    <comment ref="T19" authorId="0" shapeId="0" xr:uid="{00000000-0006-0000-1900-00000A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 xml:space="preserve">pilne
</t>
        </r>
      </text>
    </comment>
    <comment ref="AC19" authorId="0" shapeId="0" xr:uid="{00000000-0006-0000-1900-00000B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l4</t>
        </r>
      </text>
    </comment>
    <comment ref="R22" authorId="0" shapeId="0" xr:uid="{00000000-0006-0000-1900-00000C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pilne 14,17,24</t>
        </r>
      </text>
    </comment>
    <comment ref="M29" authorId="0" shapeId="0" xr:uid="{00000000-0006-0000-1900-00000D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pilne</t>
        </r>
      </text>
    </comment>
    <comment ref="L52" authorId="0" shapeId="0" xr:uid="{00000000-0006-0000-1900-00000E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wolne 8-11, 16-18</t>
        </r>
      </text>
    </comment>
    <comment ref="M78" authorId="0" shapeId="0" xr:uid="{00000000-0006-0000-1900-00000F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pilne</t>
        </r>
      </text>
    </comment>
    <comment ref="E80" authorId="0" shapeId="0" xr:uid="{00000000-0006-0000-1900-000010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1-3.10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" authorId="0" shapeId="0" xr:uid="{00000000-0006-0000-1C00-000001000000}">
      <text>
        <r>
          <rPr>
            <sz val="11"/>
            <color rgb="FF000000"/>
            <rFont val="Calibri"/>
            <family val="2"/>
            <charset val="238"/>
          </rPr>
          <t xml:space="preserve">Autor:
</t>
        </r>
        <r>
          <rPr>
            <sz val="9"/>
            <color rgb="FF000000"/>
            <rFont val="Tahoma"/>
            <charset val="1"/>
          </rPr>
          <t>LEKARZ</t>
        </r>
      </text>
    </comment>
  </commentList>
</comments>
</file>

<file path=xl/sharedStrings.xml><?xml version="1.0" encoding="utf-8"?>
<sst xmlns="http://schemas.openxmlformats.org/spreadsheetml/2006/main" count="15294" uniqueCount="516">
  <si>
    <t>Stopień</t>
  </si>
  <si>
    <t>FUNKCJONARIUSZ</t>
  </si>
  <si>
    <t>NS</t>
  </si>
  <si>
    <t>BARAN Marek</t>
  </si>
  <si>
    <t>BARTOSIEWICZ Tomasz</t>
  </si>
  <si>
    <t>BUDZISŁAWSKI Sebastian</t>
  </si>
  <si>
    <t>CHĘCIŃSKI Piotr</t>
  </si>
  <si>
    <t>CHŁOPECKI Przemysław</t>
  </si>
  <si>
    <t>CHUDZIAK Dariusz</t>
  </si>
  <si>
    <t>FIR Paweł</t>
  </si>
  <si>
    <t>GĘBALA Miłosz</t>
  </si>
  <si>
    <t>GRZEGORCZYK Tomasz</t>
  </si>
  <si>
    <t>JACUŃSKI Andrzej</t>
  </si>
  <si>
    <t>JAROCKI Rafał</t>
  </si>
  <si>
    <t>KANIA Krzysztof</t>
  </si>
  <si>
    <t xml:space="preserve">KOMOSA Sebastian </t>
  </si>
  <si>
    <t>KOSIŃSKI Krzysztof</t>
  </si>
  <si>
    <t>KOSTRZEWSKI Paweł</t>
  </si>
  <si>
    <t>KRYGER Katarzyna</t>
  </si>
  <si>
    <t>KRYSZTOFIAK Mariusz</t>
  </si>
  <si>
    <t>KRZYSZTOFIAK Dariusz</t>
  </si>
  <si>
    <t>KRZYSZTOFIAK Zbigniew</t>
  </si>
  <si>
    <t>KUKIEŁKA Wojciech</t>
  </si>
  <si>
    <t>KUSIAK Jacek</t>
  </si>
  <si>
    <t>LISEWSKI Sebastian</t>
  </si>
  <si>
    <t>ŁUSZCZYŃSKI Jordan</t>
  </si>
  <si>
    <t>MAJCHER Cezary</t>
  </si>
  <si>
    <t>MAŁKOWSKI Jakub</t>
  </si>
  <si>
    <t>MATUK Tomasz</t>
  </si>
  <si>
    <t>ORZECHOWSKI Bartosz</t>
  </si>
  <si>
    <t>PADJAS Marek</t>
  </si>
  <si>
    <t>PAWLAK Maciej Tomasz</t>
  </si>
  <si>
    <t>PAWŁOWSKA Agata</t>
  </si>
  <si>
    <t>PAWŁOWSKI Piotr</t>
  </si>
  <si>
    <t>PERKOWSKI Tadeusz</t>
  </si>
  <si>
    <t>PEZAŁA Maciej</t>
  </si>
  <si>
    <t>PIEŃKOWSKI Mirosław</t>
  </si>
  <si>
    <t>PUJANEK Sebastian</t>
  </si>
  <si>
    <t>REIMANN Daniel</t>
  </si>
  <si>
    <t>SCHEEL Magdalena</t>
  </si>
  <si>
    <t>SKALSKA Paulina</t>
  </si>
  <si>
    <t>SŁUPKOWSKI Mateusz</t>
  </si>
  <si>
    <t>STOPA Maciej</t>
  </si>
  <si>
    <t>SUSZEK Bartosz</t>
  </si>
  <si>
    <t>SZCZEPAŃSKI Tomasz Łukasz</t>
  </si>
  <si>
    <t>ŚLIWIŃSKI Krzysztof</t>
  </si>
  <si>
    <t>TOCHOR Krzysztof</t>
  </si>
  <si>
    <t>WITCZAK Milena</t>
  </si>
  <si>
    <t>WOŹNIAK Szymon</t>
  </si>
  <si>
    <t>ZAWOLIK Adam</t>
  </si>
  <si>
    <t>ZIEMKOWSKI Witold</t>
  </si>
  <si>
    <t>ZWOLIŃSKI Krzysztof</t>
  </si>
  <si>
    <t>SG</t>
  </si>
  <si>
    <t>Służba</t>
  </si>
  <si>
    <t>Dyżur</t>
  </si>
  <si>
    <t>inne</t>
  </si>
  <si>
    <t>DT</t>
  </si>
  <si>
    <t>zwolnienia</t>
  </si>
  <si>
    <t>SG212</t>
  </si>
  <si>
    <t>D</t>
  </si>
  <si>
    <t>BORZĘCKI Tomasz</t>
  </si>
  <si>
    <t>PS</t>
  </si>
  <si>
    <t>S</t>
  </si>
  <si>
    <t>SG068</t>
  </si>
  <si>
    <t>MP</t>
  </si>
  <si>
    <t>BUKOWSKI Bartosz</t>
  </si>
  <si>
    <t>-</t>
  </si>
  <si>
    <t>SG214</t>
  </si>
  <si>
    <t>CHYŁA Katarzyna</t>
  </si>
  <si>
    <t>ps</t>
  </si>
  <si>
    <t>s</t>
  </si>
  <si>
    <t>DRGAS Kamil</t>
  </si>
  <si>
    <t>służba</t>
  </si>
  <si>
    <t>M</t>
  </si>
  <si>
    <t>GĄSIEWSKI Dariusz</t>
  </si>
  <si>
    <t>uw</t>
  </si>
  <si>
    <t>12g</t>
  </si>
  <si>
    <t>służba gazowiec</t>
  </si>
  <si>
    <t>GRZESIAK Sebastian</t>
  </si>
  <si>
    <t>1/2 dyżuru</t>
  </si>
  <si>
    <t>JAKIMIAK Marcin</t>
  </si>
  <si>
    <t>dyżur Ś-cie</t>
  </si>
  <si>
    <t>KALITA Mariusz</t>
  </si>
  <si>
    <t>us</t>
  </si>
  <si>
    <t>urlop staż</t>
  </si>
  <si>
    <t>ŁUKACZ Sławomir</t>
  </si>
  <si>
    <t>urlop wypoczynkowy</t>
  </si>
  <si>
    <t>MIZGIER Bartosz</t>
  </si>
  <si>
    <t>uz</t>
  </si>
  <si>
    <t>urlop zaległy</t>
  </si>
  <si>
    <t>SG070</t>
  </si>
  <si>
    <t>MŁYŃSKI Błażej</t>
  </si>
  <si>
    <t>pk</t>
  </si>
  <si>
    <t>ZD</t>
  </si>
  <si>
    <t>MOSKALONEK Hubert</t>
  </si>
  <si>
    <t>k</t>
  </si>
  <si>
    <t>dyżur K-g</t>
  </si>
  <si>
    <t>NOWICKI Radosław</t>
  </si>
  <si>
    <t>wse</t>
  </si>
  <si>
    <t>WSE</t>
  </si>
  <si>
    <t>PALUCH Łukasz</t>
  </si>
  <si>
    <t>l4</t>
  </si>
  <si>
    <t>Zwolnienia lekarskie</t>
  </si>
  <si>
    <t>?</t>
  </si>
  <si>
    <t>PRYCA Adam</t>
  </si>
  <si>
    <t>SG007</t>
  </si>
  <si>
    <t>SAJDAK Patryk</t>
  </si>
  <si>
    <t>SPRUTTA Radosław</t>
  </si>
  <si>
    <t>STRANC Andrzej</t>
  </si>
  <si>
    <t>SZCZEPANIAK Zbigniew</t>
  </si>
  <si>
    <t>SZYMAŃSKI Tomasz Paweł</t>
  </si>
  <si>
    <t>ŚWIREPO Piotr</t>
  </si>
  <si>
    <t>WALCZAK Oskar</t>
  </si>
  <si>
    <t>d</t>
  </si>
  <si>
    <t>WALKOWIAK Wojciech</t>
  </si>
  <si>
    <t>WERSZNER Piotr</t>
  </si>
  <si>
    <t>WITWICKI Adrian</t>
  </si>
  <si>
    <t>ZAJĄC Rafał</t>
  </si>
  <si>
    <t>ZATWARNICKA Joanna</t>
  </si>
  <si>
    <t>ZEMBRZUSKI Krzysztof</t>
  </si>
  <si>
    <t>SŁUŻBA Ś-CIE</t>
  </si>
  <si>
    <t>SŁUŻBA K-G</t>
  </si>
  <si>
    <t>DYŻUR   Ś-CIE</t>
  </si>
  <si>
    <t>DYŻUR   K-G</t>
  </si>
  <si>
    <t>JAKIMIAK</t>
  </si>
  <si>
    <t>ŚWIREPO</t>
  </si>
  <si>
    <t>GRZESIAK</t>
  </si>
  <si>
    <t>BORZĘCKI</t>
  </si>
  <si>
    <t>SZCZECPANIAK</t>
  </si>
  <si>
    <t>KALITA</t>
  </si>
  <si>
    <t>MOSKALONEK</t>
  </si>
  <si>
    <t>PALUCH</t>
  </si>
  <si>
    <t>ZATWARNICKA</t>
  </si>
  <si>
    <t>NOWICKI</t>
  </si>
  <si>
    <t>STRANC</t>
  </si>
  <si>
    <t>SZYMAŃSKI</t>
  </si>
  <si>
    <t>WITWICKI</t>
  </si>
  <si>
    <t>SPRUTTA</t>
  </si>
  <si>
    <t>ŁUSZCZYŃSKI</t>
  </si>
  <si>
    <t>CHUDZIAK</t>
  </si>
  <si>
    <t>MIZGIER</t>
  </si>
  <si>
    <t>ŁUKACZ</t>
  </si>
  <si>
    <t>GĄSIEWSKI</t>
  </si>
  <si>
    <t>DRGAS</t>
  </si>
  <si>
    <t>SZCZEPAŃSKI</t>
  </si>
  <si>
    <t>CHYŁA</t>
  </si>
  <si>
    <t>PEZAŁA</t>
  </si>
  <si>
    <t>MŁYŃSKI</t>
  </si>
  <si>
    <t>WOŹNIAK</t>
  </si>
  <si>
    <t>PRYCA</t>
  </si>
  <si>
    <t>MAŁKOWSKI</t>
  </si>
  <si>
    <t>BUKOWSKI</t>
  </si>
  <si>
    <t>SG312</t>
  </si>
  <si>
    <t>PK</t>
  </si>
  <si>
    <t>K</t>
  </si>
  <si>
    <t>SG216</t>
  </si>
  <si>
    <t>SG046</t>
  </si>
  <si>
    <t>SG006</t>
  </si>
  <si>
    <t>GRABIŃSKI Marcin</t>
  </si>
  <si>
    <t>wu</t>
  </si>
  <si>
    <t>MRUCZKIEWICZ Sławomir</t>
  </si>
  <si>
    <t>ROZMYTAŃSKA - PEŁECH Olga</t>
  </si>
  <si>
    <t>SZNAJDER Wiktor</t>
  </si>
  <si>
    <t>SZYMAŃSKI Tomasz</t>
  </si>
  <si>
    <t>GRABIŃSKI</t>
  </si>
  <si>
    <t xml:space="preserve">bsm. </t>
  </si>
  <si>
    <t xml:space="preserve">kpr. </t>
  </si>
  <si>
    <t xml:space="preserve">kpt. </t>
  </si>
  <si>
    <t>ETAT</t>
  </si>
  <si>
    <t>L4</t>
  </si>
  <si>
    <t>WILCZEK Krzysztof</t>
  </si>
  <si>
    <t>SŁUŻBA</t>
  </si>
  <si>
    <t>SUMA</t>
  </si>
  <si>
    <t>SZCZEPANIAK</t>
  </si>
  <si>
    <t>WALKOWIAK</t>
  </si>
  <si>
    <t>ROZMYTAŃSKA</t>
  </si>
  <si>
    <t>u</t>
  </si>
  <si>
    <t>styczeń 2021 r.</t>
  </si>
  <si>
    <t>Dyżurny Wachty Portowej</t>
  </si>
  <si>
    <t>DYŻURNY</t>
  </si>
  <si>
    <t>wachtowy</t>
  </si>
  <si>
    <t>pt.</t>
  </si>
  <si>
    <t>sob.</t>
  </si>
  <si>
    <t>niedz.</t>
  </si>
  <si>
    <t>pon.</t>
  </si>
  <si>
    <t>wt.</t>
  </si>
  <si>
    <t>śr.</t>
  </si>
  <si>
    <t>czw.</t>
  </si>
  <si>
    <t>20.00 - 08.00 SAJDAK</t>
  </si>
  <si>
    <t>!</t>
  </si>
  <si>
    <t>V</t>
  </si>
  <si>
    <t xml:space="preserve"> </t>
  </si>
  <si>
    <t>MPp</t>
  </si>
  <si>
    <t>WILCZEK</t>
  </si>
  <si>
    <t>ZAJĄC</t>
  </si>
  <si>
    <t>SZNAJDER</t>
  </si>
  <si>
    <t>BARTOSIEWICZ</t>
  </si>
  <si>
    <t>ZEMBRZUSKI</t>
  </si>
  <si>
    <t>mizgier</t>
  </si>
  <si>
    <t>CHYŁY</t>
  </si>
  <si>
    <t>BORZĘCKI+SAJDAK+SUSZEK</t>
  </si>
  <si>
    <t>GRZEGORCZY</t>
  </si>
  <si>
    <t>KUSIAK</t>
  </si>
  <si>
    <t>KUKIEŁKA</t>
  </si>
  <si>
    <t>GRZEGORCZYK</t>
  </si>
  <si>
    <t>PADJAS</t>
  </si>
  <si>
    <t>GĘBALA</t>
  </si>
  <si>
    <t>STOPA</t>
  </si>
  <si>
    <t>SCHEEL</t>
  </si>
  <si>
    <t>KOSTRZEWSKI</t>
  </si>
  <si>
    <t>ZAWOLIK</t>
  </si>
  <si>
    <t>BUDZISŁAWSKI</t>
  </si>
  <si>
    <t>MATUK</t>
  </si>
  <si>
    <t>ORZECHOWSKI</t>
  </si>
  <si>
    <t>KOMOSA</t>
  </si>
  <si>
    <t>LISEWSKI</t>
  </si>
  <si>
    <t>PAWŁOWSKA</t>
  </si>
  <si>
    <t>U</t>
  </si>
  <si>
    <t>SAJDAK</t>
  </si>
  <si>
    <t>luty 2021 r.</t>
  </si>
  <si>
    <t>LUTY 2021 R.</t>
  </si>
  <si>
    <t>ŚWINOUJŚCIE</t>
  </si>
  <si>
    <t>KOŁOBRZEG</t>
  </si>
  <si>
    <t>01.02 - 05.02</t>
  </si>
  <si>
    <t>05.02 - 08.02</t>
  </si>
  <si>
    <t>02.02 - 06.02</t>
  </si>
  <si>
    <t>06.02 - 09.02</t>
  </si>
  <si>
    <t>08.02 - 12.02</t>
  </si>
  <si>
    <t>12.02 - 15.02</t>
  </si>
  <si>
    <t>09.02 - 13.02</t>
  </si>
  <si>
    <t>13.02 - 16.02</t>
  </si>
  <si>
    <t>15.02 - 19.02</t>
  </si>
  <si>
    <t>19.02 - 22.02</t>
  </si>
  <si>
    <t>16.02 - 20.02</t>
  </si>
  <si>
    <t>20.02 - 23.02</t>
  </si>
  <si>
    <t>22.02 - 26.02</t>
  </si>
  <si>
    <t>26.02 - 01.03</t>
  </si>
  <si>
    <t>23.02 - 26.02</t>
  </si>
  <si>
    <t>zs</t>
  </si>
  <si>
    <t>sąd</t>
  </si>
  <si>
    <t>v</t>
  </si>
  <si>
    <t>RAT</t>
  </si>
  <si>
    <t>rat</t>
  </si>
  <si>
    <t>zd</t>
  </si>
  <si>
    <t>GRZEISAK</t>
  </si>
  <si>
    <t>BARAN</t>
  </si>
  <si>
    <t>PAWŁOWSKI</t>
  </si>
  <si>
    <t>MAJCHER</t>
  </si>
  <si>
    <t>ZWOLIŃSKI</t>
  </si>
  <si>
    <t>CHŁOPECKI</t>
  </si>
  <si>
    <t>PIEŃKOWSKI</t>
  </si>
  <si>
    <t>SKALSKA</t>
  </si>
  <si>
    <t>PAWLAK</t>
  </si>
  <si>
    <t>ZIEMKOWSKI</t>
  </si>
  <si>
    <t>SŁUPKOWSKI</t>
  </si>
  <si>
    <t>KRYSZTOFIAK</t>
  </si>
  <si>
    <t>vhf</t>
  </si>
  <si>
    <t>mosg</t>
  </si>
  <si>
    <t>itr</t>
  </si>
  <si>
    <t>MOSG</t>
  </si>
  <si>
    <t>macedonia</t>
  </si>
  <si>
    <t>06.03-08.03</t>
  </si>
  <si>
    <t>12.03-14.03</t>
  </si>
  <si>
    <t>20.03-22.03</t>
  </si>
  <si>
    <t>WSE / GAZOWIEC</t>
  </si>
  <si>
    <t>JAROCKI</t>
  </si>
  <si>
    <t>TOCHOR</t>
  </si>
  <si>
    <t>ŁUSZCZYŃ.</t>
  </si>
  <si>
    <t>KRZYSZT. D</t>
  </si>
  <si>
    <t>JACUŃSKI</t>
  </si>
  <si>
    <t>WOŹNIK</t>
  </si>
  <si>
    <t>REIMANN</t>
  </si>
  <si>
    <t>KRYSZTOF</t>
  </si>
  <si>
    <t>WALCZAK</t>
  </si>
  <si>
    <t>marzec 2021 r.</t>
  </si>
  <si>
    <t>MARZEC 2021 R.</t>
  </si>
  <si>
    <t>01.03 - 05.03</t>
  </si>
  <si>
    <t>05.03 - 08.03</t>
  </si>
  <si>
    <t>02.03 - 06.03</t>
  </si>
  <si>
    <t>06.03 - 09.03</t>
  </si>
  <si>
    <t>08.03 - 12.03</t>
  </si>
  <si>
    <t>12.03 - 15.03</t>
  </si>
  <si>
    <t>09.03 - 13.03</t>
  </si>
  <si>
    <t>13.03 - 16.03</t>
  </si>
  <si>
    <t>15.03 - 19.03</t>
  </si>
  <si>
    <t>19.03 - 22.03</t>
  </si>
  <si>
    <t>16.03 - 20.03</t>
  </si>
  <si>
    <t>20.03 - 23.03</t>
  </si>
  <si>
    <t>22.03 - 26.03</t>
  </si>
  <si>
    <t>26.03 - 29.03</t>
  </si>
  <si>
    <t>23.03 - 26.03</t>
  </si>
  <si>
    <t>26.03 - 30.03</t>
  </si>
  <si>
    <t>29.03 - 02.04</t>
  </si>
  <si>
    <t>oddeleg</t>
  </si>
  <si>
    <t>UW</t>
  </si>
  <si>
    <t>szczepienie</t>
  </si>
  <si>
    <t>PALUCH / KALITA</t>
  </si>
  <si>
    <t>MOSKALONek</t>
  </si>
  <si>
    <t>SUSZEK</t>
  </si>
  <si>
    <t>PIEŃSKOWSKI</t>
  </si>
  <si>
    <t>PAWŁOWSKA/LISEWSKI</t>
  </si>
  <si>
    <t>w</t>
  </si>
  <si>
    <t>stcw</t>
  </si>
  <si>
    <t>W</t>
  </si>
  <si>
    <t>stcw?</t>
  </si>
  <si>
    <t>kwieciń 2021 r.</t>
  </si>
  <si>
    <r>
      <rPr>
        <sz val="11"/>
        <color rgb="FFFF0000"/>
        <rFont val="Calibri"/>
        <family val="2"/>
        <charset val="238"/>
      </rPr>
      <t>odde</t>
    </r>
    <r>
      <rPr>
        <sz val="11"/>
        <color rgb="FF000000"/>
        <rFont val="Calibri"/>
        <family val="2"/>
        <charset val="1"/>
      </rPr>
      <t xml:space="preserve"> /</t>
    </r>
    <r>
      <rPr>
        <sz val="11"/>
        <color rgb="FFFB8F8F"/>
        <rFont val="Calibri"/>
        <family val="2"/>
        <charset val="238"/>
      </rPr>
      <t xml:space="preserve"> l4</t>
    </r>
  </si>
  <si>
    <t>x</t>
  </si>
  <si>
    <t>X</t>
  </si>
  <si>
    <t>GĄSIEW.</t>
  </si>
  <si>
    <t>BUDZISŁAW</t>
  </si>
  <si>
    <t>woźniak</t>
  </si>
  <si>
    <t>śliwiński</t>
  </si>
  <si>
    <r>
      <rPr>
        <sz val="8"/>
        <color rgb="FF000000"/>
        <rFont val="Calibri"/>
        <family val="2"/>
        <charset val="1"/>
      </rPr>
      <t>ŁUKACZ 14/</t>
    </r>
    <r>
      <rPr>
        <sz val="8"/>
        <color rgb="FFFF0000"/>
        <rFont val="Calibri"/>
        <family val="2"/>
        <charset val="238"/>
      </rPr>
      <t>TOCHOR</t>
    </r>
    <r>
      <rPr>
        <sz val="8"/>
        <color rgb="FF000000"/>
        <rFont val="Calibri"/>
        <family val="2"/>
        <charset val="1"/>
      </rPr>
      <t>, BUKOWSKI</t>
    </r>
  </si>
  <si>
    <t>ZWOLIŃ</t>
  </si>
  <si>
    <t>PIŃKOWSKI</t>
  </si>
  <si>
    <t>GRZEORCZYK</t>
  </si>
  <si>
    <t>KOSIŃSKI</t>
  </si>
  <si>
    <t>pezała</t>
  </si>
  <si>
    <t xml:space="preserve">   </t>
  </si>
  <si>
    <t>--</t>
  </si>
  <si>
    <t>SZTAB</t>
  </si>
  <si>
    <t>odd</t>
  </si>
  <si>
    <t>$</t>
  </si>
  <si>
    <t>WITCZAK</t>
  </si>
  <si>
    <t>MUTAK</t>
  </si>
  <si>
    <t>OR, NS</t>
  </si>
  <si>
    <t>BIEŻĄCE</t>
  </si>
  <si>
    <t>T</t>
  </si>
  <si>
    <t>sztab</t>
  </si>
  <si>
    <t xml:space="preserve"> MAJ</t>
  </si>
  <si>
    <t>12G</t>
  </si>
  <si>
    <t>SG043</t>
  </si>
  <si>
    <t>MŁYŃSKI, SAJDAK, BORZĘCKI</t>
  </si>
  <si>
    <t>KOSTRZ</t>
  </si>
  <si>
    <t>PERKOWSKI</t>
  </si>
  <si>
    <t>BUDZISŁ</t>
  </si>
  <si>
    <t>LIPIEC 2021 r.</t>
  </si>
  <si>
    <t>CZW.</t>
  </si>
  <si>
    <t>PT.</t>
  </si>
  <si>
    <t>SOB.</t>
  </si>
  <si>
    <t>NIEDZ.</t>
  </si>
  <si>
    <t>PON.</t>
  </si>
  <si>
    <t>WT.</t>
  </si>
  <si>
    <t>ŚR.</t>
  </si>
  <si>
    <t>pS</t>
  </si>
  <si>
    <t>RFN</t>
  </si>
  <si>
    <t>MRUCZKIEWICZ</t>
  </si>
  <si>
    <t>FIR</t>
  </si>
  <si>
    <t>JACUŃCKI</t>
  </si>
  <si>
    <t>walkowiak</t>
  </si>
  <si>
    <t>PUJANEK</t>
  </si>
  <si>
    <t>ART.</t>
  </si>
  <si>
    <t>reimann</t>
  </si>
  <si>
    <t>KANIA</t>
  </si>
  <si>
    <t>STRZELANIE MORSKIE</t>
  </si>
  <si>
    <t>h</t>
  </si>
  <si>
    <t>SIERPIEŃ 2021 r.</t>
  </si>
  <si>
    <t>20-08 SPRUTTA</t>
  </si>
  <si>
    <t>20-08 PALUCH</t>
  </si>
  <si>
    <t xml:space="preserve">ppoz </t>
  </si>
  <si>
    <t>ADR</t>
  </si>
  <si>
    <t>ppoz</t>
  </si>
  <si>
    <t>PPOZ</t>
  </si>
  <si>
    <t>morskie strzelanie</t>
  </si>
  <si>
    <t>szkolenie grup kontrolnych MOSG</t>
  </si>
  <si>
    <t>O D D E L E G O W A N Y</t>
  </si>
  <si>
    <t>Paluch</t>
  </si>
  <si>
    <t>Gębala</t>
  </si>
  <si>
    <t>Jakimiak</t>
  </si>
  <si>
    <t>Grzesiak</t>
  </si>
  <si>
    <t>Borzęcki</t>
  </si>
  <si>
    <t>Świrepo</t>
  </si>
  <si>
    <t>Nowicki</t>
  </si>
  <si>
    <t>Walkowiak</t>
  </si>
  <si>
    <t>Stranc</t>
  </si>
  <si>
    <t>SPRUTTA/Zembrzuski</t>
  </si>
  <si>
    <t>Pawłowski</t>
  </si>
  <si>
    <t>Bartosiewicz</t>
  </si>
  <si>
    <t>Chudziak</t>
  </si>
  <si>
    <t>Mizgier</t>
  </si>
  <si>
    <t>Łukacz</t>
  </si>
  <si>
    <t>Pryca</t>
  </si>
  <si>
    <t>Woźniak</t>
  </si>
  <si>
    <t>Drgas</t>
  </si>
  <si>
    <t>Młyński</t>
  </si>
  <si>
    <t>Bukowski</t>
  </si>
  <si>
    <t>Padjas</t>
  </si>
  <si>
    <t>Kusiak</t>
  </si>
  <si>
    <t>Chłopecki</t>
  </si>
  <si>
    <t>Kukiełka</t>
  </si>
  <si>
    <t>Zwoliński</t>
  </si>
  <si>
    <t>Zwoliń.</t>
  </si>
  <si>
    <t>Majcher</t>
  </si>
  <si>
    <t>Kostrzewski</t>
  </si>
  <si>
    <t>Grzegorczyl</t>
  </si>
  <si>
    <t>Grzegor.</t>
  </si>
  <si>
    <t>Suszek</t>
  </si>
  <si>
    <t>Stopa</t>
  </si>
  <si>
    <t>Budzisław.</t>
  </si>
  <si>
    <t>Ziemkowski</t>
  </si>
  <si>
    <t>Pezała</t>
  </si>
  <si>
    <t>Pawlak</t>
  </si>
  <si>
    <t>Budzis</t>
  </si>
  <si>
    <t>Zawolik</t>
  </si>
  <si>
    <t>Reimann</t>
  </si>
  <si>
    <t>Kosiński</t>
  </si>
  <si>
    <t>Koisński</t>
  </si>
  <si>
    <t>Pawłowska</t>
  </si>
  <si>
    <t>Lisewski</t>
  </si>
  <si>
    <t>Rozmytańska</t>
  </si>
  <si>
    <t>Skalska</t>
  </si>
  <si>
    <t>Małk</t>
  </si>
  <si>
    <t>15-16 STRZELANIE MORSKIE</t>
  </si>
  <si>
    <t>m</t>
  </si>
  <si>
    <t>dt</t>
  </si>
  <si>
    <t>WRZESIEŃ 2021 r.</t>
  </si>
  <si>
    <t>sg043</t>
  </si>
  <si>
    <t>oddelegowanie</t>
  </si>
  <si>
    <t>ODDELEGOWANIE</t>
  </si>
  <si>
    <t>`</t>
  </si>
  <si>
    <t>Borzęck</t>
  </si>
  <si>
    <t>grzegorczyk</t>
  </si>
  <si>
    <t>suszek</t>
  </si>
  <si>
    <t>kusiak</t>
  </si>
  <si>
    <t>gębala</t>
  </si>
  <si>
    <t>jacuński</t>
  </si>
  <si>
    <t>komosa</t>
  </si>
  <si>
    <t>WSE  SG312</t>
  </si>
  <si>
    <t>LNG  SG112</t>
  </si>
  <si>
    <t>ODD</t>
  </si>
  <si>
    <t>G1</t>
  </si>
  <si>
    <t>S Z T A B</t>
  </si>
  <si>
    <t>PAŹDZIERNIK 2021 r.</t>
  </si>
  <si>
    <t>PAŹDZIERNIK</t>
  </si>
  <si>
    <t>CHRUSZCZ</t>
  </si>
  <si>
    <t>oddel</t>
  </si>
  <si>
    <t>LISTOPAD 2021 r.</t>
  </si>
  <si>
    <t>Moskalonek</t>
  </si>
  <si>
    <t>Tochor</t>
  </si>
  <si>
    <t>Szymański</t>
  </si>
  <si>
    <t>GRUDZIEŃ</t>
  </si>
  <si>
    <t>GRZESIAK GRZEGORZ</t>
  </si>
  <si>
    <t>GOŁAŚ RAFAŁ</t>
  </si>
  <si>
    <t>F-sz 001</t>
  </si>
  <si>
    <t>F-sz 002</t>
  </si>
  <si>
    <t>F-sz 003</t>
  </si>
  <si>
    <t>F-sz 004</t>
  </si>
  <si>
    <t>F-sz 005</t>
  </si>
  <si>
    <t>F-sz 006</t>
  </si>
  <si>
    <t>F-sz 007</t>
  </si>
  <si>
    <t>F-sz 008</t>
  </si>
  <si>
    <t>F-sz 009</t>
  </si>
  <si>
    <t>F-sz 010</t>
  </si>
  <si>
    <t>F-sz 011</t>
  </si>
  <si>
    <t>F-sz 012</t>
  </si>
  <si>
    <t>F-sz 013</t>
  </si>
  <si>
    <t>F-sz 014</t>
  </si>
  <si>
    <t>F-sz 015</t>
  </si>
  <si>
    <t>F-sz 016</t>
  </si>
  <si>
    <t>F-sz 017</t>
  </si>
  <si>
    <t>F-sz 018</t>
  </si>
  <si>
    <t>F-sz 019</t>
  </si>
  <si>
    <t>F-sz 020</t>
  </si>
  <si>
    <t>F-sz 021</t>
  </si>
  <si>
    <t>F-sz 022</t>
  </si>
  <si>
    <t>F-sz 023</t>
  </si>
  <si>
    <t>F-sz 024</t>
  </si>
  <si>
    <t>F-sz 025</t>
  </si>
  <si>
    <t>F-sz 026</t>
  </si>
  <si>
    <t>F-sz 027</t>
  </si>
  <si>
    <t>F-sz 028</t>
  </si>
  <si>
    <t>Urlop</t>
  </si>
  <si>
    <t>Stan na 31.XII</t>
  </si>
  <si>
    <t>Listopad</t>
  </si>
  <si>
    <t>Grudzień</t>
  </si>
  <si>
    <t>Koniec roku</t>
  </si>
  <si>
    <t>chor.</t>
  </si>
  <si>
    <t>bsm.</t>
  </si>
  <si>
    <t>por.</t>
  </si>
  <si>
    <t>mat</t>
  </si>
  <si>
    <t>kmdr.</t>
  </si>
  <si>
    <t>F-sz 031</t>
  </si>
  <si>
    <t>Mar.pokł</t>
  </si>
  <si>
    <t>Motorzysta</t>
  </si>
  <si>
    <t>Bosman</t>
  </si>
  <si>
    <t>Dowódca</t>
  </si>
  <si>
    <t>F-sz 030</t>
  </si>
  <si>
    <t>F-sz 029</t>
  </si>
  <si>
    <t>Artylerz</t>
  </si>
  <si>
    <t>Mar. Pokł</t>
  </si>
  <si>
    <t>Elektryk</t>
  </si>
  <si>
    <t>Mechanik</t>
  </si>
  <si>
    <t>Z-do</t>
  </si>
  <si>
    <t>Z-ca dowódcy</t>
  </si>
  <si>
    <t>21.03.19r.</t>
  </si>
  <si>
    <t>Anulowany</t>
  </si>
  <si>
    <t>KAT III</t>
  </si>
  <si>
    <t>KAT IV</t>
  </si>
  <si>
    <t>KAT II</t>
  </si>
  <si>
    <t>Oficer mechanik</t>
  </si>
  <si>
    <t>Mar.pokładowy</t>
  </si>
  <si>
    <t>Artylerzysta</t>
  </si>
  <si>
    <t>Motoszysta</t>
  </si>
  <si>
    <t>Jednostka</t>
  </si>
  <si>
    <t>Id</t>
  </si>
  <si>
    <t>Marynarze</t>
  </si>
  <si>
    <t>Stanowiska</t>
  </si>
  <si>
    <t>SG112</t>
  </si>
  <si>
    <t>Oficer Mechanik</t>
  </si>
  <si>
    <t>Zastępca dowódcy</t>
  </si>
  <si>
    <t>Marynarz pokładowy</t>
  </si>
  <si>
    <t>Mar. pokładowy</t>
  </si>
  <si>
    <t>ZD pokład pokład.</t>
  </si>
  <si>
    <t>ZD pokład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</si>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</sst>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5]d\ mmm;@"/>
    <numFmt numFmtId="165" formatCode="dd\-mmm"/>
    <numFmt numFmtId="166" formatCode="yyyy\-mm\-dd"/>
    <numFmt numFmtId="167" formatCode="mmm\-yy"/>
  </numFmts>
  <fonts count="65">
    <font>
      <sz val="11"/>
      <color rgb="FF000000"/>
      <name val="Calibri"/>
      <family val="2"/>
      <charset val="238"/>
    </font>
    <font>
      <sz val="11"/>
      <color rgb="FF000000"/>
      <name val="Calibri"/>
      <family val="2"/>
      <charset val="1"/>
    </font>
    <font>
      <b/>
      <sz val="8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2"/>
      <color rgb="FF000000"/>
      <name val="Calibri"/>
      <family val="2"/>
      <charset val="238"/>
    </font>
    <font>
      <sz val="12"/>
      <name val="Calibri"/>
      <family val="2"/>
      <charset val="238"/>
    </font>
    <font>
      <sz val="8"/>
      <color rgb="FF000000"/>
      <name val="Calibri"/>
      <family val="2"/>
      <charset val="238"/>
    </font>
    <font>
      <sz val="12"/>
      <color rgb="FF000000"/>
      <name val="Calibri"/>
      <family val="2"/>
      <charset val="238"/>
    </font>
    <font>
      <sz val="8"/>
      <color rgb="FFFF0000"/>
      <name val="Calibri"/>
      <family val="2"/>
      <charset val="238"/>
    </font>
    <font>
      <sz val="11"/>
      <name val="Calibri"/>
      <family val="2"/>
      <charset val="238"/>
    </font>
    <font>
      <b/>
      <sz val="12"/>
      <color rgb="FF4F81BD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4F81BD"/>
      <name val="Calibri"/>
      <family val="2"/>
      <charset val="238"/>
    </font>
    <font>
      <sz val="1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color rgb="FF000000"/>
      <name val="Calibri"/>
      <family val="2"/>
      <charset val="238"/>
    </font>
    <font>
      <sz val="12"/>
      <color rgb="FF4F81BD"/>
      <name val="Calibri"/>
      <family val="2"/>
      <charset val="238"/>
    </font>
    <font>
      <sz val="8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8"/>
      <name val="Calibri"/>
      <family val="2"/>
      <charset val="238"/>
    </font>
    <font>
      <sz val="8"/>
      <color rgb="FFFF0000"/>
      <name val="Calibri"/>
      <family val="2"/>
      <charset val="1"/>
    </font>
    <font>
      <b/>
      <sz val="8"/>
      <color rgb="FFFF0000"/>
      <name val="Calibri"/>
      <family val="2"/>
      <charset val="238"/>
    </font>
    <font>
      <sz val="8"/>
      <name val="Calibri"/>
      <family val="2"/>
      <charset val="238"/>
    </font>
    <font>
      <b/>
      <sz val="12"/>
      <color rgb="FFFF0000"/>
      <name val="Calibri"/>
      <family val="2"/>
      <charset val="238"/>
    </font>
    <font>
      <sz val="9"/>
      <color rgb="FF000000"/>
      <name val="Tahoma"/>
      <charset val="1"/>
    </font>
    <font>
      <b/>
      <sz val="12"/>
      <name val="Calibri"/>
      <family val="2"/>
      <charset val="238"/>
    </font>
    <font>
      <sz val="24"/>
      <color rgb="FF000000"/>
      <name val="Calibri"/>
      <family val="2"/>
      <charset val="238"/>
    </font>
    <font>
      <sz val="22"/>
      <color rgb="FF000000"/>
      <name val="Calibri"/>
      <family val="2"/>
      <charset val="238"/>
    </font>
    <font>
      <sz val="16"/>
      <color rgb="FF000000"/>
      <name val="Calibri"/>
      <family val="2"/>
      <charset val="238"/>
    </font>
    <font>
      <sz val="18"/>
      <color rgb="FF000000"/>
      <name val="Calibri"/>
      <family val="2"/>
      <charset val="238"/>
    </font>
    <font>
      <sz val="15"/>
      <color rgb="FF000000"/>
      <name val="Calibri"/>
      <family val="2"/>
      <charset val="238"/>
    </font>
    <font>
      <sz val="15"/>
      <name val="Calibri"/>
      <family val="2"/>
      <charset val="238"/>
    </font>
    <font>
      <b/>
      <sz val="20"/>
      <color rgb="FF000000"/>
      <name val="Calibri"/>
      <family val="2"/>
      <charset val="238"/>
    </font>
    <font>
      <sz val="20"/>
      <color rgb="FF000000"/>
      <name val="Calibri"/>
      <family val="2"/>
      <charset val="238"/>
    </font>
    <font>
      <sz val="9"/>
      <color rgb="FF000000"/>
      <name val="Tahoma"/>
      <family val="2"/>
      <charset val="238"/>
    </font>
    <font>
      <sz val="11"/>
      <color rgb="FFFF0000"/>
      <name val="Calibri"/>
      <family val="2"/>
      <charset val="238"/>
    </font>
    <font>
      <sz val="11"/>
      <color rgb="FFFB8F8F"/>
      <name val="Calibri"/>
      <family val="2"/>
      <charset val="238"/>
    </font>
    <font>
      <sz val="11"/>
      <color rgb="FFFFB3B3"/>
      <name val="Calibri"/>
      <family val="2"/>
      <charset val="238"/>
    </font>
    <font>
      <sz val="11"/>
      <color rgb="FFFB8F8F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11"/>
      <color rgb="FFFF0000"/>
      <name val="Calibri"/>
      <family val="2"/>
      <charset val="238"/>
    </font>
    <font>
      <b/>
      <sz val="12"/>
      <color rgb="FF00B050"/>
      <name val="Calibri"/>
      <family val="2"/>
      <charset val="238"/>
    </font>
    <font>
      <b/>
      <sz val="12"/>
      <color rgb="FF0070C0"/>
      <name val="Calibri"/>
      <family val="2"/>
      <charset val="238"/>
    </font>
    <font>
      <b/>
      <sz val="12"/>
      <color rgb="FFC00000"/>
      <name val="Calibri"/>
      <family val="2"/>
      <charset val="238"/>
    </font>
    <font>
      <sz val="8"/>
      <color rgb="FFC00000"/>
      <name val="Calibri"/>
      <family val="2"/>
      <charset val="238"/>
    </font>
    <font>
      <sz val="12"/>
      <color rgb="FFFF0000"/>
      <name val="Calibri"/>
      <family val="2"/>
      <charset val="1"/>
    </font>
    <font>
      <b/>
      <sz val="11"/>
      <color rgb="FF00B050"/>
      <name val="Calibri"/>
      <family val="2"/>
      <charset val="238"/>
    </font>
    <font>
      <b/>
      <sz val="11"/>
      <color rgb="FFC00000"/>
      <name val="Calibri"/>
      <family val="2"/>
      <charset val="238"/>
    </font>
    <font>
      <b/>
      <sz val="11"/>
      <color rgb="FF7030A0"/>
      <name val="Calibri"/>
      <family val="2"/>
      <charset val="238"/>
    </font>
    <font>
      <b/>
      <sz val="11"/>
      <color rgb="FFFF4F4F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8"/>
      <color rgb="FF00B050"/>
      <name val="Calibri"/>
      <family val="2"/>
      <charset val="238"/>
    </font>
    <font>
      <sz val="8"/>
      <color rgb="FF00B050"/>
      <name val="Calibri"/>
      <family val="2"/>
      <charset val="238"/>
    </font>
    <font>
      <sz val="14"/>
      <color rgb="FF000000"/>
      <name val="Calibri"/>
      <family val="2"/>
      <charset val="238"/>
    </font>
    <font>
      <sz val="14"/>
      <name val="Calibri"/>
      <family val="2"/>
      <charset val="238"/>
    </font>
    <font>
      <sz val="12"/>
      <color rgb="FF000000"/>
      <name val="Calibri"/>
      <family val="2"/>
      <charset val="1"/>
    </font>
    <font>
      <sz val="8"/>
      <color rgb="FF000000"/>
      <name val="Arial CE"/>
      <charset val="238"/>
    </font>
    <font>
      <sz val="8"/>
      <color rgb="FFFF0000"/>
      <name val="Arial CE"/>
      <charset val="238"/>
    </font>
    <font>
      <sz val="7"/>
      <color rgb="FF000000"/>
      <name val="Arial CE"/>
      <charset val="238"/>
    </font>
    <font>
      <sz val="10"/>
      <color rgb="FF000000"/>
      <name val="Arial CE1"/>
      <charset val="238"/>
    </font>
    <font>
      <sz val="9"/>
      <color rgb="FF000000"/>
      <name val="Arial CE1"/>
      <charset val="238"/>
    </font>
    <font>
      <sz val="9"/>
      <color rgb="FF000000"/>
      <name val="Arial CE"/>
      <charset val="238"/>
    </font>
    <font>
      <b/>
      <sz val="11"/>
      <color rgb="FF000000"/>
      <name val="Arial CE"/>
      <charset val="238"/>
    </font>
  </fonts>
  <fills count="39">
    <fill>
      <patternFill patternType="none"/>
    </fill>
    <fill>
      <patternFill patternType="gray125"/>
    </fill>
    <fill>
      <patternFill patternType="solid">
        <fgColor rgb="FF4F81BD"/>
        <bgColor rgb="FF558ED5"/>
      </patternFill>
    </fill>
    <fill>
      <patternFill patternType="solid">
        <fgColor rgb="FFFFFFFF"/>
        <bgColor rgb="FFF2F2F2"/>
      </patternFill>
    </fill>
    <fill>
      <patternFill patternType="solid">
        <fgColor rgb="FFBFBFBF"/>
        <bgColor rgb="FFCCC1DA"/>
      </patternFill>
    </fill>
    <fill>
      <patternFill patternType="solid">
        <fgColor rgb="FFD9D9D9"/>
        <bgColor rgb="FFDDD9C3"/>
      </patternFill>
    </fill>
    <fill>
      <patternFill patternType="solid">
        <fgColor rgb="FF95B3D7"/>
        <bgColor rgb="FF8EB4E3"/>
      </patternFill>
    </fill>
    <fill>
      <patternFill patternType="solid">
        <fgColor rgb="FFFFFF00"/>
        <bgColor rgb="FFFFC000"/>
      </patternFill>
    </fill>
    <fill>
      <patternFill patternType="solid">
        <fgColor rgb="FFFFC000"/>
        <bgColor rgb="FFFAC090"/>
      </patternFill>
    </fill>
    <fill>
      <patternFill patternType="solid">
        <fgColor rgb="FFDDD9C3"/>
        <bgColor rgb="FFD9D9D9"/>
      </patternFill>
    </fill>
    <fill>
      <patternFill patternType="solid">
        <fgColor rgb="FFF2F2F2"/>
        <bgColor rgb="FFEBF1DE"/>
      </patternFill>
    </fill>
    <fill>
      <patternFill patternType="solid">
        <fgColor rgb="FFC6D9F1"/>
        <bgColor rgb="FFB7DEE8"/>
      </patternFill>
    </fill>
    <fill>
      <patternFill patternType="solid">
        <fgColor rgb="FFFDEADA"/>
        <bgColor rgb="FFEBF1DE"/>
      </patternFill>
    </fill>
    <fill>
      <patternFill patternType="solid">
        <fgColor rgb="FFB9CDE5"/>
        <bgColor rgb="FFC6D9F1"/>
      </patternFill>
    </fill>
    <fill>
      <patternFill patternType="solid">
        <fgColor rgb="FFDCE6F2"/>
        <bgColor rgb="FFDBEEF4"/>
      </patternFill>
    </fill>
    <fill>
      <patternFill patternType="solid">
        <fgColor rgb="FFF2DCDB"/>
        <bgColor rgb="FFFDEADA"/>
      </patternFill>
    </fill>
    <fill>
      <patternFill patternType="solid">
        <fgColor rgb="FF404040"/>
        <bgColor rgb="FF595959"/>
      </patternFill>
    </fill>
    <fill>
      <patternFill patternType="solid">
        <fgColor rgb="FFFCD5B5"/>
        <bgColor rgb="FFFFC7CE"/>
      </patternFill>
    </fill>
    <fill>
      <patternFill patternType="solid">
        <fgColor rgb="FFE46C0A"/>
        <bgColor rgb="FFFF4F4F"/>
      </patternFill>
    </fill>
    <fill>
      <patternFill patternType="solid">
        <fgColor rgb="FF0D0D0D"/>
        <bgColor rgb="FF000000"/>
      </patternFill>
    </fill>
    <fill>
      <patternFill patternType="solid">
        <fgColor rgb="FF376092"/>
        <bgColor rgb="FF595959"/>
      </patternFill>
    </fill>
    <fill>
      <patternFill patternType="solid">
        <fgColor rgb="FFFFB3B3"/>
        <bgColor rgb="FFFAC090"/>
      </patternFill>
    </fill>
    <fill>
      <patternFill patternType="solid">
        <fgColor rgb="FF595959"/>
        <bgColor rgb="FF604A7B"/>
      </patternFill>
    </fill>
    <fill>
      <patternFill patternType="solid">
        <fgColor rgb="FF000000"/>
        <bgColor rgb="FF0D0D0D"/>
      </patternFill>
    </fill>
    <fill>
      <patternFill patternType="solid">
        <fgColor rgb="FFCCC1DA"/>
        <bgColor rgb="FFBFBFBF"/>
      </patternFill>
    </fill>
    <fill>
      <patternFill patternType="solid">
        <fgColor rgb="FFFAC090"/>
        <bgColor rgb="FFFFB3B3"/>
      </patternFill>
    </fill>
    <fill>
      <patternFill patternType="solid">
        <fgColor rgb="FFB3A2C7"/>
        <bgColor rgb="FF95B3D7"/>
      </patternFill>
    </fill>
    <fill>
      <patternFill patternType="solid">
        <fgColor rgb="FF31859C"/>
        <bgColor rgb="FF4F81BD"/>
      </patternFill>
    </fill>
    <fill>
      <patternFill patternType="solid">
        <fgColor rgb="FFFF4F4F"/>
        <bgColor rgb="FFE46C0A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rgb="FFCCC1D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00000"/>
      </patternFill>
    </fill>
    <fill>
      <patternFill patternType="solid">
        <fgColor rgb="FF0070C0"/>
        <bgColor indexed="64"/>
      </patternFill>
    </fill>
    <fill>
      <patternFill patternType="solid">
        <fgColor rgb="FFEFA7F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99FF"/>
        <bgColor indexed="64"/>
      </patternFill>
    </fill>
  </fills>
  <borders count="8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medium">
        <color rgb="FFFF0000"/>
      </bottom>
      <diagonal/>
    </border>
  </borders>
  <cellStyleXfs count="4">
    <xf numFmtId="0" fontId="0" fillId="0" borderId="0"/>
    <xf numFmtId="0" fontId="52" fillId="0" borderId="0"/>
    <xf numFmtId="0" fontId="1" fillId="0" borderId="0"/>
    <xf numFmtId="0" fontId="52" fillId="0" borderId="0"/>
  </cellStyleXfs>
  <cellXfs count="805">
    <xf numFmtId="0" fontId="0" fillId="0" borderId="0" xfId="0"/>
    <xf numFmtId="0" fontId="1" fillId="0" borderId="0" xfId="2"/>
    <xf numFmtId="0" fontId="2" fillId="0" borderId="0" xfId="2" applyFont="1"/>
    <xf numFmtId="0" fontId="3" fillId="0" borderId="0" xfId="2" applyFont="1"/>
    <xf numFmtId="0" fontId="1" fillId="0" borderId="1" xfId="2" applyBorder="1"/>
    <xf numFmtId="0" fontId="3" fillId="0" borderId="1" xfId="2" applyFont="1" applyBorder="1"/>
    <xf numFmtId="0" fontId="2" fillId="0" borderId="3" xfId="2" applyFont="1" applyBorder="1"/>
    <xf numFmtId="0" fontId="1" fillId="0" borderId="0" xfId="2" applyAlignment="1">
      <alignment horizontal="left"/>
    </xf>
    <xf numFmtId="0" fontId="1" fillId="0" borderId="0" xfId="2" applyAlignment="1">
      <alignment horizontal="center" vertical="center"/>
    </xf>
    <xf numFmtId="165" fontId="1" fillId="0" borderId="8" xfId="2" applyNumberFormat="1" applyBorder="1"/>
    <xf numFmtId="166" fontId="2" fillId="4" borderId="9" xfId="2" applyNumberFormat="1" applyFont="1" applyFill="1" applyBorder="1" applyAlignment="1">
      <alignment horizontal="right" textRotation="90"/>
    </xf>
    <xf numFmtId="166" fontId="2" fillId="0" borderId="9" xfId="2" applyNumberFormat="1" applyFont="1" applyBorder="1" applyAlignment="1">
      <alignment horizontal="right" textRotation="90"/>
    </xf>
    <xf numFmtId="166" fontId="2" fillId="0" borderId="8" xfId="2" applyNumberFormat="1" applyFont="1" applyBorder="1" applyAlignment="1">
      <alignment horizontal="right" textRotation="90"/>
    </xf>
    <xf numFmtId="166" fontId="2" fillId="0" borderId="10" xfId="2" applyNumberFormat="1" applyFont="1" applyBorder="1" applyAlignment="1">
      <alignment horizontal="right" textRotation="90"/>
    </xf>
    <xf numFmtId="166" fontId="2" fillId="5" borderId="11" xfId="2" applyNumberFormat="1" applyFont="1" applyFill="1" applyBorder="1" applyAlignment="1">
      <alignment horizontal="right" textRotation="90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5" fillId="0" borderId="16" xfId="3" applyFont="1" applyBorder="1" applyAlignment="1">
      <alignment horizontal="left"/>
    </xf>
    <xf numFmtId="0" fontId="5" fillId="0" borderId="16" xfId="3" applyFont="1" applyBorder="1" applyAlignment="1">
      <alignment horizontal="right"/>
    </xf>
    <xf numFmtId="0" fontId="6" fillId="4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20" xfId="3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5" fillId="0" borderId="4" xfId="3" applyFont="1" applyBorder="1" applyAlignment="1">
      <alignment horizontal="left"/>
    </xf>
    <xf numFmtId="0" fontId="6" fillId="4" borderId="2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5" fillId="0" borderId="5" xfId="3" applyFont="1" applyBorder="1" applyAlignment="1">
      <alignment horizontal="left"/>
    </xf>
    <xf numFmtId="0" fontId="6" fillId="4" borderId="28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9" fillId="0" borderId="0" xfId="2" applyFont="1"/>
    <xf numFmtId="0" fontId="7" fillId="0" borderId="0" xfId="3" applyFont="1" applyAlignment="1">
      <alignment horizontal="left"/>
    </xf>
    <xf numFmtId="0" fontId="7" fillId="0" borderId="0" xfId="3" applyFont="1" applyAlignment="1">
      <alignment horizontal="right"/>
    </xf>
    <xf numFmtId="0" fontId="6" fillId="0" borderId="0" xfId="0" applyFont="1" applyAlignment="1">
      <alignment horizontal="center" vertical="center"/>
    </xf>
    <xf numFmtId="0" fontId="10" fillId="0" borderId="0" xfId="3" applyFont="1"/>
    <xf numFmtId="0" fontId="0" fillId="0" borderId="32" xfId="0" applyBorder="1"/>
    <xf numFmtId="0" fontId="4" fillId="0" borderId="0" xfId="3" applyFont="1" applyAlignment="1">
      <alignment horizontal="left"/>
    </xf>
    <xf numFmtId="0" fontId="11" fillId="6" borderId="33" xfId="3" applyFont="1" applyFill="1" applyBorder="1" applyAlignment="1">
      <alignment horizontal="left" vertical="top"/>
    </xf>
    <xf numFmtId="0" fontId="12" fillId="0" borderId="34" xfId="3" applyFont="1" applyBorder="1" applyAlignment="1">
      <alignment horizontal="right"/>
    </xf>
    <xf numFmtId="0" fontId="13" fillId="0" borderId="3" xfId="3" applyFont="1" applyBorder="1" applyAlignment="1">
      <alignment horizontal="center" vertical="center"/>
    </xf>
    <xf numFmtId="0" fontId="11" fillId="6" borderId="35" xfId="3" applyFont="1" applyFill="1" applyBorder="1" applyAlignment="1">
      <alignment horizontal="left" vertical="top"/>
    </xf>
    <xf numFmtId="0" fontId="12" fillId="0" borderId="27" xfId="3" applyFont="1" applyBorder="1" applyAlignment="1">
      <alignment horizontal="right"/>
    </xf>
    <xf numFmtId="0" fontId="14" fillId="7" borderId="35" xfId="3" applyFont="1" applyFill="1" applyBorder="1" applyAlignment="1">
      <alignment horizontal="left"/>
    </xf>
    <xf numFmtId="0" fontId="15" fillId="0" borderId="27" xfId="3" applyFont="1" applyBorder="1" applyAlignment="1">
      <alignment horizontal="right"/>
    </xf>
    <xf numFmtId="0" fontId="14" fillId="8" borderId="36" xfId="3" applyFont="1" applyFill="1" applyBorder="1" applyAlignment="1">
      <alignment horizontal="left"/>
    </xf>
    <xf numFmtId="0" fontId="15" fillId="0" borderId="37" xfId="3" applyFont="1" applyBorder="1" applyAlignment="1">
      <alignment horizontal="right"/>
    </xf>
    <xf numFmtId="0" fontId="16" fillId="0" borderId="0" xfId="3" applyFont="1"/>
    <xf numFmtId="0" fontId="16" fillId="0" borderId="32" xfId="3" applyFont="1" applyBorder="1"/>
    <xf numFmtId="0" fontId="17" fillId="0" borderId="0" xfId="2" applyFont="1"/>
    <xf numFmtId="0" fontId="20" fillId="0" borderId="3" xfId="2" applyFont="1" applyBorder="1"/>
    <xf numFmtId="0" fontId="17" fillId="0" borderId="3" xfId="2" applyFont="1" applyBorder="1"/>
    <xf numFmtId="0" fontId="6" fillId="0" borderId="3" xfId="2" applyFont="1" applyBorder="1"/>
    <xf numFmtId="0" fontId="18" fillId="0" borderId="0" xfId="3" applyFont="1" applyAlignment="1">
      <alignment horizontal="center" vertical="center"/>
    </xf>
    <xf numFmtId="0" fontId="17" fillId="0" borderId="0" xfId="2" applyFont="1" applyAlignment="1">
      <alignment horizontal="left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4" fillId="0" borderId="0" xfId="3" applyFont="1" applyAlignment="1">
      <alignment horizontal="right"/>
    </xf>
    <xf numFmtId="0" fontId="17" fillId="0" borderId="40" xfId="2" applyFont="1" applyBorder="1"/>
    <xf numFmtId="0" fontId="1" fillId="0" borderId="40" xfId="2" applyBorder="1"/>
    <xf numFmtId="166" fontId="2" fillId="0" borderId="13" xfId="2" applyNumberFormat="1" applyFont="1" applyBorder="1" applyAlignment="1">
      <alignment horizontal="right" textRotation="90"/>
    </xf>
    <xf numFmtId="0" fontId="9" fillId="9" borderId="33" xfId="3" applyFont="1" applyFill="1" applyBorder="1" applyAlignment="1">
      <alignment horizontal="left"/>
    </xf>
    <xf numFmtId="0" fontId="0" fillId="0" borderId="16" xfId="3" applyFont="1" applyBorder="1"/>
    <xf numFmtId="0" fontId="6" fillId="10" borderId="18" xfId="0" applyFont="1" applyFill="1" applyBorder="1" applyAlignment="1">
      <alignment horizontal="center" vertical="center"/>
    </xf>
    <xf numFmtId="0" fontId="9" fillId="11" borderId="35" xfId="3" applyFont="1" applyFill="1" applyBorder="1" applyAlignment="1">
      <alignment horizontal="left"/>
    </xf>
    <xf numFmtId="0" fontId="6" fillId="10" borderId="3" xfId="0" applyFont="1" applyFill="1" applyBorder="1" applyAlignment="1">
      <alignment horizontal="center" vertical="center"/>
    </xf>
    <xf numFmtId="0" fontId="9" fillId="9" borderId="35" xfId="3" applyFont="1" applyFill="1" applyBorder="1" applyAlignment="1">
      <alignment horizontal="left"/>
    </xf>
    <xf numFmtId="0" fontId="9" fillId="12" borderId="35" xfId="3" applyFont="1" applyFill="1" applyBorder="1" applyAlignment="1">
      <alignment horizontal="left"/>
    </xf>
    <xf numFmtId="0" fontId="9" fillId="13" borderId="35" xfId="3" applyFont="1" applyFill="1" applyBorder="1" applyAlignment="1">
      <alignment horizontal="left"/>
    </xf>
    <xf numFmtId="0" fontId="9" fillId="11" borderId="36" xfId="3" applyFont="1" applyFill="1" applyBorder="1" applyAlignment="1">
      <alignment horizontal="left"/>
    </xf>
    <xf numFmtId="0" fontId="6" fillId="10" borderId="29" xfId="0" applyFont="1" applyFill="1" applyBorder="1" applyAlignment="1">
      <alignment horizontal="center" vertical="center"/>
    </xf>
    <xf numFmtId="0" fontId="23" fillId="0" borderId="0" xfId="3" applyFont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16" fillId="3" borderId="0" xfId="3" applyFont="1" applyFill="1"/>
    <xf numFmtId="0" fontId="0" fillId="3" borderId="0" xfId="0" applyFill="1" applyAlignment="1">
      <alignment horizontal="center" vertical="center"/>
    </xf>
    <xf numFmtId="0" fontId="17" fillId="0" borderId="8" xfId="2" applyFont="1" applyBorder="1"/>
    <xf numFmtId="0" fontId="17" fillId="0" borderId="8" xfId="2" applyFont="1" applyBorder="1" applyAlignment="1">
      <alignment horizontal="left"/>
    </xf>
    <xf numFmtId="0" fontId="2" fillId="3" borderId="8" xfId="2" applyFont="1" applyFill="1" applyBorder="1" applyAlignment="1">
      <alignment horizontal="left"/>
    </xf>
    <xf numFmtId="0" fontId="17" fillId="0" borderId="42" xfId="2" applyFont="1" applyBorder="1"/>
    <xf numFmtId="0" fontId="17" fillId="0" borderId="42" xfId="2" applyFont="1" applyBorder="1" applyAlignment="1">
      <alignment horizontal="left"/>
    </xf>
    <xf numFmtId="0" fontId="1" fillId="3" borderId="42" xfId="2" applyFill="1" applyBorder="1"/>
    <xf numFmtId="166" fontId="2" fillId="3" borderId="42" xfId="2" applyNumberFormat="1" applyFont="1" applyFill="1" applyBorder="1" applyAlignment="1">
      <alignment horizontal="right" textRotation="90"/>
    </xf>
    <xf numFmtId="0" fontId="17" fillId="0" borderId="44" xfId="2" applyFont="1" applyBorder="1"/>
    <xf numFmtId="0" fontId="17" fillId="0" borderId="44" xfId="2" applyFont="1" applyBorder="1" applyAlignment="1">
      <alignment horizontal="left"/>
    </xf>
    <xf numFmtId="0" fontId="1" fillId="3" borderId="44" xfId="2" applyFill="1" applyBorder="1"/>
    <xf numFmtId="0" fontId="1" fillId="3" borderId="0" xfId="2" applyFill="1"/>
    <xf numFmtId="0" fontId="17" fillId="3" borderId="0" xfId="0" applyFont="1" applyFill="1" applyAlignment="1">
      <alignment horizontal="center" vertical="center"/>
    </xf>
    <xf numFmtId="0" fontId="2" fillId="8" borderId="41" xfId="2" applyFont="1" applyFill="1" applyBorder="1" applyAlignment="1">
      <alignment horizontal="left"/>
    </xf>
    <xf numFmtId="0" fontId="2" fillId="8" borderId="20" xfId="2" applyFont="1" applyFill="1" applyBorder="1" applyAlignment="1">
      <alignment horizontal="left"/>
    </xf>
    <xf numFmtId="0" fontId="1" fillId="3" borderId="8" xfId="2" applyFill="1" applyBorder="1"/>
    <xf numFmtId="0" fontId="6" fillId="0" borderId="0" xfId="3" applyFont="1"/>
    <xf numFmtId="0" fontId="3" fillId="0" borderId="0" xfId="3" applyFont="1"/>
    <xf numFmtId="0" fontId="1" fillId="0" borderId="38" xfId="2" applyBorder="1"/>
    <xf numFmtId="0" fontId="1" fillId="0" borderId="2" xfId="2" applyBorder="1"/>
    <xf numFmtId="0" fontId="1" fillId="0" borderId="4" xfId="2" applyBorder="1"/>
    <xf numFmtId="0" fontId="6" fillId="0" borderId="0" xfId="1" applyFont="1"/>
    <xf numFmtId="0" fontId="2" fillId="0" borderId="0" xfId="0" applyFont="1"/>
    <xf numFmtId="0" fontId="3" fillId="0" borderId="0" xfId="0" applyFont="1"/>
    <xf numFmtId="0" fontId="1" fillId="0" borderId="0" xfId="2" applyAlignment="1">
      <alignment horizontal="left" vertical="top"/>
    </xf>
    <xf numFmtId="165" fontId="1" fillId="0" borderId="0" xfId="2" applyNumberFormat="1"/>
    <xf numFmtId="166" fontId="6" fillId="5" borderId="13" xfId="2" applyNumberFormat="1" applyFont="1" applyFill="1" applyBorder="1" applyAlignment="1">
      <alignment horizontal="center" vertical="center" textRotation="90"/>
    </xf>
    <xf numFmtId="166" fontId="6" fillId="5" borderId="14" xfId="2" applyNumberFormat="1" applyFont="1" applyFill="1" applyBorder="1" applyAlignment="1">
      <alignment horizontal="center" vertical="center" textRotation="90"/>
    </xf>
    <xf numFmtId="166" fontId="6" fillId="0" borderId="14" xfId="2" applyNumberFormat="1" applyFont="1" applyBorder="1" applyAlignment="1">
      <alignment horizontal="center" vertical="center" textRotation="90"/>
    </xf>
    <xf numFmtId="166" fontId="6" fillId="5" borderId="47" xfId="2" applyNumberFormat="1" applyFont="1" applyFill="1" applyBorder="1" applyAlignment="1">
      <alignment horizontal="center" vertical="center" textRotation="90"/>
    </xf>
    <xf numFmtId="166" fontId="2" fillId="5" borderId="12" xfId="2" applyNumberFormat="1" applyFont="1" applyFill="1" applyBorder="1" applyAlignment="1">
      <alignment horizontal="right" textRotation="90"/>
    </xf>
    <xf numFmtId="165" fontId="4" fillId="0" borderId="11" xfId="0" applyNumberFormat="1" applyFont="1" applyBorder="1" applyAlignment="1">
      <alignment horizontal="center" vertical="center"/>
    </xf>
    <xf numFmtId="0" fontId="1" fillId="0" borderId="0" xfId="2" applyAlignment="1">
      <alignment wrapText="1"/>
    </xf>
    <xf numFmtId="0" fontId="1" fillId="11" borderId="0" xfId="2" applyFill="1"/>
    <xf numFmtId="0" fontId="7" fillId="11" borderId="33" xfId="3" applyFont="1" applyFill="1" applyBorder="1" applyAlignment="1">
      <alignment horizontal="left" vertical="top"/>
    </xf>
    <xf numFmtId="0" fontId="7" fillId="0" borderId="48" xfId="3" applyFont="1" applyBorder="1" applyAlignment="1">
      <alignment horizontal="right"/>
    </xf>
    <xf numFmtId="0" fontId="7" fillId="0" borderId="35" xfId="3" applyFont="1" applyBorder="1" applyAlignment="1">
      <alignment horizontal="left" vertical="top"/>
    </xf>
    <xf numFmtId="0" fontId="7" fillId="0" borderId="33" xfId="3" applyFont="1" applyBorder="1" applyAlignment="1">
      <alignment horizontal="left" vertical="top"/>
    </xf>
    <xf numFmtId="0" fontId="6" fillId="0" borderId="2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35" xfId="3" applyFont="1" applyBorder="1" applyAlignment="1">
      <alignment horizontal="left" vertical="top"/>
    </xf>
    <xf numFmtId="0" fontId="1" fillId="9" borderId="0" xfId="2" applyFill="1"/>
    <xf numFmtId="0" fontId="7" fillId="9" borderId="35" xfId="3" applyFont="1" applyFill="1" applyBorder="1" applyAlignment="1">
      <alignment horizontal="left" vertical="top"/>
    </xf>
    <xf numFmtId="0" fontId="5" fillId="11" borderId="35" xfId="3" applyFont="1" applyFill="1" applyBorder="1" applyAlignment="1">
      <alignment horizontal="left" vertical="top"/>
    </xf>
    <xf numFmtId="0" fontId="7" fillId="11" borderId="35" xfId="3" applyFont="1" applyFill="1" applyBorder="1" applyAlignment="1">
      <alignment horizontal="left" vertical="top"/>
    </xf>
    <xf numFmtId="0" fontId="1" fillId="14" borderId="0" xfId="2" applyFill="1"/>
    <xf numFmtId="0" fontId="7" fillId="14" borderId="35" xfId="3" applyFont="1" applyFill="1" applyBorder="1" applyAlignment="1">
      <alignment horizontal="left" vertical="top"/>
    </xf>
    <xf numFmtId="0" fontId="6" fillId="5" borderId="26" xfId="0" applyFont="1" applyFill="1" applyBorder="1" applyAlignment="1">
      <alignment horizontal="center" vertical="center"/>
    </xf>
    <xf numFmtId="0" fontId="25" fillId="0" borderId="35" xfId="3" applyFont="1" applyBorder="1" applyAlignment="1">
      <alignment horizontal="left" vertical="top"/>
    </xf>
    <xf numFmtId="0" fontId="7" fillId="9" borderId="36" xfId="3" applyFont="1" applyFill="1" applyBorder="1" applyAlignment="1">
      <alignment horizontal="left" vertical="top"/>
    </xf>
    <xf numFmtId="0" fontId="10" fillId="0" borderId="0" xfId="3" applyFont="1" applyAlignment="1">
      <alignment horizontal="left" vertical="top"/>
    </xf>
    <xf numFmtId="0" fontId="10" fillId="0" borderId="0" xfId="3" applyFont="1" applyAlignment="1">
      <alignment horizontal="right"/>
    </xf>
    <xf numFmtId="0" fontId="4" fillId="0" borderId="0" xfId="3" applyFont="1" applyAlignment="1">
      <alignment horizontal="left" vertical="top"/>
    </xf>
    <xf numFmtId="166" fontId="6" fillId="5" borderId="13" xfId="2" applyNumberFormat="1" applyFont="1" applyFill="1" applyBorder="1" applyAlignment="1">
      <alignment horizontal="right" textRotation="90"/>
    </xf>
    <xf numFmtId="166" fontId="6" fillId="5" borderId="14" xfId="2" applyNumberFormat="1" applyFont="1" applyFill="1" applyBorder="1" applyAlignment="1">
      <alignment horizontal="right" textRotation="90"/>
    </xf>
    <xf numFmtId="166" fontId="6" fillId="0" borderId="14" xfId="2" applyNumberFormat="1" applyFont="1" applyBorder="1" applyAlignment="1">
      <alignment horizontal="right" textRotation="90"/>
    </xf>
    <xf numFmtId="166" fontId="6" fillId="5" borderId="15" xfId="2" applyNumberFormat="1" applyFont="1" applyFill="1" applyBorder="1" applyAlignment="1">
      <alignment horizontal="right" textRotation="90"/>
    </xf>
    <xf numFmtId="166" fontId="2" fillId="5" borderId="0" xfId="2" applyNumberFormat="1" applyFont="1" applyFill="1" applyAlignment="1">
      <alignment horizontal="right" textRotation="90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0" xfId="2" applyAlignment="1">
      <alignment horizontal="center" vertical="center" wrapText="1"/>
    </xf>
    <xf numFmtId="0" fontId="3" fillId="9" borderId="33" xfId="3" applyFont="1" applyFill="1" applyBorder="1" applyAlignment="1">
      <alignment horizontal="left" vertical="top"/>
    </xf>
    <xf numFmtId="0" fontId="3" fillId="9" borderId="16" xfId="3" applyFont="1" applyFill="1" applyBorder="1"/>
    <xf numFmtId="0" fontId="3" fillId="11" borderId="35" xfId="3" applyFont="1" applyFill="1" applyBorder="1" applyAlignment="1">
      <alignment horizontal="left" vertical="top"/>
    </xf>
    <xf numFmtId="0" fontId="3" fillId="9" borderId="35" xfId="3" applyFont="1" applyFill="1" applyBorder="1" applyAlignment="1">
      <alignment horizontal="left" vertical="top"/>
    </xf>
    <xf numFmtId="0" fontId="3" fillId="12" borderId="35" xfId="3" applyFont="1" applyFill="1" applyBorder="1" applyAlignment="1">
      <alignment horizontal="left" vertical="top"/>
    </xf>
    <xf numFmtId="0" fontId="3" fillId="9" borderId="49" xfId="3" applyFont="1" applyFill="1" applyBorder="1"/>
    <xf numFmtId="0" fontId="3" fillId="9" borderId="4" xfId="3" applyFont="1" applyFill="1" applyBorder="1" applyAlignment="1">
      <alignment horizontal="left" vertical="top"/>
    </xf>
    <xf numFmtId="0" fontId="3" fillId="9" borderId="33" xfId="3" applyFont="1" applyFill="1" applyBorder="1"/>
    <xf numFmtId="0" fontId="6" fillId="5" borderId="27" xfId="0" applyFont="1" applyFill="1" applyBorder="1" applyAlignment="1">
      <alignment horizontal="center" vertical="center"/>
    </xf>
    <xf numFmtId="0" fontId="3" fillId="11" borderId="4" xfId="3" applyFont="1" applyFill="1" applyBorder="1" applyAlignment="1">
      <alignment horizontal="left" vertical="top"/>
    </xf>
    <xf numFmtId="0" fontId="3" fillId="9" borderId="35" xfId="3" applyFont="1" applyFill="1" applyBorder="1"/>
    <xf numFmtId="0" fontId="3" fillId="9" borderId="4" xfId="3" applyFont="1" applyFill="1" applyBorder="1" applyAlignment="1">
      <alignment horizontal="center" vertical="top"/>
    </xf>
    <xf numFmtId="0" fontId="3" fillId="12" borderId="4" xfId="3" applyFont="1" applyFill="1" applyBorder="1" applyAlignment="1">
      <alignment horizontal="left" vertical="top"/>
    </xf>
    <xf numFmtId="0" fontId="3" fillId="13" borderId="4" xfId="3" applyFont="1" applyFill="1" applyBorder="1" applyAlignment="1">
      <alignment horizontal="left" vertical="top"/>
    </xf>
    <xf numFmtId="0" fontId="3" fillId="11" borderId="5" xfId="3" applyFont="1" applyFill="1" applyBorder="1" applyAlignment="1">
      <alignment horizontal="left" vertical="top"/>
    </xf>
    <xf numFmtId="0" fontId="3" fillId="9" borderId="36" xfId="3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50" xfId="0" applyBorder="1"/>
    <xf numFmtId="0" fontId="29" fillId="0" borderId="51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/>
    </xf>
    <xf numFmtId="0" fontId="0" fillId="5" borderId="38" xfId="0" applyFill="1" applyBorder="1" applyAlignment="1">
      <alignment horizontal="center"/>
    </xf>
    <xf numFmtId="0" fontId="7" fillId="5" borderId="51" xfId="0" applyFont="1" applyFill="1" applyBorder="1" applyAlignment="1">
      <alignment horizontal="left"/>
    </xf>
    <xf numFmtId="0" fontId="7" fillId="5" borderId="16" xfId="0" applyFont="1" applyFill="1" applyBorder="1" applyAlignment="1">
      <alignment vertical="top" wrapText="1"/>
    </xf>
    <xf numFmtId="0" fontId="30" fillId="5" borderId="33" xfId="0" applyFont="1" applyFill="1" applyBorder="1"/>
    <xf numFmtId="0" fontId="9" fillId="5" borderId="38" xfId="0" applyFont="1" applyFill="1" applyBorder="1" applyAlignment="1">
      <alignment horizontal="center"/>
    </xf>
    <xf numFmtId="166" fontId="31" fillId="5" borderId="35" xfId="0" applyNumberFormat="1" applyFont="1" applyFill="1" applyBorder="1"/>
    <xf numFmtId="0" fontId="31" fillId="5" borderId="35" xfId="0" applyFont="1" applyFill="1" applyBorder="1"/>
    <xf numFmtId="0" fontId="9" fillId="0" borderId="38" xfId="0" applyFont="1" applyBorder="1" applyAlignment="1">
      <alignment horizontal="center"/>
    </xf>
    <xf numFmtId="0" fontId="7" fillId="0" borderId="51" xfId="0" applyFont="1" applyBorder="1" applyAlignment="1">
      <alignment horizontal="left"/>
    </xf>
    <xf numFmtId="0" fontId="7" fillId="0" borderId="16" xfId="0" applyFont="1" applyBorder="1" applyAlignment="1">
      <alignment vertical="top" wrapText="1"/>
    </xf>
    <xf numFmtId="0" fontId="31" fillId="0" borderId="35" xfId="0" applyFont="1" applyBorder="1"/>
    <xf numFmtId="0" fontId="9" fillId="0" borderId="35" xfId="0" applyFont="1" applyBorder="1"/>
    <xf numFmtId="0" fontId="31" fillId="5" borderId="36" xfId="0" applyFont="1" applyFill="1" applyBorder="1"/>
    <xf numFmtId="166" fontId="2" fillId="0" borderId="14" xfId="2" applyNumberFormat="1" applyFont="1" applyBorder="1" applyAlignment="1">
      <alignment horizontal="right" textRotation="90"/>
    </xf>
    <xf numFmtId="166" fontId="2" fillId="5" borderId="14" xfId="2" applyNumberFormat="1" applyFont="1" applyFill="1" applyBorder="1" applyAlignment="1">
      <alignment horizontal="right" textRotation="90"/>
    </xf>
    <xf numFmtId="166" fontId="2" fillId="5" borderId="15" xfId="2" applyNumberFormat="1" applyFont="1" applyFill="1" applyBorder="1" applyAlignment="1">
      <alignment horizontal="right" textRotation="90"/>
    </xf>
    <xf numFmtId="0" fontId="7" fillId="0" borderId="16" xfId="3" applyFont="1" applyBorder="1" applyAlignment="1">
      <alignment horizontal="left"/>
    </xf>
    <xf numFmtId="0" fontId="7" fillId="0" borderId="2" xfId="3" applyFont="1" applyBorder="1" applyAlignment="1">
      <alignment horizontal="right"/>
    </xf>
    <xf numFmtId="0" fontId="6" fillId="0" borderId="17" xfId="0" applyFont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7" fillId="0" borderId="4" xfId="3" applyFont="1" applyBorder="1" applyAlignment="1">
      <alignment horizontal="left"/>
    </xf>
    <xf numFmtId="0" fontId="6" fillId="0" borderId="23" xfId="0" applyFont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4" fillId="0" borderId="4" xfId="3" applyFont="1" applyBorder="1" applyAlignment="1">
      <alignment horizontal="left"/>
    </xf>
    <xf numFmtId="0" fontId="6" fillId="5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25" fillId="0" borderId="4" xfId="3" applyFont="1" applyBorder="1" applyAlignment="1">
      <alignment horizontal="left"/>
    </xf>
    <xf numFmtId="0" fontId="6" fillId="5" borderId="25" xfId="0" applyFont="1" applyFill="1" applyBorder="1" applyAlignment="1">
      <alignment horizontal="center" vertical="center"/>
    </xf>
    <xf numFmtId="0" fontId="7" fillId="0" borderId="5" xfId="3" applyFont="1" applyBorder="1" applyAlignment="1">
      <alignment horizontal="left"/>
    </xf>
    <xf numFmtId="0" fontId="6" fillId="5" borderId="29" xfId="0" applyFont="1" applyFill="1" applyBorder="1" applyAlignment="1">
      <alignment horizontal="center" vertical="center"/>
    </xf>
    <xf numFmtId="0" fontId="6" fillId="5" borderId="52" xfId="0" applyFont="1" applyFill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2" fillId="7" borderId="27" xfId="2" applyFont="1" applyFill="1" applyBorder="1" applyAlignment="1">
      <alignment horizontal="left"/>
    </xf>
    <xf numFmtId="0" fontId="1" fillId="0" borderId="27" xfId="2" applyBorder="1"/>
    <xf numFmtId="166" fontId="2" fillId="5" borderId="27" xfId="2" applyNumberFormat="1" applyFont="1" applyFill="1" applyBorder="1" applyAlignment="1">
      <alignment horizontal="right" textRotation="90"/>
    </xf>
    <xf numFmtId="0" fontId="7" fillId="0" borderId="27" xfId="3" applyFont="1" applyBorder="1" applyAlignment="1">
      <alignment horizontal="left" vertical="top"/>
    </xf>
    <xf numFmtId="0" fontId="18" fillId="7" borderId="0" xfId="3" applyFont="1" applyFill="1" applyAlignment="1">
      <alignment horizontal="center" vertical="center"/>
    </xf>
    <xf numFmtId="0" fontId="7" fillId="0" borderId="3" xfId="3" applyFont="1" applyBorder="1" applyAlignment="1">
      <alignment horizontal="left" vertical="top"/>
    </xf>
    <xf numFmtId="0" fontId="3" fillId="9" borderId="16" xfId="3" applyFont="1" applyFill="1" applyBorder="1" applyAlignment="1">
      <alignment horizontal="left"/>
    </xf>
    <xf numFmtId="0" fontId="3" fillId="0" borderId="33" xfId="3" applyFont="1" applyBorder="1"/>
    <xf numFmtId="0" fontId="3" fillId="11" borderId="4" xfId="3" applyFont="1" applyFill="1" applyBorder="1" applyAlignment="1">
      <alignment horizontal="left"/>
    </xf>
    <xf numFmtId="0" fontId="3" fillId="9" borderId="4" xfId="3" applyFont="1" applyFill="1" applyBorder="1" applyAlignment="1">
      <alignment horizontal="left"/>
    </xf>
    <xf numFmtId="0" fontId="3" fillId="12" borderId="4" xfId="3" applyFont="1" applyFill="1" applyBorder="1" applyAlignment="1">
      <alignment horizontal="left"/>
    </xf>
    <xf numFmtId="0" fontId="3" fillId="13" borderId="4" xfId="3" applyFont="1" applyFill="1" applyBorder="1" applyAlignment="1">
      <alignment horizontal="left"/>
    </xf>
    <xf numFmtId="0" fontId="3" fillId="11" borderId="5" xfId="3" applyFont="1" applyFill="1" applyBorder="1" applyAlignment="1">
      <alignment horizontal="left"/>
    </xf>
    <xf numFmtId="0" fontId="1" fillId="0" borderId="3" xfId="2" applyBorder="1"/>
    <xf numFmtId="0" fontId="17" fillId="0" borderId="21" xfId="0" applyFont="1" applyBorder="1"/>
    <xf numFmtId="0" fontId="17" fillId="0" borderId="22" xfId="0" applyFont="1" applyBorder="1"/>
    <xf numFmtId="0" fontId="0" fillId="0" borderId="51" xfId="0" applyBorder="1"/>
    <xf numFmtId="0" fontId="0" fillId="0" borderId="38" xfId="0" applyBorder="1"/>
    <xf numFmtId="0" fontId="0" fillId="0" borderId="7" xfId="0" applyBorder="1" applyAlignment="1">
      <alignment horizontal="center"/>
    </xf>
    <xf numFmtId="0" fontId="30" fillId="0" borderId="33" xfId="0" applyFont="1" applyBorder="1"/>
    <xf numFmtId="0" fontId="3" fillId="5" borderId="8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166" fontId="31" fillId="0" borderId="35" xfId="0" applyNumberFormat="1" applyFont="1" applyBorder="1"/>
    <xf numFmtId="0" fontId="3" fillId="0" borderId="33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9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7" fillId="5" borderId="55" xfId="0" applyFont="1" applyFill="1" applyBorder="1" applyAlignment="1">
      <alignment horizontal="left"/>
    </xf>
    <xf numFmtId="0" fontId="31" fillId="5" borderId="56" xfId="0" applyFont="1" applyFill="1" applyBorder="1"/>
    <xf numFmtId="0" fontId="31" fillId="5" borderId="7" xfId="0" applyFont="1" applyFill="1" applyBorder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vertical="top" wrapText="1"/>
    </xf>
    <xf numFmtId="0" fontId="31" fillId="0" borderId="0" xfId="0" applyFont="1"/>
    <xf numFmtId="0" fontId="9" fillId="5" borderId="0" xfId="0" applyFont="1" applyFill="1" applyAlignment="1">
      <alignment horizontal="center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vertical="top" wrapText="1"/>
    </xf>
    <xf numFmtId="0" fontId="31" fillId="5" borderId="0" xfId="0" applyFont="1" applyFill="1"/>
    <xf numFmtId="165" fontId="1" fillId="0" borderId="8" xfId="2" applyNumberFormat="1" applyBorder="1" applyAlignment="1">
      <alignment horizontal="right" textRotation="90"/>
    </xf>
    <xf numFmtId="166" fontId="2" fillId="0" borderId="15" xfId="2" applyNumberFormat="1" applyFont="1" applyBorder="1" applyAlignment="1">
      <alignment horizontal="right" textRotation="90"/>
    </xf>
    <xf numFmtId="0" fontId="7" fillId="0" borderId="33" xfId="3" applyFont="1" applyBorder="1" applyAlignment="1">
      <alignment horizontal="right"/>
    </xf>
    <xf numFmtId="0" fontId="1" fillId="5" borderId="18" xfId="2" applyFill="1" applyBorder="1"/>
    <xf numFmtId="0" fontId="6" fillId="0" borderId="57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1" fillId="5" borderId="3" xfId="2" applyFill="1" applyBorder="1"/>
    <xf numFmtId="0" fontId="1" fillId="5" borderId="6" xfId="2" applyFill="1" applyBorder="1"/>
    <xf numFmtId="0" fontId="6" fillId="0" borderId="5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5" borderId="59" xfId="0" applyFont="1" applyFill="1" applyBorder="1" applyAlignment="1">
      <alignment horizontal="center" vertical="center"/>
    </xf>
    <xf numFmtId="0" fontId="6" fillId="0" borderId="2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0" borderId="0" xfId="3" applyFont="1" applyAlignment="1">
      <alignment horizontal="left"/>
    </xf>
    <xf numFmtId="0" fontId="5" fillId="0" borderId="0" xfId="3" applyFont="1" applyAlignment="1">
      <alignment horizontal="right"/>
    </xf>
    <xf numFmtId="0" fontId="22" fillId="0" borderId="0" xfId="0" applyFont="1" applyAlignment="1">
      <alignment horizontal="center" vertical="center"/>
    </xf>
    <xf numFmtId="0" fontId="5" fillId="0" borderId="0" xfId="3" applyFont="1"/>
    <xf numFmtId="0" fontId="9" fillId="0" borderId="0" xfId="0" applyFont="1" applyAlignment="1">
      <alignment horizontal="center" vertical="center"/>
    </xf>
    <xf numFmtId="0" fontId="9" fillId="0" borderId="32" xfId="0" applyFont="1" applyBorder="1"/>
    <xf numFmtId="0" fontId="9" fillId="0" borderId="21" xfId="0" applyFont="1" applyBorder="1"/>
    <xf numFmtId="0" fontId="9" fillId="0" borderId="0" xfId="0" applyFont="1"/>
    <xf numFmtId="0" fontId="9" fillId="0" borderId="22" xfId="0" applyFont="1" applyBorder="1"/>
    <xf numFmtId="0" fontId="13" fillId="0" borderId="24" xfId="3" applyFont="1" applyBorder="1" applyAlignment="1">
      <alignment horizontal="center" vertical="center"/>
    </xf>
    <xf numFmtId="166" fontId="2" fillId="0" borderId="0" xfId="2" applyNumberFormat="1" applyFont="1" applyAlignment="1">
      <alignment horizontal="right" textRotation="90"/>
    </xf>
    <xf numFmtId="0" fontId="3" fillId="9" borderId="33" xfId="3" applyFont="1" applyFill="1" applyBorder="1" applyAlignment="1">
      <alignment horizontal="left"/>
    </xf>
    <xf numFmtId="0" fontId="3" fillId="11" borderId="35" xfId="3" applyFont="1" applyFill="1" applyBorder="1" applyAlignment="1">
      <alignment horizontal="left"/>
    </xf>
    <xf numFmtId="0" fontId="3" fillId="9" borderId="35" xfId="3" applyFont="1" applyFill="1" applyBorder="1" applyAlignment="1">
      <alignment horizontal="left"/>
    </xf>
    <xf numFmtId="0" fontId="3" fillId="12" borderId="35" xfId="3" applyFont="1" applyFill="1" applyBorder="1" applyAlignment="1">
      <alignment horizontal="left"/>
    </xf>
    <xf numFmtId="0" fontId="6" fillId="7" borderId="23" xfId="0" applyFont="1" applyFill="1" applyBorder="1" applyAlignment="1">
      <alignment horizontal="center" vertical="center"/>
    </xf>
    <xf numFmtId="0" fontId="6" fillId="16" borderId="2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6" fillId="16" borderId="2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13" borderId="35" xfId="3" applyFont="1" applyFill="1" applyBorder="1" applyAlignment="1">
      <alignment horizontal="left"/>
    </xf>
    <xf numFmtId="0" fontId="6" fillId="0" borderId="60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3" fillId="11" borderId="36" xfId="3" applyFont="1" applyFill="1" applyBorder="1" applyAlignment="1">
      <alignment horizontal="left"/>
    </xf>
    <xf numFmtId="0" fontId="7" fillId="0" borderId="55" xfId="3" applyFont="1" applyBorder="1" applyAlignment="1">
      <alignment horizontal="left" vertical="top"/>
    </xf>
    <xf numFmtId="0" fontId="6" fillId="5" borderId="0" xfId="0" applyFont="1" applyFill="1" applyAlignment="1">
      <alignment horizontal="center" vertical="center"/>
    </xf>
    <xf numFmtId="0" fontId="3" fillId="0" borderId="7" xfId="0" applyFont="1" applyBorder="1"/>
    <xf numFmtId="0" fontId="3" fillId="10" borderId="7" xfId="0" applyFont="1" applyFill="1" applyBorder="1"/>
    <xf numFmtId="0" fontId="3" fillId="0" borderId="8" xfId="0" applyFont="1" applyBorder="1"/>
    <xf numFmtId="0" fontId="3" fillId="10" borderId="8" xfId="0" applyFont="1" applyFill="1" applyBorder="1"/>
    <xf numFmtId="0" fontId="0" fillId="0" borderId="64" xfId="0" applyBorder="1"/>
    <xf numFmtId="0" fontId="0" fillId="10" borderId="64" xfId="0" applyFill="1" applyBorder="1"/>
    <xf numFmtId="0" fontId="0" fillId="0" borderId="33" xfId="0" applyBorder="1"/>
    <xf numFmtId="0" fontId="0" fillId="10" borderId="33" xfId="0" applyFill="1" applyBorder="1"/>
    <xf numFmtId="0" fontId="0" fillId="0" borderId="35" xfId="0" applyBorder="1"/>
    <xf numFmtId="0" fontId="0" fillId="10" borderId="35" xfId="0" applyFill="1" applyBorder="1"/>
    <xf numFmtId="0" fontId="0" fillId="0" borderId="36" xfId="0" applyBorder="1"/>
    <xf numFmtId="0" fontId="0" fillId="10" borderId="36" xfId="0" applyFill="1" applyBorder="1"/>
    <xf numFmtId="0" fontId="0" fillId="0" borderId="40" xfId="0" applyBorder="1"/>
    <xf numFmtId="0" fontId="0" fillId="0" borderId="53" xfId="0" applyBorder="1"/>
    <xf numFmtId="0" fontId="0" fillId="0" borderId="54" xfId="0" applyBorder="1"/>
    <xf numFmtId="0" fontId="0" fillId="0" borderId="49" xfId="0" applyBorder="1"/>
    <xf numFmtId="0" fontId="0" fillId="0" borderId="65" xfId="0" applyBorder="1"/>
    <xf numFmtId="0" fontId="0" fillId="0" borderId="55" xfId="0" applyBorder="1"/>
    <xf numFmtId="0" fontId="3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0" borderId="33" xfId="0" applyFont="1" applyBorder="1"/>
    <xf numFmtId="0" fontId="3" fillId="0" borderId="35" xfId="0" applyFont="1" applyBorder="1"/>
    <xf numFmtId="0" fontId="3" fillId="0" borderId="36" xfId="0" applyFont="1" applyBorder="1"/>
    <xf numFmtId="0" fontId="7" fillId="5" borderId="7" xfId="0" applyFont="1" applyFill="1" applyBorder="1" applyAlignment="1">
      <alignment vertical="top" wrapText="1"/>
    </xf>
    <xf numFmtId="165" fontId="1" fillId="0" borderId="8" xfId="2" applyNumberFormat="1" applyBorder="1" applyAlignment="1">
      <alignment horizontal="right" textRotation="90" wrapText="1"/>
    </xf>
    <xf numFmtId="166" fontId="2" fillId="3" borderId="13" xfId="2" applyNumberFormat="1" applyFont="1" applyFill="1" applyBorder="1" applyAlignment="1">
      <alignment horizontal="right" textRotation="90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60" xfId="0" applyFont="1" applyFill="1" applyBorder="1" applyAlignment="1">
      <alignment horizontal="center" vertical="center"/>
    </xf>
    <xf numFmtId="0" fontId="6" fillId="3" borderId="62" xfId="0" applyFont="1" applyFill="1" applyBorder="1" applyAlignment="1">
      <alignment horizontal="center" vertical="center"/>
    </xf>
    <xf numFmtId="0" fontId="1" fillId="19" borderId="0" xfId="2" applyFill="1"/>
    <xf numFmtId="0" fontId="6" fillId="5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66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52" xfId="0" applyFont="1" applyFill="1" applyBorder="1" applyAlignment="1">
      <alignment horizontal="center" vertical="center"/>
    </xf>
    <xf numFmtId="0" fontId="2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6" fillId="0" borderId="0" xfId="2" applyFont="1"/>
    <xf numFmtId="0" fontId="18" fillId="20" borderId="0" xfId="3" applyFont="1" applyFill="1" applyAlignment="1">
      <alignment horizontal="center" vertical="center"/>
    </xf>
    <xf numFmtId="0" fontId="17" fillId="20" borderId="21" xfId="2" applyFont="1" applyFill="1" applyBorder="1"/>
    <xf numFmtId="0" fontId="17" fillId="20" borderId="0" xfId="2" applyFont="1" applyFill="1" applyAlignment="1">
      <alignment horizontal="left"/>
    </xf>
    <xf numFmtId="0" fontId="17" fillId="20" borderId="22" xfId="2" applyFont="1" applyFill="1" applyBorder="1" applyAlignment="1">
      <alignment horizontal="left"/>
    </xf>
    <xf numFmtId="0" fontId="17" fillId="20" borderId="21" xfId="2" applyFont="1" applyFill="1" applyBorder="1" applyAlignment="1">
      <alignment horizontal="left"/>
    </xf>
    <xf numFmtId="0" fontId="1" fillId="20" borderId="0" xfId="2" applyFill="1"/>
    <xf numFmtId="0" fontId="17" fillId="20" borderId="22" xfId="0" applyFont="1" applyFill="1" applyBorder="1" applyAlignment="1">
      <alignment horizontal="center" vertical="center"/>
    </xf>
    <xf numFmtId="0" fontId="17" fillId="20" borderId="0" xfId="0" applyFont="1" applyFill="1" applyAlignment="1">
      <alignment horizontal="center" vertical="center"/>
    </xf>
    <xf numFmtId="0" fontId="17" fillId="20" borderId="0" xfId="0" applyFont="1" applyFill="1"/>
    <xf numFmtId="0" fontId="0" fillId="20" borderId="0" xfId="0" applyFill="1" applyAlignment="1">
      <alignment horizontal="center" vertical="center"/>
    </xf>
    <xf numFmtId="0" fontId="3" fillId="11" borderId="33" xfId="3" applyFont="1" applyFill="1" applyBorder="1" applyAlignment="1">
      <alignment horizontal="left"/>
    </xf>
    <xf numFmtId="0" fontId="6" fillId="0" borderId="43" xfId="0" applyFont="1" applyBorder="1" applyAlignment="1">
      <alignment horizontal="center" vertical="center"/>
    </xf>
    <xf numFmtId="0" fontId="6" fillId="22" borderId="23" xfId="0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center" vertical="center"/>
    </xf>
    <xf numFmtId="0" fontId="6" fillId="0" borderId="51" xfId="0" applyFont="1" applyBorder="1" applyAlignment="1">
      <alignment vertical="center"/>
    </xf>
    <xf numFmtId="0" fontId="6" fillId="0" borderId="46" xfId="0" applyFont="1" applyBorder="1" applyAlignment="1">
      <alignment horizontal="center" vertical="center"/>
    </xf>
    <xf numFmtId="0" fontId="1" fillId="3" borderId="29" xfId="2" applyFill="1" applyBorder="1"/>
    <xf numFmtId="0" fontId="6" fillId="3" borderId="67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7" fillId="0" borderId="7" xfId="0" applyFont="1" applyBorder="1" applyAlignment="1">
      <alignment vertical="top" wrapText="1"/>
    </xf>
    <xf numFmtId="0" fontId="31" fillId="0" borderId="36" xfId="0" applyFont="1" applyBorder="1"/>
    <xf numFmtId="166" fontId="2" fillId="5" borderId="13" xfId="2" applyNumberFormat="1" applyFont="1" applyFill="1" applyBorder="1" applyAlignment="1">
      <alignment horizontal="right" textRotation="90"/>
    </xf>
    <xf numFmtId="166" fontId="2" fillId="5" borderId="9" xfId="2" applyNumberFormat="1" applyFont="1" applyFill="1" applyBorder="1" applyAlignment="1">
      <alignment horizontal="right" textRotation="90"/>
    </xf>
    <xf numFmtId="0" fontId="35" fillId="0" borderId="0" xfId="2" applyFont="1"/>
    <xf numFmtId="0" fontId="6" fillId="5" borderId="16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 vertical="center"/>
    </xf>
    <xf numFmtId="0" fontId="1" fillId="0" borderId="18" xfId="2" applyBorder="1"/>
    <xf numFmtId="0" fontId="1" fillId="0" borderId="57" xfId="2" applyBorder="1"/>
    <xf numFmtId="0" fontId="6" fillId="3" borderId="57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5" borderId="60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2" applyFont="1"/>
    <xf numFmtId="0" fontId="35" fillId="0" borderId="0" xfId="0" applyFont="1" applyAlignment="1">
      <alignment horizontal="center" vertical="center"/>
    </xf>
    <xf numFmtId="0" fontId="39" fillId="0" borderId="0" xfId="2" applyFont="1"/>
    <xf numFmtId="0" fontId="6" fillId="5" borderId="62" xfId="0" applyFont="1" applyFill="1" applyBorder="1" applyAlignment="1">
      <alignment horizontal="center" vertical="center"/>
    </xf>
    <xf numFmtId="0" fontId="6" fillId="3" borderId="58" xfId="0" applyFont="1" applyFill="1" applyBorder="1" applyAlignment="1">
      <alignment horizontal="center" vertical="center"/>
    </xf>
    <xf numFmtId="0" fontId="6" fillId="3" borderId="61" xfId="0" applyFont="1" applyFill="1" applyBorder="1" applyAlignment="1">
      <alignment horizontal="center" vertical="center"/>
    </xf>
    <xf numFmtId="0" fontId="6" fillId="3" borderId="46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0" fontId="6" fillId="3" borderId="69" xfId="0" applyFont="1" applyFill="1" applyBorder="1" applyAlignment="1">
      <alignment horizontal="center" vertical="center"/>
    </xf>
    <xf numFmtId="0" fontId="6" fillId="3" borderId="7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6" fillId="5" borderId="70" xfId="0" applyFont="1" applyFill="1" applyBorder="1" applyAlignment="1">
      <alignment horizontal="center" vertical="center"/>
    </xf>
    <xf numFmtId="0" fontId="6" fillId="3" borderId="63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5" borderId="39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5" borderId="46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17" fillId="0" borderId="39" xfId="2" applyFont="1" applyBorder="1"/>
    <xf numFmtId="0" fontId="17" fillId="0" borderId="39" xfId="2" applyFont="1" applyBorder="1" applyAlignment="1">
      <alignment horizontal="left"/>
    </xf>
    <xf numFmtId="0" fontId="17" fillId="0" borderId="39" xfId="0" applyFont="1" applyBorder="1" applyAlignment="1">
      <alignment horizontal="center" vertical="center"/>
    </xf>
    <xf numFmtId="0" fontId="40" fillId="0" borderId="0" xfId="0" applyFont="1"/>
    <xf numFmtId="0" fontId="40" fillId="0" borderId="33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1" fillId="0" borderId="6" xfId="2" applyBorder="1"/>
    <xf numFmtId="0" fontId="6" fillId="0" borderId="70" xfId="0" applyFont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0" fillId="10" borderId="0" xfId="3" applyFont="1" applyFill="1"/>
    <xf numFmtId="0" fontId="0" fillId="10" borderId="0" xfId="0" applyFill="1" applyAlignment="1">
      <alignment horizontal="center" vertical="center"/>
    </xf>
    <xf numFmtId="0" fontId="1" fillId="0" borderId="39" xfId="2" applyBorder="1"/>
    <xf numFmtId="0" fontId="0" fillId="0" borderId="39" xfId="0" applyBorder="1" applyAlignment="1">
      <alignment horizontal="center" vertical="center"/>
    </xf>
    <xf numFmtId="0" fontId="6" fillId="0" borderId="0" xfId="0" applyFont="1"/>
    <xf numFmtId="166" fontId="2" fillId="3" borderId="9" xfId="2" applyNumberFormat="1" applyFont="1" applyFill="1" applyBorder="1" applyAlignment="1">
      <alignment horizontal="right" textRotation="90"/>
    </xf>
    <xf numFmtId="166" fontId="2" fillId="5" borderId="72" xfId="2" applyNumberFormat="1" applyFont="1" applyFill="1" applyBorder="1" applyAlignment="1">
      <alignment horizontal="right" textRotation="90"/>
    </xf>
    <xf numFmtId="0" fontId="4" fillId="0" borderId="72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19" borderId="33" xfId="0" applyFont="1" applyFill="1" applyBorder="1" applyAlignment="1">
      <alignment horizontal="center" vertical="center"/>
    </xf>
    <xf numFmtId="0" fontId="7" fillId="0" borderId="41" xfId="3" applyFont="1" applyBorder="1" applyAlignment="1">
      <alignment horizontal="left" vertical="top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19" borderId="3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7" fillId="0" borderId="7" xfId="3" applyFont="1" applyBorder="1" applyAlignment="1">
      <alignment horizontal="right"/>
    </xf>
    <xf numFmtId="0" fontId="6" fillId="0" borderId="67" xfId="0" applyFont="1" applyBorder="1" applyAlignment="1">
      <alignment horizontal="center" vertical="center"/>
    </xf>
    <xf numFmtId="0" fontId="6" fillId="19" borderId="36" xfId="0" applyFont="1" applyFill="1" applyBorder="1" applyAlignment="1">
      <alignment horizontal="center" vertical="center"/>
    </xf>
    <xf numFmtId="0" fontId="7" fillId="0" borderId="11" xfId="3" applyFont="1" applyBorder="1" applyAlignment="1">
      <alignment horizontal="left" vertical="top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3" fillId="0" borderId="46" xfId="3" applyFont="1" applyBorder="1" applyAlignment="1">
      <alignment horizontal="center" vertical="center"/>
    </xf>
    <xf numFmtId="0" fontId="13" fillId="0" borderId="44" xfId="3" applyFont="1" applyBorder="1" applyAlignment="1">
      <alignment horizontal="center" vertical="center"/>
    </xf>
    <xf numFmtId="0" fontId="13" fillId="0" borderId="70" xfId="3" applyFont="1" applyBorder="1" applyAlignment="1">
      <alignment horizontal="center" vertical="center"/>
    </xf>
    <xf numFmtId="0" fontId="13" fillId="0" borderId="1" xfId="3" applyFont="1" applyBorder="1" applyAlignment="1">
      <alignment horizontal="center" vertical="center"/>
    </xf>
    <xf numFmtId="0" fontId="12" fillId="0" borderId="0" xfId="3" applyFont="1" applyAlignment="1">
      <alignment horizontal="right"/>
    </xf>
    <xf numFmtId="0" fontId="15" fillId="0" borderId="0" xfId="3" applyFont="1" applyAlignment="1">
      <alignment horizontal="right"/>
    </xf>
    <xf numFmtId="0" fontId="1" fillId="0" borderId="0" xfId="2" applyAlignment="1">
      <alignment horizontal="right" textRotation="90" wrapText="1"/>
    </xf>
    <xf numFmtId="166" fontId="2" fillId="23" borderId="13" xfId="2" applyNumberFormat="1" applyFont="1" applyFill="1" applyBorder="1" applyAlignment="1">
      <alignment horizontal="right" textRotation="90"/>
    </xf>
    <xf numFmtId="0" fontId="4" fillId="0" borderId="4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66" xfId="0" applyFont="1" applyBorder="1"/>
    <xf numFmtId="0" fontId="1" fillId="0" borderId="0" xfId="2" applyAlignment="1">
      <alignment horizontal="right" textRotation="90"/>
    </xf>
    <xf numFmtId="0" fontId="3" fillId="0" borderId="16" xfId="3" applyFont="1" applyBorder="1"/>
    <xf numFmtId="0" fontId="6" fillId="23" borderId="17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6" fillId="23" borderId="23" xfId="0" applyFont="1" applyFill="1" applyBorder="1" applyAlignment="1">
      <alignment horizontal="center" vertical="center"/>
    </xf>
    <xf numFmtId="0" fontId="1" fillId="23" borderId="24" xfId="2" applyFill="1" applyBorder="1"/>
    <xf numFmtId="0" fontId="42" fillId="0" borderId="23" xfId="0" applyFont="1" applyBorder="1" applyAlignment="1">
      <alignment horizontal="center" vertical="center"/>
    </xf>
    <xf numFmtId="0" fontId="1" fillId="5" borderId="1" xfId="2" applyFill="1" applyBorder="1"/>
    <xf numFmtId="0" fontId="1" fillId="5" borderId="7" xfId="2" applyFill="1" applyBorder="1"/>
    <xf numFmtId="0" fontId="7" fillId="0" borderId="65" xfId="3" applyFont="1" applyBorder="1" applyAlignment="1">
      <alignment horizontal="left" vertical="top"/>
    </xf>
    <xf numFmtId="0" fontId="3" fillId="0" borderId="28" xfId="0" applyFont="1" applyBorder="1" applyAlignment="1">
      <alignment horizontal="center" vertical="center"/>
    </xf>
    <xf numFmtId="0" fontId="12" fillId="0" borderId="70" xfId="3" applyFont="1" applyBorder="1" applyAlignment="1">
      <alignment horizontal="right"/>
    </xf>
    <xf numFmtId="0" fontId="15" fillId="0" borderId="59" xfId="3" applyFont="1" applyBorder="1" applyAlignment="1">
      <alignment horizontal="right"/>
    </xf>
    <xf numFmtId="0" fontId="18" fillId="7" borderId="55" xfId="3" applyFont="1" applyFill="1" applyBorder="1" applyAlignment="1">
      <alignment horizontal="center" vertical="center"/>
    </xf>
    <xf numFmtId="0" fontId="18" fillId="7" borderId="22" xfId="3" applyFont="1" applyFill="1" applyBorder="1" applyAlignment="1">
      <alignment horizontal="center" vertical="center"/>
    </xf>
    <xf numFmtId="0" fontId="18" fillId="7" borderId="53" xfId="3" applyFont="1" applyFill="1" applyBorder="1" applyAlignment="1">
      <alignment horizontal="center" vertical="center"/>
    </xf>
    <xf numFmtId="0" fontId="18" fillId="8" borderId="55" xfId="3" applyFont="1" applyFill="1" applyBorder="1" applyAlignment="1">
      <alignment horizontal="center" vertical="center"/>
    </xf>
    <xf numFmtId="0" fontId="18" fillId="8" borderId="22" xfId="3" applyFont="1" applyFill="1" applyBorder="1" applyAlignment="1">
      <alignment horizontal="center" vertical="center"/>
    </xf>
    <xf numFmtId="0" fontId="18" fillId="8" borderId="53" xfId="3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left"/>
    </xf>
    <xf numFmtId="0" fontId="7" fillId="0" borderId="16" xfId="0" applyFont="1" applyBorder="1" applyAlignment="1">
      <alignment wrapText="1"/>
    </xf>
    <xf numFmtId="0" fontId="0" fillId="0" borderId="4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31" xfId="0" applyBorder="1" applyAlignment="1">
      <alignment horizontal="left"/>
    </xf>
    <xf numFmtId="0" fontId="7" fillId="0" borderId="16" xfId="3" applyFont="1" applyBorder="1" applyAlignment="1">
      <alignment horizontal="right"/>
    </xf>
    <xf numFmtId="0" fontId="6" fillId="4" borderId="19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20" fillId="0" borderId="42" xfId="2" applyFont="1" applyBorder="1" applyAlignment="1">
      <alignment horizontal="left"/>
    </xf>
    <xf numFmtId="0" fontId="20" fillId="0" borderId="44" xfId="2" applyFont="1" applyBorder="1" applyAlignment="1">
      <alignment horizontal="left"/>
    </xf>
    <xf numFmtId="0" fontId="17" fillId="0" borderId="49" xfId="2" applyFont="1" applyBorder="1"/>
    <xf numFmtId="0" fontId="17" fillId="0" borderId="55" xfId="2" applyFont="1" applyBorder="1" applyAlignment="1">
      <alignment horizontal="left"/>
    </xf>
    <xf numFmtId="0" fontId="2" fillId="8" borderId="16" xfId="2" applyFont="1" applyFill="1" applyBorder="1" applyAlignment="1">
      <alignment horizontal="left"/>
    </xf>
    <xf numFmtId="0" fontId="1" fillId="3" borderId="8" xfId="2" applyFill="1" applyBorder="1" applyAlignment="1">
      <alignment horizontal="left"/>
    </xf>
    <xf numFmtId="0" fontId="17" fillId="0" borderId="21" xfId="2" applyFont="1" applyBorder="1"/>
    <xf numFmtId="0" fontId="17" fillId="0" borderId="22" xfId="2" applyFont="1" applyBorder="1" applyAlignment="1">
      <alignment horizontal="left"/>
    </xf>
    <xf numFmtId="0" fontId="1" fillId="3" borderId="42" xfId="2" applyFill="1" applyBorder="1" applyAlignment="1">
      <alignment horizontal="left"/>
    </xf>
    <xf numFmtId="0" fontId="17" fillId="0" borderId="54" xfId="2" applyFont="1" applyBorder="1"/>
    <xf numFmtId="0" fontId="17" fillId="0" borderId="53" xfId="2" applyFont="1" applyBorder="1" applyAlignment="1">
      <alignment horizontal="left"/>
    </xf>
    <xf numFmtId="0" fontId="1" fillId="3" borderId="44" xfId="2" applyFill="1" applyBorder="1" applyAlignment="1">
      <alignment horizontal="left"/>
    </xf>
    <xf numFmtId="0" fontId="6" fillId="4" borderId="7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2" fillId="7" borderId="16" xfId="2" applyFont="1" applyFill="1" applyBorder="1"/>
    <xf numFmtId="0" fontId="2" fillId="7" borderId="41" xfId="2" applyFont="1" applyFill="1" applyBorder="1"/>
    <xf numFmtId="0" fontId="2" fillId="7" borderId="20" xfId="2" applyFont="1" applyFill="1" applyBorder="1"/>
    <xf numFmtId="0" fontId="17" fillId="0" borderId="4" xfId="2" applyFont="1" applyBorder="1"/>
    <xf numFmtId="0" fontId="17" fillId="0" borderId="43" xfId="2" applyFont="1" applyBorder="1"/>
    <xf numFmtId="0" fontId="17" fillId="0" borderId="25" xfId="2" applyFont="1" applyBorder="1"/>
    <xf numFmtId="0" fontId="17" fillId="0" borderId="5" xfId="2" applyFont="1" applyBorder="1"/>
    <xf numFmtId="0" fontId="17" fillId="0" borderId="45" xfId="2" applyFont="1" applyBorder="1"/>
    <xf numFmtId="0" fontId="17" fillId="0" borderId="31" xfId="2" applyFont="1" applyBorder="1"/>
    <xf numFmtId="0" fontId="17" fillId="8" borderId="16" xfId="2" applyFont="1" applyFill="1" applyBorder="1"/>
    <xf numFmtId="0" fontId="2" fillId="8" borderId="41" xfId="2" applyFont="1" applyFill="1" applyBorder="1"/>
    <xf numFmtId="0" fontId="2" fillId="8" borderId="20" xfId="2" applyFont="1" applyFill="1" applyBorder="1"/>
    <xf numFmtId="0" fontId="2" fillId="8" borderId="16" xfId="2" applyFont="1" applyFill="1" applyBorder="1"/>
    <xf numFmtId="0" fontId="6" fillId="24" borderId="18" xfId="0" applyFont="1" applyFill="1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0" fontId="6" fillId="10" borderId="24" xfId="0" applyFont="1" applyFill="1" applyBorder="1" applyAlignment="1">
      <alignment horizontal="center" vertical="center"/>
    </xf>
    <xf numFmtId="0" fontId="6" fillId="24" borderId="29" xfId="0" applyFont="1" applyFill="1" applyBorder="1" applyAlignment="1">
      <alignment horizontal="center" vertical="center"/>
    </xf>
    <xf numFmtId="0" fontId="6" fillId="10" borderId="30" xfId="0" applyFont="1" applyFill="1" applyBorder="1" applyAlignment="1">
      <alignment horizontal="center" vertical="center"/>
    </xf>
    <xf numFmtId="166" fontId="2" fillId="24" borderId="9" xfId="2" applyNumberFormat="1" applyFont="1" applyFill="1" applyBorder="1" applyAlignment="1">
      <alignment horizontal="right" textRotation="90"/>
    </xf>
    <xf numFmtId="0" fontId="2" fillId="7" borderId="0" xfId="2" applyFont="1" applyFill="1"/>
    <xf numFmtId="0" fontId="17" fillId="0" borderId="17" xfId="2" applyFont="1" applyBorder="1" applyAlignment="1">
      <alignment horizontal="center"/>
    </xf>
    <xf numFmtId="0" fontId="17" fillId="0" borderId="23" xfId="2" applyFont="1" applyBorder="1" applyAlignment="1">
      <alignment horizontal="center"/>
    </xf>
    <xf numFmtId="0" fontId="17" fillId="0" borderId="28" xfId="2" applyFont="1" applyBorder="1" applyAlignment="1">
      <alignment horizontal="center"/>
    </xf>
    <xf numFmtId="0" fontId="6" fillId="10" borderId="2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3" fillId="0" borderId="4" xfId="3" applyFont="1" applyBorder="1" applyAlignment="1">
      <alignment horizontal="left"/>
    </xf>
    <xf numFmtId="0" fontId="44" fillId="0" borderId="4" xfId="3" applyFont="1" applyBorder="1" applyAlignment="1">
      <alignment horizontal="left"/>
    </xf>
    <xf numFmtId="0" fontId="8" fillId="4" borderId="3" xfId="0" applyFont="1" applyFill="1" applyBorder="1" applyAlignment="1">
      <alignment horizontal="center" vertical="center"/>
    </xf>
    <xf numFmtId="0" fontId="45" fillId="0" borderId="4" xfId="3" applyFont="1" applyBorder="1" applyAlignment="1">
      <alignment horizontal="left"/>
    </xf>
    <xf numFmtId="0" fontId="6" fillId="4" borderId="3" xfId="0" applyFont="1" applyFill="1" applyBorder="1" applyAlignment="1">
      <alignment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61" xfId="0" applyFont="1" applyFill="1" applyBorder="1" applyAlignment="1">
      <alignment horizontal="center" vertical="center"/>
    </xf>
    <xf numFmtId="0" fontId="6" fillId="4" borderId="63" xfId="0" applyFont="1" applyFill="1" applyBorder="1" applyAlignment="1">
      <alignment horizontal="center" vertical="center"/>
    </xf>
    <xf numFmtId="0" fontId="43" fillId="0" borderId="5" xfId="3" applyFont="1" applyBorder="1" applyAlignment="1">
      <alignment horizontal="left"/>
    </xf>
    <xf numFmtId="0" fontId="0" fillId="11" borderId="35" xfId="3" applyFont="1" applyFill="1" applyBorder="1" applyAlignment="1">
      <alignment horizontal="left"/>
    </xf>
    <xf numFmtId="0" fontId="0" fillId="9" borderId="35" xfId="3" applyFont="1" applyFill="1" applyBorder="1" applyAlignment="1">
      <alignment horizontal="left"/>
    </xf>
    <xf numFmtId="0" fontId="0" fillId="12" borderId="35" xfId="3" applyFont="1" applyFill="1" applyBorder="1" applyAlignment="1">
      <alignment horizontal="left"/>
    </xf>
    <xf numFmtId="0" fontId="48" fillId="12" borderId="35" xfId="3" applyFont="1" applyFill="1" applyBorder="1" applyAlignment="1">
      <alignment horizontal="left"/>
    </xf>
    <xf numFmtId="0" fontId="49" fillId="11" borderId="35" xfId="3" applyFont="1" applyFill="1" applyBorder="1" applyAlignment="1">
      <alignment horizontal="left"/>
    </xf>
    <xf numFmtId="0" fontId="49" fillId="12" borderId="35" xfId="3" applyFont="1" applyFill="1" applyBorder="1" applyAlignment="1">
      <alignment horizontal="left"/>
    </xf>
    <xf numFmtId="0" fontId="0" fillId="13" borderId="35" xfId="3" applyFont="1" applyFill="1" applyBorder="1" applyAlignment="1">
      <alignment horizontal="left"/>
    </xf>
    <xf numFmtId="0" fontId="50" fillId="9" borderId="35" xfId="3" applyFont="1" applyFill="1" applyBorder="1" applyAlignment="1">
      <alignment horizontal="left"/>
    </xf>
    <xf numFmtId="0" fontId="48" fillId="9" borderId="35" xfId="3" applyFont="1" applyFill="1" applyBorder="1" applyAlignment="1">
      <alignment horizontal="left"/>
    </xf>
    <xf numFmtId="0" fontId="0" fillId="11" borderId="36" xfId="3" applyFont="1" applyFill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6" fillId="4" borderId="73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1" fillId="0" borderId="74" xfId="0" applyFont="1" applyBorder="1" applyAlignment="1">
      <alignment horizontal="center" vertical="center"/>
    </xf>
    <xf numFmtId="0" fontId="51" fillId="0" borderId="75" xfId="0" applyFont="1" applyBorder="1" applyAlignment="1">
      <alignment horizontal="center" vertical="center"/>
    </xf>
    <xf numFmtId="0" fontId="51" fillId="0" borderId="76" xfId="0" applyFont="1" applyBorder="1" applyAlignment="1">
      <alignment horizontal="center" vertical="center"/>
    </xf>
    <xf numFmtId="0" fontId="6" fillId="4" borderId="58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60" xfId="0" applyFont="1" applyFill="1" applyBorder="1" applyAlignment="1">
      <alignment horizontal="center" vertical="center"/>
    </xf>
    <xf numFmtId="0" fontId="51" fillId="0" borderId="77" xfId="0" applyFont="1" applyBorder="1" applyAlignment="1">
      <alignment horizontal="center" vertical="center"/>
    </xf>
    <xf numFmtId="0" fontId="51" fillId="0" borderId="78" xfId="0" applyFont="1" applyBorder="1" applyAlignment="1">
      <alignment horizontal="center" vertical="center"/>
    </xf>
    <xf numFmtId="0" fontId="51" fillId="0" borderId="79" xfId="0" applyFont="1" applyBorder="1" applyAlignment="1">
      <alignment horizontal="center" vertical="center"/>
    </xf>
    <xf numFmtId="0" fontId="6" fillId="4" borderId="57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3" fillId="0" borderId="9" xfId="2" applyNumberFormat="1" applyFont="1" applyBorder="1" applyAlignment="1">
      <alignment horizontal="center" vertical="center" textRotation="90"/>
    </xf>
    <xf numFmtId="164" fontId="3" fillId="4" borderId="9" xfId="2" applyNumberFormat="1" applyFont="1" applyFill="1" applyBorder="1" applyAlignment="1">
      <alignment horizontal="center" vertical="center" textRotation="90"/>
    </xf>
    <xf numFmtId="0" fontId="0" fillId="29" borderId="4" xfId="0" applyFill="1" applyBorder="1" applyAlignment="1">
      <alignment horizontal="center"/>
    </xf>
    <xf numFmtId="0" fontId="0" fillId="29" borderId="20" xfId="0" applyFill="1" applyBorder="1" applyAlignment="1">
      <alignment horizontal="left"/>
    </xf>
    <xf numFmtId="0" fontId="7" fillId="29" borderId="16" xfId="0" applyFont="1" applyFill="1" applyBorder="1" applyAlignment="1">
      <alignment wrapText="1"/>
    </xf>
    <xf numFmtId="0" fontId="6" fillId="4" borderId="26" xfId="0" applyFont="1" applyFill="1" applyBorder="1" applyAlignment="1">
      <alignment vertical="center"/>
    </xf>
    <xf numFmtId="0" fontId="6" fillId="30" borderId="26" xfId="0" applyFont="1" applyFill="1" applyBorder="1" applyAlignment="1">
      <alignment vertical="center"/>
    </xf>
    <xf numFmtId="0" fontId="55" fillId="5" borderId="16" xfId="0" applyFont="1" applyFill="1" applyBorder="1" applyAlignment="1">
      <alignment vertical="top" wrapText="1"/>
    </xf>
    <xf numFmtId="0" fontId="55" fillId="5" borderId="33" xfId="0" applyFont="1" applyFill="1" applyBorder="1"/>
    <xf numFmtId="0" fontId="55" fillId="0" borderId="16" xfId="0" applyFont="1" applyBorder="1" applyAlignment="1">
      <alignment vertical="top" wrapText="1"/>
    </xf>
    <xf numFmtId="166" fontId="56" fillId="0" borderId="35" xfId="0" applyNumberFormat="1" applyFont="1" applyBorder="1"/>
    <xf numFmtId="0" fontId="56" fillId="0" borderId="35" xfId="0" applyFont="1" applyBorder="1"/>
    <xf numFmtId="0" fontId="56" fillId="5" borderId="35" xfId="0" applyFont="1" applyFill="1" applyBorder="1"/>
    <xf numFmtId="0" fontId="14" fillId="28" borderId="50" xfId="0" applyFont="1" applyFill="1" applyBorder="1" applyAlignment="1">
      <alignment horizontal="center" vertical="center" wrapText="1"/>
    </xf>
    <xf numFmtId="0" fontId="19" fillId="32" borderId="0" xfId="3" applyFont="1" applyFill="1" applyAlignment="1">
      <alignment horizontal="center"/>
    </xf>
    <xf numFmtId="0" fontId="19" fillId="33" borderId="0" xfId="3" applyFont="1" applyFill="1" applyAlignment="1">
      <alignment horizontal="center"/>
    </xf>
    <xf numFmtId="165" fontId="57" fillId="0" borderId="8" xfId="2" applyNumberFormat="1" applyFont="1" applyBorder="1" applyAlignment="1">
      <alignment wrapText="1"/>
    </xf>
    <xf numFmtId="0" fontId="25" fillId="0" borderId="16" xfId="3" applyFont="1" applyBorder="1" applyAlignment="1">
      <alignment horizontal="left"/>
    </xf>
    <xf numFmtId="0" fontId="11" fillId="0" borderId="3" xfId="3" applyFont="1" applyBorder="1" applyAlignment="1">
      <alignment horizontal="center" vertical="center"/>
    </xf>
    <xf numFmtId="0" fontId="3" fillId="0" borderId="26" xfId="2" applyFont="1" applyBorder="1"/>
    <xf numFmtId="0" fontId="3" fillId="0" borderId="0" xfId="1" applyFont="1"/>
    <xf numFmtId="0" fontId="3" fillId="0" borderId="0" xfId="2" applyFont="1" applyAlignment="1">
      <alignment horizontal="center" vertical="center"/>
    </xf>
    <xf numFmtId="0" fontId="1" fillId="0" borderId="0" xfId="2" applyAlignment="1">
      <alignment horizontal="left" vertical="center"/>
    </xf>
    <xf numFmtId="0" fontId="58" fillId="0" borderId="0" xfId="2" applyFont="1" applyAlignment="1">
      <alignment horizontal="left" vertical="center"/>
    </xf>
    <xf numFmtId="0" fontId="59" fillId="0" borderId="0" xfId="2" applyFont="1" applyAlignment="1">
      <alignment horizontal="left" vertical="center"/>
    </xf>
    <xf numFmtId="0" fontId="60" fillId="0" borderId="0" xfId="2" applyFont="1" applyAlignment="1">
      <alignment horizontal="left" vertical="center"/>
    </xf>
    <xf numFmtId="0" fontId="62" fillId="0" borderId="44" xfId="2" applyFont="1" applyBorder="1" applyAlignment="1">
      <alignment horizontal="left" vertical="center"/>
    </xf>
    <xf numFmtId="0" fontId="61" fillId="0" borderId="42" xfId="2" applyFont="1" applyBorder="1" applyAlignment="1">
      <alignment horizontal="left" vertical="center"/>
    </xf>
    <xf numFmtId="0" fontId="62" fillId="0" borderId="42" xfId="2" applyFont="1" applyBorder="1" applyAlignment="1">
      <alignment horizontal="left" vertical="center"/>
    </xf>
    <xf numFmtId="0" fontId="62" fillId="0" borderId="8" xfId="2" applyFont="1" applyBorder="1" applyAlignment="1">
      <alignment horizontal="left" vertical="center"/>
    </xf>
    <xf numFmtId="0" fontId="1" fillId="0" borderId="8" xfId="2" applyBorder="1" applyAlignment="1">
      <alignment horizontal="left" vertical="center"/>
    </xf>
    <xf numFmtId="0" fontId="62" fillId="0" borderId="7" xfId="2" applyFont="1" applyBorder="1" applyAlignment="1">
      <alignment horizontal="left" vertical="center"/>
    </xf>
    <xf numFmtId="0" fontId="1" fillId="0" borderId="7" xfId="2" applyBorder="1" applyAlignment="1">
      <alignment horizontal="left" vertical="center"/>
    </xf>
    <xf numFmtId="0" fontId="63" fillId="0" borderId="42" xfId="2" applyFont="1" applyBorder="1" applyAlignment="1">
      <alignment horizontal="left" vertical="center"/>
    </xf>
    <xf numFmtId="0" fontId="63" fillId="0" borderId="44" xfId="2" applyFont="1" applyBorder="1" applyAlignment="1">
      <alignment horizontal="left" vertical="center"/>
    </xf>
    <xf numFmtId="0" fontId="63" fillId="0" borderId="8" xfId="2" applyFont="1" applyBorder="1" applyAlignment="1">
      <alignment horizontal="left" vertical="center"/>
    </xf>
    <xf numFmtId="0" fontId="1" fillId="0" borderId="49" xfId="2" applyBorder="1" applyAlignment="1">
      <alignment horizontal="left" vertical="center"/>
    </xf>
    <xf numFmtId="0" fontId="1" fillId="0" borderId="8" xfId="2" applyBorder="1" applyAlignment="1">
      <alignment vertical="center"/>
    </xf>
    <xf numFmtId="0" fontId="0" fillId="0" borderId="0" xfId="0" applyAlignment="1">
      <alignment horizontal="left" vertical="top"/>
    </xf>
    <xf numFmtId="0" fontId="52" fillId="0" borderId="0" xfId="2" applyFont="1" applyAlignment="1">
      <alignment horizontal="left" vertical="top"/>
    </xf>
    <xf numFmtId="0" fontId="1" fillId="0" borderId="55" xfId="2" applyBorder="1" applyAlignment="1">
      <alignment horizontal="left" vertical="center"/>
    </xf>
    <xf numFmtId="0" fontId="1" fillId="0" borderId="65" xfId="2" applyBorder="1" applyAlignment="1">
      <alignment horizontal="left" vertical="center"/>
    </xf>
    <xf numFmtId="0" fontId="58" fillId="0" borderId="55" xfId="2" applyFont="1" applyBorder="1" applyAlignment="1">
      <alignment horizontal="left" vertical="center"/>
    </xf>
    <xf numFmtId="0" fontId="1" fillId="0" borderId="51" xfId="2" applyBorder="1" applyAlignment="1">
      <alignment horizontal="left" vertical="center"/>
    </xf>
    <xf numFmtId="0" fontId="1" fillId="0" borderId="21" xfId="2" applyBorder="1" applyAlignment="1">
      <alignment horizontal="left" vertical="center"/>
    </xf>
    <xf numFmtId="0" fontId="1" fillId="0" borderId="54" xfId="2" applyBorder="1" applyAlignment="1">
      <alignment horizontal="left" vertical="center"/>
    </xf>
    <xf numFmtId="0" fontId="62" fillId="0" borderId="21" xfId="2" applyFont="1" applyBorder="1" applyAlignment="1">
      <alignment horizontal="left" vertical="center"/>
    </xf>
    <xf numFmtId="0" fontId="62" fillId="0" borderId="38" xfId="2" applyFont="1" applyBorder="1" applyAlignment="1">
      <alignment horizontal="left" vertical="center"/>
    </xf>
    <xf numFmtId="0" fontId="62" fillId="0" borderId="49" xfId="2" applyFont="1" applyBorder="1" applyAlignment="1">
      <alignment horizontal="left" vertical="center"/>
    </xf>
    <xf numFmtId="0" fontId="61" fillId="0" borderId="21" xfId="2" applyFont="1" applyBorder="1" applyAlignment="1">
      <alignment horizontal="left" vertical="center"/>
    </xf>
    <xf numFmtId="0" fontId="61" fillId="0" borderId="54" xfId="2" applyFont="1" applyBorder="1" applyAlignment="1">
      <alignment horizontal="left" vertical="center"/>
    </xf>
    <xf numFmtId="0" fontId="61" fillId="0" borderId="49" xfId="2" applyFont="1" applyBorder="1" applyAlignment="1">
      <alignment horizontal="left" vertical="center"/>
    </xf>
    <xf numFmtId="0" fontId="61" fillId="0" borderId="65" xfId="2" applyFont="1" applyBorder="1" applyAlignment="1">
      <alignment horizontal="left" vertical="center"/>
    </xf>
    <xf numFmtId="0" fontId="61" fillId="0" borderId="0" xfId="2" applyFont="1" applyAlignment="1">
      <alignment horizontal="left" vertical="center"/>
    </xf>
    <xf numFmtId="0" fontId="61" fillId="0" borderId="40" xfId="2" applyFont="1" applyBorder="1" applyAlignment="1">
      <alignment horizontal="left" vertical="center"/>
    </xf>
    <xf numFmtId="0" fontId="61" fillId="0" borderId="38" xfId="2" applyFont="1" applyBorder="1" applyAlignment="1">
      <alignment horizontal="left" vertical="center"/>
    </xf>
    <xf numFmtId="0" fontId="64" fillId="0" borderId="53" xfId="2" applyFont="1" applyBorder="1" applyAlignment="1">
      <alignment horizontal="left" vertical="center"/>
    </xf>
    <xf numFmtId="0" fontId="64" fillId="0" borderId="54" xfId="2" applyFont="1" applyBorder="1" applyAlignment="1">
      <alignment horizontal="left" vertical="center"/>
    </xf>
    <xf numFmtId="0" fontId="64" fillId="0" borderId="44" xfId="2" applyFont="1" applyBorder="1" applyAlignment="1">
      <alignment horizontal="left" vertical="center"/>
    </xf>
    <xf numFmtId="0" fontId="64" fillId="0" borderId="40" xfId="2" applyFont="1" applyBorder="1" applyAlignment="1">
      <alignment horizontal="left" vertical="center"/>
    </xf>
    <xf numFmtId="0" fontId="4" fillId="34" borderId="13" xfId="0" applyFont="1" applyFill="1" applyBorder="1" applyAlignment="1">
      <alignment vertical="center"/>
    </xf>
    <xf numFmtId="0" fontId="4" fillId="31" borderId="14" xfId="0" applyFont="1" applyFill="1" applyBorder="1" applyAlignment="1">
      <alignment vertical="center"/>
    </xf>
    <xf numFmtId="0" fontId="4" fillId="35" borderId="15" xfId="0" applyFont="1" applyFill="1" applyBorder="1" applyAlignment="1">
      <alignment vertical="center"/>
    </xf>
    <xf numFmtId="0" fontId="1" fillId="36" borderId="0" xfId="2" applyFill="1" applyAlignment="1">
      <alignment vertical="center"/>
    </xf>
    <xf numFmtId="0" fontId="1" fillId="35" borderId="0" xfId="2" applyFill="1" applyAlignment="1">
      <alignment vertical="center"/>
    </xf>
    <xf numFmtId="0" fontId="4" fillId="34" borderId="66" xfId="0" applyFont="1" applyFill="1" applyBorder="1" applyAlignment="1">
      <alignment horizontal="center" vertical="center"/>
    </xf>
    <xf numFmtId="0" fontId="4" fillId="31" borderId="14" xfId="0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19" fillId="5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1" fillId="37" borderId="0" xfId="2" applyFill="1" applyAlignment="1">
      <alignment horizontal="center" vertical="center"/>
    </xf>
    <xf numFmtId="0" fontId="23" fillId="38" borderId="15" xfId="0" applyFont="1" applyFill="1" applyBorder="1" applyAlignment="1">
      <alignment horizontal="center" vertical="center"/>
    </xf>
    <xf numFmtId="0" fontId="42" fillId="38" borderId="0" xfId="2" applyFont="1" applyFill="1" applyAlignment="1">
      <alignment horizontal="center" vertical="center"/>
    </xf>
    <xf numFmtId="0" fontId="17" fillId="0" borderId="25" xfId="2" applyFont="1" applyBorder="1" applyAlignment="1">
      <alignment horizontal="left"/>
    </xf>
    <xf numFmtId="0" fontId="17" fillId="0" borderId="45" xfId="2" applyFont="1" applyBorder="1" applyAlignment="1">
      <alignment horizontal="left"/>
    </xf>
    <xf numFmtId="0" fontId="17" fillId="0" borderId="36" xfId="2" applyFont="1" applyBorder="1" applyAlignment="1">
      <alignment horizontal="left"/>
    </xf>
    <xf numFmtId="0" fontId="17" fillId="0" borderId="31" xfId="2" applyFont="1" applyBorder="1" applyAlignment="1">
      <alignment horizontal="left"/>
    </xf>
    <xf numFmtId="0" fontId="2" fillId="8" borderId="20" xfId="2" applyFont="1" applyFill="1" applyBorder="1" applyAlignment="1">
      <alignment horizontal="left"/>
    </xf>
    <xf numFmtId="0" fontId="17" fillId="0" borderId="43" xfId="2" applyFont="1" applyBorder="1" applyAlignment="1">
      <alignment horizontal="left"/>
    </xf>
    <xf numFmtId="0" fontId="17" fillId="0" borderId="35" xfId="2" applyFont="1" applyBorder="1" applyAlignment="1">
      <alignment horizontal="left"/>
    </xf>
    <xf numFmtId="0" fontId="18" fillId="8" borderId="7" xfId="3" applyFont="1" applyFill="1" applyBorder="1" applyAlignment="1">
      <alignment horizontal="center" vertical="center"/>
    </xf>
    <xf numFmtId="0" fontId="2" fillId="8" borderId="41" xfId="2" applyFont="1" applyFill="1" applyBorder="1" applyAlignment="1">
      <alignment horizontal="left"/>
    </xf>
    <xf numFmtId="0" fontId="2" fillId="8" borderId="33" xfId="2" applyFont="1" applyFill="1" applyBorder="1" applyAlignment="1">
      <alignment horizontal="left"/>
    </xf>
    <xf numFmtId="0" fontId="2" fillId="7" borderId="20" xfId="2" applyFont="1" applyFill="1" applyBorder="1" applyAlignment="1">
      <alignment horizontal="left"/>
    </xf>
    <xf numFmtId="0" fontId="1" fillId="0" borderId="0" xfId="2" applyAlignment="1">
      <alignment horizontal="center"/>
    </xf>
    <xf numFmtId="0" fontId="18" fillId="7" borderId="7" xfId="3" applyFont="1" applyFill="1" applyBorder="1" applyAlignment="1">
      <alignment horizontal="center" vertical="center"/>
    </xf>
    <xf numFmtId="0" fontId="2" fillId="7" borderId="41" xfId="2" applyFont="1" applyFill="1" applyBorder="1" applyAlignment="1">
      <alignment horizontal="left"/>
    </xf>
    <xf numFmtId="0" fontId="22" fillId="0" borderId="3" xfId="3" applyFont="1" applyBorder="1" applyAlignment="1">
      <alignment horizontal="center"/>
    </xf>
    <xf numFmtId="0" fontId="17" fillId="0" borderId="3" xfId="2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19" fillId="0" borderId="3" xfId="2" applyFont="1" applyBorder="1" applyAlignment="1">
      <alignment horizontal="center"/>
    </xf>
    <xf numFmtId="0" fontId="19" fillId="0" borderId="7" xfId="3" applyFont="1" applyBorder="1" applyAlignment="1">
      <alignment horizontal="center"/>
    </xf>
    <xf numFmtId="0" fontId="17" fillId="0" borderId="1" xfId="2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19" fillId="0" borderId="1" xfId="2" applyFont="1" applyBorder="1" applyAlignment="1">
      <alignment horizontal="center"/>
    </xf>
    <xf numFmtId="0" fontId="22" fillId="0" borderId="1" xfId="3" applyFont="1" applyBorder="1" applyAlignment="1">
      <alignment horizontal="center"/>
    </xf>
    <xf numFmtId="0" fontId="18" fillId="8" borderId="38" xfId="3" applyFont="1" applyFill="1" applyBorder="1" applyAlignment="1">
      <alignment horizontal="center" vertical="center"/>
    </xf>
    <xf numFmtId="0" fontId="17" fillId="0" borderId="7" xfId="2" applyFont="1" applyBorder="1" applyAlignment="1">
      <alignment horizontal="center"/>
    </xf>
    <xf numFmtId="0" fontId="2" fillId="0" borderId="7" xfId="2" applyFont="1" applyBorder="1" applyAlignment="1">
      <alignment horizontal="center"/>
    </xf>
    <xf numFmtId="0" fontId="19" fillId="0" borderId="7" xfId="2" applyFont="1" applyBorder="1" applyAlignment="1">
      <alignment horizontal="center"/>
    </xf>
    <xf numFmtId="0" fontId="19" fillId="0" borderId="6" xfId="2" applyFont="1" applyBorder="1" applyAlignment="1">
      <alignment horizontal="center"/>
    </xf>
    <xf numFmtId="0" fontId="2" fillId="0" borderId="6" xfId="2" applyFont="1" applyBorder="1" applyAlignment="1">
      <alignment horizontal="center"/>
    </xf>
    <xf numFmtId="0" fontId="19" fillId="0" borderId="3" xfId="3" applyFont="1" applyBorder="1" applyAlignment="1">
      <alignment horizontal="center"/>
    </xf>
    <xf numFmtId="0" fontId="19" fillId="0" borderId="39" xfId="3" applyFont="1" applyBorder="1" applyAlignment="1">
      <alignment horizontal="center"/>
    </xf>
    <xf numFmtId="0" fontId="21" fillId="0" borderId="6" xfId="2" applyFont="1" applyBorder="1" applyAlignment="1">
      <alignment horizontal="left"/>
    </xf>
    <xf numFmtId="0" fontId="18" fillId="7" borderId="38" xfId="3" applyFont="1" applyFill="1" applyBorder="1" applyAlignment="1">
      <alignment horizontal="center" vertical="center"/>
    </xf>
    <xf numFmtId="0" fontId="21" fillId="0" borderId="3" xfId="2" applyFont="1" applyBorder="1" applyAlignment="1">
      <alignment horizontal="left"/>
    </xf>
    <xf numFmtId="0" fontId="21" fillId="0" borderId="6" xfId="2" applyFont="1" applyBorder="1" applyAlignment="1">
      <alignment horizontal="center"/>
    </xf>
    <xf numFmtId="0" fontId="17" fillId="0" borderId="42" xfId="2" applyFont="1" applyBorder="1" applyAlignment="1">
      <alignment horizontal="left"/>
    </xf>
    <xf numFmtId="0" fontId="17" fillId="0" borderId="44" xfId="2" applyFont="1" applyBorder="1" applyAlignment="1">
      <alignment horizontal="left"/>
    </xf>
    <xf numFmtId="0" fontId="17" fillId="0" borderId="8" xfId="2" applyFont="1" applyBorder="1" applyAlignment="1">
      <alignment horizontal="left"/>
    </xf>
    <xf numFmtId="0" fontId="26" fillId="0" borderId="40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167" fontId="28" fillId="0" borderId="7" xfId="0" applyNumberFormat="1" applyFont="1" applyBorder="1" applyAlignment="1">
      <alignment horizontal="center"/>
    </xf>
    <xf numFmtId="0" fontId="17" fillId="15" borderId="43" xfId="2" applyFont="1" applyFill="1" applyBorder="1" applyAlignment="1">
      <alignment horizontal="left"/>
    </xf>
    <xf numFmtId="0" fontId="17" fillId="0" borderId="8" xfId="2" applyFont="1" applyBorder="1" applyAlignment="1">
      <alignment horizontal="center"/>
    </xf>
    <xf numFmtId="0" fontId="17" fillId="0" borderId="42" xfId="2" applyFont="1" applyBorder="1" applyAlignment="1">
      <alignment horizontal="center"/>
    </xf>
    <xf numFmtId="0" fontId="17" fillId="0" borderId="44" xfId="2" applyFont="1" applyBorder="1" applyAlignment="1">
      <alignment horizontal="center"/>
    </xf>
    <xf numFmtId="0" fontId="2" fillId="7" borderId="33" xfId="2" applyFont="1" applyFill="1" applyBorder="1" applyAlignment="1">
      <alignment horizontal="left"/>
    </xf>
    <xf numFmtId="0" fontId="26" fillId="0" borderId="7" xfId="0" applyFont="1" applyBorder="1" applyAlignment="1">
      <alignment horizontal="center"/>
    </xf>
    <xf numFmtId="0" fontId="32" fillId="0" borderId="38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/>
    </xf>
    <xf numFmtId="0" fontId="1" fillId="18" borderId="36" xfId="2" applyFill="1" applyBorder="1" applyAlignment="1">
      <alignment horizontal="center"/>
    </xf>
    <xf numFmtId="2" fontId="1" fillId="0" borderId="11" xfId="2" applyNumberFormat="1" applyBorder="1" applyAlignment="1">
      <alignment horizontal="center"/>
    </xf>
    <xf numFmtId="0" fontId="1" fillId="0" borderId="11" xfId="2" applyBorder="1" applyAlignment="1">
      <alignment horizontal="center"/>
    </xf>
    <xf numFmtId="0" fontId="1" fillId="8" borderId="33" xfId="2" applyFill="1" applyBorder="1" applyAlignment="1">
      <alignment horizontal="center"/>
    </xf>
    <xf numFmtId="0" fontId="1" fillId="17" borderId="35" xfId="2" applyFill="1" applyBorder="1" applyAlignment="1">
      <alignment horizontal="center"/>
    </xf>
    <xf numFmtId="0" fontId="1" fillId="17" borderId="36" xfId="2" applyFill="1" applyBorder="1" applyAlignment="1">
      <alignment horizontal="center"/>
    </xf>
    <xf numFmtId="0" fontId="1" fillId="18" borderId="64" xfId="2" applyFill="1" applyBorder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0" fontId="17" fillId="3" borderId="43" xfId="2" applyFont="1" applyFill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17" fillId="21" borderId="8" xfId="2" applyFont="1" applyFill="1" applyBorder="1" applyAlignment="1">
      <alignment horizontal="center"/>
    </xf>
    <xf numFmtId="0" fontId="2" fillId="21" borderId="8" xfId="2" applyFont="1" applyFill="1" applyBorder="1" applyAlignment="1">
      <alignment horizontal="center"/>
    </xf>
    <xf numFmtId="0" fontId="6" fillId="0" borderId="42" xfId="2" applyFont="1" applyBorder="1" applyAlignment="1">
      <alignment horizontal="left" vertical="top"/>
    </xf>
    <xf numFmtId="0" fontId="6" fillId="0" borderId="42" xfId="2" applyFont="1" applyBorder="1" applyAlignment="1">
      <alignment horizontal="center"/>
    </xf>
    <xf numFmtId="0" fontId="6" fillId="0" borderId="42" xfId="2" applyFont="1" applyBorder="1" applyAlignment="1">
      <alignment horizontal="left"/>
    </xf>
    <xf numFmtId="0" fontId="2" fillId="15" borderId="8" xfId="2" applyFont="1" applyFill="1" applyBorder="1" applyAlignment="1">
      <alignment horizontal="center"/>
    </xf>
    <xf numFmtId="0" fontId="2" fillId="15" borderId="8" xfId="2" applyFont="1" applyFill="1" applyBorder="1" applyAlignment="1">
      <alignment horizontal="left" vertical="top"/>
    </xf>
    <xf numFmtId="0" fontId="2" fillId="15" borderId="8" xfId="2" applyFont="1" applyFill="1" applyBorder="1" applyAlignment="1">
      <alignment horizontal="left"/>
    </xf>
    <xf numFmtId="0" fontId="0" fillId="9" borderId="33" xfId="2" applyFont="1" applyFill="1" applyBorder="1" applyAlignment="1">
      <alignment horizontal="center"/>
    </xf>
    <xf numFmtId="0" fontId="6" fillId="9" borderId="33" xfId="2" applyFont="1" applyFill="1" applyBorder="1" applyAlignment="1">
      <alignment horizontal="center"/>
    </xf>
    <xf numFmtId="0" fontId="6" fillId="0" borderId="33" xfId="2" applyFont="1" applyBorder="1" applyAlignment="1">
      <alignment horizontal="center"/>
    </xf>
    <xf numFmtId="0" fontId="3" fillId="9" borderId="33" xfId="2" applyFont="1" applyFill="1" applyBorder="1" applyAlignment="1">
      <alignment horizontal="center"/>
    </xf>
    <xf numFmtId="0" fontId="2" fillId="9" borderId="33" xfId="2" applyFont="1" applyFill="1" applyBorder="1" applyAlignment="1">
      <alignment horizontal="center"/>
    </xf>
    <xf numFmtId="0" fontId="2" fillId="0" borderId="33" xfId="2" applyFont="1" applyBorder="1" applyAlignment="1">
      <alignment horizontal="center"/>
    </xf>
    <xf numFmtId="0" fontId="8" fillId="0" borderId="33" xfId="2" applyFont="1" applyBorder="1" applyAlignment="1">
      <alignment horizontal="center"/>
    </xf>
    <xf numFmtId="0" fontId="8" fillId="9" borderId="33" xfId="2" applyFont="1" applyFill="1" applyBorder="1" applyAlignment="1">
      <alignment horizontal="center"/>
    </xf>
    <xf numFmtId="0" fontId="6" fillId="0" borderId="35" xfId="2" applyFont="1" applyBorder="1" applyAlignment="1">
      <alignment horizontal="center"/>
    </xf>
    <xf numFmtId="0" fontId="6" fillId="9" borderId="35" xfId="2" applyFont="1" applyFill="1" applyBorder="1" applyAlignment="1">
      <alignment horizontal="center"/>
    </xf>
    <xf numFmtId="0" fontId="17" fillId="9" borderId="36" xfId="2" applyFont="1" applyFill="1" applyBorder="1" applyAlignment="1">
      <alignment horizontal="center"/>
    </xf>
    <xf numFmtId="0" fontId="17" fillId="0" borderId="36" xfId="2" applyFont="1" applyBorder="1" applyAlignment="1">
      <alignment horizontal="center"/>
    </xf>
    <xf numFmtId="0" fontId="6" fillId="0" borderId="36" xfId="2" applyFont="1" applyBorder="1" applyAlignment="1">
      <alignment horizontal="center"/>
    </xf>
    <xf numFmtId="0" fontId="6" fillId="9" borderId="36" xfId="2" applyFont="1" applyFill="1" applyBorder="1" applyAlignment="1">
      <alignment horizontal="center"/>
    </xf>
    <xf numFmtId="0" fontId="40" fillId="0" borderId="33" xfId="2" applyFont="1" applyBorder="1" applyAlignment="1">
      <alignment horizontal="center"/>
    </xf>
    <xf numFmtId="0" fontId="40" fillId="9" borderId="33" xfId="2" applyFont="1" applyFill="1" applyBorder="1" applyAlignment="1">
      <alignment horizontal="center"/>
    </xf>
    <xf numFmtId="0" fontId="17" fillId="9" borderId="35" xfId="2" applyFont="1" applyFill="1" applyBorder="1" applyAlignment="1">
      <alignment horizontal="center"/>
    </xf>
    <xf numFmtId="0" fontId="17" fillId="0" borderId="35" xfId="2" applyFont="1" applyBorder="1" applyAlignment="1">
      <alignment horizontal="center"/>
    </xf>
    <xf numFmtId="0" fontId="17" fillId="0" borderId="14" xfId="2" applyFont="1" applyBorder="1" applyAlignment="1">
      <alignment horizontal="center"/>
    </xf>
    <xf numFmtId="0" fontId="8" fillId="0" borderId="35" xfId="2" applyFont="1" applyBorder="1" applyAlignment="1">
      <alignment horizontal="center"/>
    </xf>
    <xf numFmtId="0" fontId="20" fillId="0" borderId="36" xfId="2" applyFont="1" applyBorder="1" applyAlignment="1">
      <alignment horizontal="center"/>
    </xf>
    <xf numFmtId="0" fontId="20" fillId="9" borderId="36" xfId="2" applyFont="1" applyFill="1" applyBorder="1" applyAlignment="1">
      <alignment horizontal="center"/>
    </xf>
    <xf numFmtId="0" fontId="41" fillId="9" borderId="36" xfId="2" applyFont="1" applyFill="1" applyBorder="1" applyAlignment="1">
      <alignment horizontal="center"/>
    </xf>
    <xf numFmtId="0" fontId="20" fillId="9" borderId="36" xfId="2" applyFont="1" applyFill="1" applyBorder="1" applyAlignment="1">
      <alignment horizontal="left"/>
    </xf>
    <xf numFmtId="0" fontId="41" fillId="9" borderId="35" xfId="2" applyFont="1" applyFill="1" applyBorder="1" applyAlignment="1">
      <alignment horizontal="center"/>
    </xf>
    <xf numFmtId="0" fontId="17" fillId="9" borderId="35" xfId="2" applyFont="1" applyFill="1" applyBorder="1" applyAlignment="1">
      <alignment horizontal="left"/>
    </xf>
    <xf numFmtId="0" fontId="40" fillId="9" borderId="33" xfId="2" applyFont="1" applyFill="1" applyBorder="1" applyAlignment="1">
      <alignment horizontal="left"/>
    </xf>
    <xf numFmtId="0" fontId="20" fillId="9" borderId="35" xfId="2" applyFont="1" applyFill="1" applyBorder="1" applyAlignment="1">
      <alignment horizontal="center"/>
    </xf>
    <xf numFmtId="0" fontId="20" fillId="0" borderId="35" xfId="2" applyFont="1" applyBorder="1" applyAlignment="1">
      <alignment horizontal="center"/>
    </xf>
    <xf numFmtId="0" fontId="41" fillId="0" borderId="35" xfId="2" applyFont="1" applyBorder="1" applyAlignment="1">
      <alignment horizontal="center"/>
    </xf>
    <xf numFmtId="0" fontId="20" fillId="9" borderId="35" xfId="2" applyFont="1" applyFill="1" applyBorder="1" applyAlignment="1">
      <alignment horizontal="left"/>
    </xf>
    <xf numFmtId="0" fontId="20" fillId="0" borderId="43" xfId="2" applyFont="1" applyBorder="1" applyAlignment="1">
      <alignment horizontal="left"/>
    </xf>
    <xf numFmtId="0" fontId="20" fillId="0" borderId="25" xfId="2" applyFont="1" applyBorder="1" applyAlignment="1">
      <alignment horizontal="left"/>
    </xf>
    <xf numFmtId="0" fontId="20" fillId="0" borderId="45" xfId="2" applyFont="1" applyBorder="1" applyAlignment="1">
      <alignment horizontal="left"/>
    </xf>
    <xf numFmtId="0" fontId="20" fillId="0" borderId="31" xfId="2" applyFont="1" applyBorder="1" applyAlignment="1">
      <alignment horizontal="left"/>
    </xf>
    <xf numFmtId="0" fontId="13" fillId="0" borderId="46" xfId="3" applyFont="1" applyBorder="1" applyAlignment="1">
      <alignment horizontal="center" vertical="center"/>
    </xf>
    <xf numFmtId="0" fontId="21" fillId="7" borderId="41" xfId="2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" fillId="8" borderId="33" xfId="2" applyFont="1" applyFill="1" applyBorder="1" applyAlignment="1">
      <alignment horizontal="center"/>
    </xf>
    <xf numFmtId="0" fontId="17" fillId="7" borderId="33" xfId="2" applyFont="1" applyFill="1" applyBorder="1" applyAlignment="1">
      <alignment horizontal="center"/>
    </xf>
    <xf numFmtId="0" fontId="2" fillId="8" borderId="8" xfId="2" applyFont="1" applyFill="1" applyBorder="1" applyAlignment="1">
      <alignment horizontal="left"/>
    </xf>
    <xf numFmtId="0" fontId="1" fillId="24" borderId="40" xfId="2" applyFill="1" applyBorder="1" applyAlignment="1">
      <alignment horizontal="left"/>
    </xf>
    <xf numFmtId="0" fontId="2" fillId="0" borderId="25" xfId="2" applyFont="1" applyBorder="1" applyAlignment="1">
      <alignment horizontal="left"/>
    </xf>
    <xf numFmtId="0" fontId="1" fillId="0" borderId="65" xfId="2" applyBorder="1" applyAlignment="1">
      <alignment horizontal="center"/>
    </xf>
    <xf numFmtId="0" fontId="17" fillId="26" borderId="40" xfId="2" applyFont="1" applyFill="1" applyBorder="1" applyAlignment="1">
      <alignment horizontal="center"/>
    </xf>
    <xf numFmtId="0" fontId="2" fillId="0" borderId="35" xfId="2" applyFont="1" applyBorder="1" applyAlignment="1">
      <alignment horizontal="center"/>
    </xf>
    <xf numFmtId="0" fontId="2" fillId="0" borderId="36" xfId="2" applyFont="1" applyBorder="1" applyAlignment="1">
      <alignment horizontal="center"/>
    </xf>
    <xf numFmtId="0" fontId="2" fillId="0" borderId="36" xfId="2" applyFont="1" applyBorder="1" applyAlignment="1">
      <alignment horizontal="left"/>
    </xf>
    <xf numFmtId="0" fontId="17" fillId="25" borderId="33" xfId="2" applyFont="1" applyFill="1" applyBorder="1" applyAlignment="1">
      <alignment horizontal="center"/>
    </xf>
    <xf numFmtId="0" fontId="2" fillId="25" borderId="33" xfId="2" applyFont="1" applyFill="1" applyBorder="1" applyAlignment="1">
      <alignment horizontal="center"/>
    </xf>
    <xf numFmtId="0" fontId="2" fillId="25" borderId="33" xfId="2" applyFont="1" applyFill="1" applyBorder="1" applyAlignment="1">
      <alignment horizontal="left"/>
    </xf>
    <xf numFmtId="0" fontId="2" fillId="0" borderId="35" xfId="2" applyFont="1" applyBorder="1" applyAlignment="1">
      <alignment horizontal="left"/>
    </xf>
    <xf numFmtId="0" fontId="21" fillId="0" borderId="35" xfId="2" applyFont="1" applyBorder="1" applyAlignment="1">
      <alignment horizontal="center"/>
    </xf>
    <xf numFmtId="0" fontId="19" fillId="0" borderId="36" xfId="2" applyFont="1" applyBorder="1" applyAlignment="1">
      <alignment horizontal="left"/>
    </xf>
    <xf numFmtId="0" fontId="21" fillId="0" borderId="36" xfId="2" applyFont="1" applyBorder="1" applyAlignment="1">
      <alignment horizontal="center"/>
    </xf>
    <xf numFmtId="0" fontId="6" fillId="2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21" fillId="25" borderId="33" xfId="2" applyFont="1" applyFill="1" applyBorder="1" applyAlignment="1">
      <alignment horizontal="center"/>
    </xf>
    <xf numFmtId="0" fontId="19" fillId="0" borderId="35" xfId="2" applyFont="1" applyBorder="1" applyAlignment="1">
      <alignment horizontal="left"/>
    </xf>
    <xf numFmtId="0" fontId="1" fillId="27" borderId="40" xfId="2" applyFill="1" applyBorder="1" applyAlignment="1">
      <alignment horizontal="center"/>
    </xf>
    <xf numFmtId="0" fontId="47" fillId="6" borderId="40" xfId="2" applyFont="1" applyFill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22" fillId="0" borderId="3" xfId="2" applyFont="1" applyBorder="1" applyAlignment="1">
      <alignment horizontal="center"/>
    </xf>
    <xf numFmtId="0" fontId="20" fillId="0" borderId="1" xfId="2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22" fillId="0" borderId="1" xfId="2" applyFont="1" applyBorder="1" applyAlignment="1">
      <alignment horizontal="center"/>
    </xf>
    <xf numFmtId="0" fontId="46" fillId="0" borderId="3" xfId="2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165" fontId="29" fillId="0" borderId="7" xfId="0" applyNumberFormat="1" applyFont="1" applyBorder="1" applyAlignment="1">
      <alignment horizontal="center"/>
    </xf>
    <xf numFmtId="0" fontId="19" fillId="33" borderId="39" xfId="3" applyFont="1" applyFill="1" applyBorder="1" applyAlignment="1">
      <alignment horizontal="center"/>
    </xf>
    <xf numFmtId="0" fontId="19" fillId="32" borderId="3" xfId="3" applyFont="1" applyFill="1" applyBorder="1" applyAlignment="1">
      <alignment horizontal="center"/>
    </xf>
    <xf numFmtId="0" fontId="19" fillId="0" borderId="3" xfId="2" applyFont="1" applyBorder="1" applyAlignment="1">
      <alignment vertical="center"/>
    </xf>
    <xf numFmtId="0" fontId="19" fillId="32" borderId="39" xfId="3" applyFont="1" applyFill="1" applyBorder="1" applyAlignment="1">
      <alignment horizontal="center"/>
    </xf>
    <xf numFmtId="0" fontId="19" fillId="0" borderId="6" xfId="2" applyFont="1" applyBorder="1" applyAlignment="1">
      <alignment vertical="center"/>
    </xf>
    <xf numFmtId="0" fontId="19" fillId="32" borderId="3" xfId="2" applyFont="1" applyFill="1" applyBorder="1" applyAlignment="1">
      <alignment vertical="center"/>
    </xf>
    <xf numFmtId="0" fontId="19" fillId="32" borderId="6" xfId="2" applyFont="1" applyFill="1" applyBorder="1" applyAlignment="1">
      <alignment vertical="center"/>
    </xf>
    <xf numFmtId="0" fontId="19" fillId="33" borderId="3" xfId="2" applyFont="1" applyFill="1" applyBorder="1" applyAlignment="1">
      <alignment vertical="center"/>
    </xf>
    <xf numFmtId="0" fontId="8" fillId="0" borderId="3" xfId="2" applyFont="1" applyBorder="1" applyAlignment="1">
      <alignment horizontal="left"/>
    </xf>
    <xf numFmtId="0" fontId="6" fillId="0" borderId="3" xfId="2" applyFont="1" applyBorder="1" applyAlignment="1">
      <alignment horizontal="left"/>
    </xf>
    <xf numFmtId="0" fontId="22" fillId="0" borderId="3" xfId="2" applyFont="1" applyBorder="1" applyAlignment="1">
      <alignment horizontal="left"/>
    </xf>
    <xf numFmtId="0" fontId="6" fillId="0" borderId="27" xfId="2" applyFont="1" applyBorder="1" applyAlignment="1">
      <alignment horizontal="left"/>
    </xf>
    <xf numFmtId="0" fontId="53" fillId="0" borderId="3" xfId="2" applyFont="1" applyBorder="1" applyAlignment="1">
      <alignment horizontal="left"/>
    </xf>
    <xf numFmtId="0" fontId="54" fillId="0" borderId="3" xfId="2" applyFont="1" applyBorder="1" applyAlignment="1">
      <alignment horizontal="left"/>
    </xf>
    <xf numFmtId="0" fontId="6" fillId="0" borderId="26" xfId="2" applyFont="1" applyBorder="1" applyAlignment="1">
      <alignment horizontal="left"/>
    </xf>
    <xf numFmtId="0" fontId="46" fillId="0" borderId="3" xfId="2" applyFont="1" applyBorder="1" applyAlignment="1">
      <alignment horizontal="left"/>
    </xf>
  </cellXfs>
  <cellStyles count="4">
    <cellStyle name="Normalny" xfId="0" builtinId="0"/>
    <cellStyle name="Normalny 2" xfId="1" xr:uid="{00000000-0005-0000-0000-000001000000}"/>
    <cellStyle name="Normalny 2 2" xfId="2" xr:uid="{00000000-0005-0000-0000-000002000000}"/>
    <cellStyle name="Tekst objaśnienia 2" xfId="3" xr:uid="{00000000-0005-0000-0000-000003000000}"/>
  </cellStyles>
  <dxfs count="1501"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-0.24994659260841701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B7DEE8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93CDDD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B7DEE8"/>
        </patternFill>
      </fill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FDEADA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8480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B7DEE8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93CDDD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B7DEE8"/>
        </patternFill>
      </fill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B7DEE8"/>
        </patternFill>
      </fill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B7DEE8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46C0A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B7DEE8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93CDDD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B7DEE8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B7DEE8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93CDDD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B7DEE8"/>
        </patternFill>
      </fill>
    </dxf>
    <dxf>
      <font>
        <color rgb="FFFFFFFF"/>
      </font>
      <fill>
        <patternFill>
          <bgColor rgb="FFFDEADA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FFFFFF"/>
      </font>
      <fill>
        <patternFill>
          <bgColor rgb="FFFAC090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4F81BD"/>
      </font>
      <fill>
        <patternFill>
          <bgColor rgb="FFFFC7CE"/>
        </patternFill>
      </fill>
    </dxf>
    <dxf>
      <font>
        <b/>
        <i val="0"/>
        <color rgb="FF4F81BD"/>
      </font>
      <fill>
        <patternFill>
          <bgColor rgb="FFFFC7CE"/>
        </patternFill>
      </fill>
    </dxf>
    <dxf>
      <font>
        <b/>
        <i val="0"/>
        <color rgb="FF4F81BD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4F81BD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00"/>
      </font>
      <fill>
        <patternFill>
          <bgColor rgb="FF604A7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B7DEE8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FDEADA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B7DEE8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b/>
        <i val="0"/>
        <color rgb="FF4F81BD"/>
      </font>
      <fill>
        <patternFill>
          <bgColor rgb="FFFFC7CE"/>
        </patternFill>
      </fill>
    </dxf>
    <dxf>
      <font>
        <b/>
        <i val="0"/>
        <color rgb="FF4F81BD"/>
      </font>
      <fill>
        <patternFill>
          <bgColor rgb="FFFFC7CE"/>
        </patternFill>
      </fill>
    </dxf>
    <dxf>
      <font>
        <b/>
        <i val="0"/>
        <color rgb="FF4F81BD"/>
      </font>
      <fill>
        <patternFill>
          <bgColor rgb="FFFFC7CE"/>
        </patternFill>
      </fill>
    </dxf>
    <dxf>
      <font>
        <b/>
        <i val="0"/>
        <color rgb="FF4F81BD"/>
      </font>
      <fill>
        <patternFill>
          <bgColor rgb="FFFFC7CE"/>
        </patternFill>
      </fill>
    </dxf>
    <dxf>
      <font>
        <b/>
        <i val="0"/>
        <color rgb="FF4F81BD"/>
      </font>
      <fill>
        <patternFill>
          <bgColor rgb="FFFFC7CE"/>
        </patternFill>
      </fill>
    </dxf>
    <dxf>
      <font>
        <b/>
        <i val="0"/>
        <color rgb="FF4F81BD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4F81BD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ill>
        <patternFill>
          <bgColor rgb="FFFB8F8F"/>
        </patternFill>
      </fill>
    </dxf>
    <dxf>
      <fill>
        <patternFill>
          <bgColor rgb="FFFB8F8F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DEADA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B7DEE8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93CDDD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B7DEE8"/>
        </patternFill>
      </fill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FDEADA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4F81BD"/>
      </font>
      <fill>
        <patternFill>
          <bgColor rgb="FFFFC7CE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B7DEE8"/>
        </patternFill>
      </fill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B7DEE8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4F81BD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4F81BD"/>
      </font>
      <fill>
        <patternFill>
          <bgColor rgb="FFFFC7CE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FAC090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B7DEE8"/>
        </patternFill>
      </fill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B7DEE8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B7DEE8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b/>
        <i val="0"/>
        <color rgb="FFFFFFFF"/>
      </font>
      <fill>
        <patternFill>
          <bgColor rgb="FFD99694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B7DEE8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b/>
        <i val="0"/>
        <color rgb="FFFFFFFF"/>
      </font>
      <fill>
        <patternFill>
          <bgColor rgb="FFE46C0A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C00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EB4E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558ED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AC09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 val="0"/>
        <i/>
        <color rgb="FF9C0006"/>
      </font>
      <fill>
        <patternFill>
          <bgColor rgb="FFF2DCDB"/>
        </patternFill>
      </fill>
    </dxf>
    <dxf>
      <font>
        <b/>
        <i val="0"/>
        <color rgb="FFFFFF99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95B3D7"/>
        </patternFill>
      </fill>
    </dxf>
    <dxf>
      <font>
        <b/>
        <i val="0"/>
        <color rgb="FFFFFFFF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D99694"/>
        </patternFill>
      </fill>
    </dxf>
    <dxf>
      <font>
        <b/>
        <i val="0"/>
        <color rgb="FFFFFFFF"/>
      </font>
      <fill>
        <patternFill>
          <bgColor rgb="FFEBF1DE"/>
        </patternFill>
      </fill>
    </dxf>
    <dxf>
      <font>
        <color rgb="FFFFFFFF"/>
      </font>
      <fill>
        <patternFill>
          <bgColor rgb="FFFDEADA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93CDDD"/>
        </patternFill>
      </fill>
    </dxf>
    <dxf>
      <font>
        <color rgb="FFFFFFFF"/>
      </font>
      <fill>
        <patternFill>
          <bgColor rgb="FFB7DEE8"/>
        </patternFill>
      </fill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93CDDD"/>
        </patternFill>
      </fill>
    </dxf>
    <dxf>
      <fill>
        <patternFill>
          <bgColor rgb="FFDBEEF4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rgb="FFFCD5B5"/>
        </patternFill>
      </fill>
    </dxf>
    <dxf>
      <font>
        <color rgb="FFFFFFFF"/>
      </font>
      <fill>
        <patternFill>
          <bgColor rgb="FFFDEADA"/>
        </patternFill>
      </fill>
    </dxf>
    <dxf>
      <font>
        <color rgb="FFFFFFFF"/>
      </font>
      <fill>
        <patternFill>
          <bgColor rgb="FFB7DEE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CE1"/>
        <charset val="238"/>
        <scheme val="none"/>
      </font>
      <alignment horizontal="left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CE1"/>
        <charset val="238"/>
        <scheme val="none"/>
      </font>
      <alignment horizontal="left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/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medium">
          <color auto="1"/>
        </right>
        <top style="medium">
          <color auto="1"/>
        </top>
        <bottom/>
        <vertical/>
        <horizontal/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</border>
    </dxf>
    <dxf>
      <border outline="0">
        <bottom style="medium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DCDB"/>
      <rgbColor rgb="FF0000FF"/>
      <rgbColor rgb="FFFFFF00"/>
      <rgbColor rgb="FFFF4F4F"/>
      <rgbColor rgb="FFCCC1DA"/>
      <rgbColor rgb="FF9C0006"/>
      <rgbColor rgb="FF006100"/>
      <rgbColor rgb="FF000080"/>
      <rgbColor rgb="FF9C5700"/>
      <rgbColor rgb="FFF2F2F2"/>
      <rgbColor rgb="FF00B050"/>
      <rgbColor rgb="FFBFBFBF"/>
      <rgbColor rgb="FF4F81BD"/>
      <rgbColor rgb="FF8EB4E3"/>
      <rgbColor rgb="FF7030A0"/>
      <rgbColor rgb="FFEBF1DE"/>
      <rgbColor rgb="FFDBEEF4"/>
      <rgbColor rgb="FF660066"/>
      <rgbColor rgb="FFFB8F8F"/>
      <rgbColor rgb="FF0070C0"/>
      <rgbColor rgb="FFC6D9F1"/>
      <rgbColor rgb="FF000080"/>
      <rgbColor rgb="FFFCD5B5"/>
      <rgbColor rgb="FFFFEB9C"/>
      <rgbColor rgb="FFD9D9D9"/>
      <rgbColor rgb="FF800080"/>
      <rgbColor rgb="FFC00000"/>
      <rgbColor rgb="FFFFC7CE"/>
      <rgbColor rgb="FF0000FF"/>
      <rgbColor rgb="FFB7DEE8"/>
      <rgbColor rgb="FFDCE6F2"/>
      <rgbColor rgb="FFC6EFCE"/>
      <rgbColor rgb="FFFFFF99"/>
      <rgbColor rgb="FF93CDDD"/>
      <rgbColor rgb="FFFFB3B3"/>
      <rgbColor rgb="FFB3A2C7"/>
      <rgbColor rgb="FFFAC090"/>
      <rgbColor rgb="FF558ED5"/>
      <rgbColor rgb="FFB9CDE5"/>
      <rgbColor rgb="FFDDD9C3"/>
      <rgbColor rgb="FFFFC000"/>
      <rgbColor rgb="FFD99694"/>
      <rgbColor rgb="FFE46C0A"/>
      <rgbColor rgb="FF604A7B"/>
      <rgbColor rgb="FF95B3D7"/>
      <rgbColor rgb="FF003366"/>
      <rgbColor rgb="FF31859C"/>
      <rgbColor rgb="FF0D0D0D"/>
      <rgbColor rgb="FFFDEADA"/>
      <rgbColor rgb="FF984807"/>
      <rgbColor rgb="FF595959"/>
      <rgbColor rgb="FF376092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FF"/>
      <color rgb="FFFF33CC"/>
      <color rgb="FFEFA7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b_13.06.22_11.15\bazy%20danych%20f-sz\BAZA%20DANYCH%202019.12.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Świadectwa"/>
      <sheetName val="Arkusz2"/>
      <sheetName val="Arkusz1"/>
      <sheetName val="SG-312"/>
      <sheetName val="SG-216"/>
      <sheetName val="SG-214"/>
      <sheetName val="SG-212"/>
      <sheetName val="SG-070"/>
      <sheetName val="SG-068"/>
      <sheetName val="SG-046"/>
      <sheetName val="SG-007"/>
      <sheetName val="SG-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9ECECC-7C68-42D6-88CC-9D5943CA797D}" name="Tabela3" displayName="Tabela3" ref="A1:D157" totalsRowShown="0" headerRowBorderDxfId="1500" tableBorderDxfId="1499">
  <autoFilter ref="A1:D157" xr:uid="{559ECECC-7C68-42D6-88CC-9D5943CA797D}"/>
  <tableColumns count="4">
    <tableColumn id="1" xr3:uid="{7A356635-E633-4245-8C7C-D2D8FAA34B59}" name="Id" dataDxfId="1498" dataCellStyle="Normalny 2 2"/>
    <tableColumn id="2" xr3:uid="{62E0E1EE-C7D2-4029-82EE-24CD20EA6AA4}" name="Marynarze" dataDxfId="1497" dataCellStyle="Normalny 2 2"/>
    <tableColumn id="3" xr3:uid="{D5D8EBB5-E767-44F1-8E43-091FA12937FC}" name="Stanowiska" dataDxfId="1496" dataCellStyle="Normalny 2 2"/>
    <tableColumn id="4" xr3:uid="{7AC71A2E-BAF1-40C7-9841-8917D1486540}" name="Jednostka" dataDxfId="1495" dataCellStyle="Normalny 2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25C2D4-4DDA-49F0-8185-4300C6FBC4FF}" name="Tabela5" displayName="Tabela5" ref="A1:C6" totalsRowShown="0">
  <autoFilter ref="A1:C6" xr:uid="{3D25C2D4-4DDA-49F0-8185-4300C6FBC4FF}"/>
  <tableColumns count="3">
    <tableColumn id="1" xr3:uid="{C6A4609D-717C-4820-80AB-200930F6FBAE}" name="KAT II"/>
    <tableColumn id="2" xr3:uid="{0CDA9F15-2578-4AAE-8464-DB041790E93A}" name="KAT III"/>
    <tableColumn id="3" xr3:uid="{0F03AE76-6AC0-45C8-ADF5-606EA2C5A623}" name="KAT IV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F1FE3D-6D7C-40CA-922E-19AC44540938}" name="Tabela6" displayName="Tabela6" ref="A1:C7" totalsRowShown="0">
  <autoFilter ref="A1:C7" xr:uid="{E4F1FE3D-6D7C-40CA-922E-19AC44540938}"/>
  <tableColumns count="3">
    <tableColumn id="1" xr3:uid="{50F7E65F-F1AD-4EF0-861C-F9FA2C1C1249}" name="KAT II" dataDxfId="1494"/>
    <tableColumn id="2" xr3:uid="{7F795BB2-F7D2-41AA-9B13-95F50D9637C8}" name="KAT III"/>
    <tableColumn id="3" xr3:uid="{867F63CA-2B7A-42EC-BAF8-01F532C27EC8}" name="KAT IV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a13" displayName="Tabela13" ref="B1:B29" totalsRowShown="0">
  <autoFilter ref="B1:B29" xr:uid="{00000000-0009-0000-0100-000002000000}"/>
  <tableColumns count="1">
    <tableColumn id="2" xr3:uid="{00000000-0010-0000-0200-000002000000}" name="FUNKCJONARIUSZ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284D51-4123-46B6-8754-53C438E82236}" name="Tabela7" displayName="Tabela7" ref="B1:E19" totalsRowShown="0" headerRowDxfId="1493" headerRowCellStyle="Normalny 2 2" dataCellStyle="Normalny 2 2">
  <autoFilter ref="B1:E19" xr:uid="{C9284D51-4123-46B6-8754-53C438E82236}"/>
  <tableColumns count="4">
    <tableColumn id="1" xr3:uid="{901761EF-5CA8-4A64-8626-AB589B8BE921}" name="Dowódca" dataCellStyle="Normalny 2 2"/>
    <tableColumn id="2" xr3:uid="{2178FFC4-4947-483C-8769-B3F1E8B3679C}" name="Z-ca dowódcy" dataCellStyle="Normalny 2 2"/>
    <tableColumn id="3" xr3:uid="{A60BC4A0-9249-4820-A377-762BF196F1F7}" name="Oficer Mechanik" dataCellStyle="Normalny 2 2"/>
    <tableColumn id="4" xr3:uid="{47299326-4154-4EB2-8612-E8520179A08E}" name="Mar.pokł" dataCellStyle="Normalny 2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80DC3-4185-4AD2-809E-D40E75479EDA}" name="Tabela4" displayName="Tabela4" ref="A1:F1048576" totalsRowShown="0">
  <autoFilter ref="A1:F1048576" xr:uid="{00000000-0009-0000-0100-000003000000}"/>
  <tableColumns count="6">
    <tableColumn id="1" xr3:uid="{00000000-0010-0000-0100-000001000000}" name="Dowódca"/>
    <tableColumn id="2" xr3:uid="{00000000-0010-0000-0100-000002000000}" name="Z-do"/>
    <tableColumn id="3" xr3:uid="{00000000-0010-0000-0100-000003000000}" name="Mechanik"/>
    <tableColumn id="4" xr3:uid="{00000000-0010-0000-0100-000004000000}" name="Elektryk"/>
    <tableColumn id="5" xr3:uid="{00000000-0010-0000-0100-000005000000}" name="Mar. Pokł"/>
    <tableColumn id="6" xr3:uid="{00000000-0010-0000-0100-000006000000}" name="Artylerz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FC260D-1CFA-4AC5-AC04-51ED70F28FBC}" name="Tabela8" displayName="Tabela8" ref="B1:E1048576" totalsRowShown="0" headerRowDxfId="1492" headerRowCellStyle="Normalny 2 2" dataCellStyle="Normalny 2 2">
  <autoFilter ref="B1:E1048576" xr:uid="{36FC260D-1CFA-4AC5-AC04-51ED70F28FBC}"/>
  <tableColumns count="4">
    <tableColumn id="1" xr3:uid="{91280712-41FB-40CF-A84D-8C93FC6CAE93}" name="Dowódca" dataCellStyle="Normalny 2 2"/>
    <tableColumn id="2" xr3:uid="{C3874A6A-1952-47DD-8ED7-FC6A78DB9CBA}" name="Bosman" dataCellStyle="Normalny 2 2"/>
    <tableColumn id="3" xr3:uid="{3701C144-0898-46E8-8E77-20443FC7C7A1}" name="Motorzysta" dataCellStyle="Normalny 2 2"/>
    <tableColumn id="4" xr3:uid="{D33C4456-3130-4335-AAE9-0C2FD3F1EA3A}" name="Mar.pokł" dataCellStyle="Normalny 2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MJ116"/>
  <sheetViews>
    <sheetView zoomScale="85" zoomScaleNormal="85" workbookViewId="0">
      <pane ySplit="1" topLeftCell="A41" activePane="bottomLeft" state="frozen"/>
      <selection pane="bottomLeft" activeCell="AK26" sqref="AK26"/>
    </sheetView>
  </sheetViews>
  <sheetFormatPr defaultColWidth="8.84375" defaultRowHeight="14.6"/>
  <cols>
    <col min="1" max="1" width="6" style="1" customWidth="1"/>
    <col min="2" max="2" width="4.3046875" style="1" customWidth="1"/>
    <col min="3" max="3" width="20.4609375" style="7" customWidth="1"/>
    <col min="4" max="4" width="8.53515625" style="1" customWidth="1"/>
    <col min="5" max="34" width="3.53515625" style="1" customWidth="1"/>
    <col min="35" max="35" width="3.53515625" style="1" hidden="1" customWidth="1"/>
    <col min="36" max="36" width="41.4609375" style="1" hidden="1" customWidth="1"/>
    <col min="37" max="37" width="8.84375" style="8"/>
    <col min="38" max="38" width="4.69140625" style="1" customWidth="1"/>
    <col min="39" max="39" width="5.69140625" style="1" customWidth="1"/>
    <col min="40" max="40" width="4.53515625" style="1" customWidth="1"/>
    <col min="41" max="43" width="8.84375" style="1"/>
    <col min="44" max="44" width="20.3046875" style="1" customWidth="1"/>
    <col min="45" max="1024" width="8.84375" style="1"/>
  </cols>
  <sheetData>
    <row r="1" spans="1:45" ht="43.5" customHeight="1">
      <c r="A1" s="1" t="s">
        <v>52</v>
      </c>
      <c r="D1" s="9">
        <v>44501</v>
      </c>
      <c r="E1" s="10">
        <v>44501</v>
      </c>
      <c r="F1" s="11">
        <v>44502</v>
      </c>
      <c r="G1" s="11">
        <v>44503</v>
      </c>
      <c r="H1" s="11">
        <v>44504</v>
      </c>
      <c r="I1" s="11">
        <v>44505</v>
      </c>
      <c r="J1" s="10">
        <v>44506</v>
      </c>
      <c r="K1" s="10">
        <v>44507</v>
      </c>
      <c r="L1" s="11">
        <v>44508</v>
      </c>
      <c r="M1" s="11">
        <v>44509</v>
      </c>
      <c r="N1" s="11">
        <v>44510</v>
      </c>
      <c r="O1" s="10">
        <v>44511</v>
      </c>
      <c r="P1" s="11">
        <v>44512</v>
      </c>
      <c r="Q1" s="10">
        <v>44513</v>
      </c>
      <c r="R1" s="10">
        <v>44514</v>
      </c>
      <c r="S1" s="11">
        <v>44515</v>
      </c>
      <c r="T1" s="11">
        <v>44516</v>
      </c>
      <c r="U1" s="11">
        <v>44517</v>
      </c>
      <c r="V1" s="11">
        <v>44518</v>
      </c>
      <c r="W1" s="11">
        <v>44519</v>
      </c>
      <c r="X1" s="10">
        <v>44520</v>
      </c>
      <c r="Y1" s="10">
        <v>44521</v>
      </c>
      <c r="Z1" s="11">
        <v>44522</v>
      </c>
      <c r="AA1" s="11">
        <v>44523</v>
      </c>
      <c r="AB1" s="11">
        <v>44524</v>
      </c>
      <c r="AC1" s="11">
        <v>44525</v>
      </c>
      <c r="AD1" s="11">
        <v>44526</v>
      </c>
      <c r="AE1" s="10">
        <v>44527</v>
      </c>
      <c r="AF1" s="10">
        <v>44528</v>
      </c>
      <c r="AG1" s="11">
        <v>44529</v>
      </c>
      <c r="AH1" s="12">
        <v>44530</v>
      </c>
      <c r="AI1" s="13"/>
      <c r="AJ1" s="14"/>
      <c r="AK1" s="15">
        <f>20*8</f>
        <v>160</v>
      </c>
      <c r="AL1" s="16" t="s">
        <v>53</v>
      </c>
      <c r="AM1" s="17" t="s">
        <v>54</v>
      </c>
      <c r="AN1" s="18" t="s">
        <v>55</v>
      </c>
      <c r="AO1" s="1" t="s">
        <v>56</v>
      </c>
      <c r="AP1" s="1" t="s">
        <v>57</v>
      </c>
    </row>
    <row r="2" spans="1:45" ht="15.9">
      <c r="A2" s="1" t="s">
        <v>58</v>
      </c>
      <c r="B2" s="1" t="s">
        <v>59</v>
      </c>
      <c r="C2" s="19" t="s">
        <v>60</v>
      </c>
      <c r="D2" s="20" t="e">
        <f>Zasoby!#REF!</f>
        <v>#REF!</v>
      </c>
      <c r="E2" s="21"/>
      <c r="F2" s="22" t="s">
        <v>59</v>
      </c>
      <c r="G2" s="22"/>
      <c r="H2" s="22"/>
      <c r="I2" s="22"/>
      <c r="J2" s="23"/>
      <c r="K2" s="23"/>
      <c r="L2" s="22"/>
      <c r="M2" s="22"/>
      <c r="N2" s="22"/>
      <c r="O2" s="23"/>
      <c r="P2" s="22"/>
      <c r="Q2" s="23"/>
      <c r="R2" s="23"/>
      <c r="S2" s="22"/>
      <c r="T2" s="22"/>
      <c r="U2" s="22"/>
      <c r="V2" s="22"/>
      <c r="W2" s="22"/>
      <c r="X2" s="23"/>
      <c r="Y2" s="23"/>
      <c r="Z2" s="22" t="s">
        <v>61</v>
      </c>
      <c r="AA2" s="22" t="s">
        <v>62</v>
      </c>
      <c r="AB2" s="22" t="s">
        <v>62</v>
      </c>
      <c r="AC2" s="22" t="s">
        <v>62</v>
      </c>
      <c r="AD2" s="22" t="s">
        <v>61</v>
      </c>
      <c r="AE2" s="23"/>
      <c r="AF2" s="23"/>
      <c r="AG2" s="22"/>
      <c r="AH2" s="24"/>
      <c r="AI2" s="25"/>
      <c r="AJ2" s="26" t="str">
        <f>Tabela13[[#This Row],[FUNKCJONARIUSZ]]</f>
        <v>F-sz 001</v>
      </c>
      <c r="AK2" s="27" t="e">
        <f t="shared" ref="AK2:AK26" si="0">D2+AL2+AM2+AN2-$AK$1+AO2+AP2</f>
        <v>#REF!</v>
      </c>
      <c r="AL2" s="28">
        <f t="shared" ref="AL2:AL29" si="1">COUNTIF(E2:AI2,"D")*24+COUNTIF(E2:AI2,"12g")*12</f>
        <v>24</v>
      </c>
      <c r="AM2">
        <f t="shared" ref="AM2:AM29" si="2">SUM(COUNTIF(E2:AI2,"k")+COUNTIF(E2:AI2,"s")+COUNTIF(E2:AI2,"wse"))*24+SUM(COUNTIF(E2:AI2,"Pk")+COUNTIF(E2:AI2,"Ps"))*12</f>
        <v>96</v>
      </c>
      <c r="AN2" s="29">
        <f t="shared" ref="AN2:AN11" si="3">SUM(E2:AI2)+COUNTIF(E2:AI2,"uw")*8+COUNTIF(E2:AI2,"us")*8+COUNTIF(E2:AI2,"uz")*8</f>
        <v>0</v>
      </c>
      <c r="AO2" s="1">
        <f t="shared" ref="AO2:AO29" si="4">COUNTIF(E2:AI2,"DT")*8</f>
        <v>0</v>
      </c>
      <c r="AP2" s="1">
        <v>0</v>
      </c>
    </row>
    <row r="3" spans="1:45" ht="15.9">
      <c r="A3" s="1" t="s">
        <v>63</v>
      </c>
      <c r="B3" s="1" t="s">
        <v>64</v>
      </c>
      <c r="C3" s="30" t="s">
        <v>65</v>
      </c>
      <c r="D3" s="20" t="e">
        <f>Zasoby!#REF!</f>
        <v>#REF!</v>
      </c>
      <c r="E3" s="31" t="s">
        <v>62</v>
      </c>
      <c r="F3" s="32" t="s">
        <v>61</v>
      </c>
      <c r="G3" s="32" t="s">
        <v>66</v>
      </c>
      <c r="H3" s="32" t="s">
        <v>66</v>
      </c>
      <c r="I3" s="32" t="s">
        <v>66</v>
      </c>
      <c r="J3" s="33" t="s">
        <v>66</v>
      </c>
      <c r="K3" s="33" t="s">
        <v>66</v>
      </c>
      <c r="L3" s="32" t="s">
        <v>59</v>
      </c>
      <c r="M3" s="32"/>
      <c r="N3" s="32"/>
      <c r="O3" s="33" t="s">
        <v>59</v>
      </c>
      <c r="P3" s="32"/>
      <c r="Q3" s="33"/>
      <c r="R3" s="33"/>
      <c r="S3" s="32"/>
      <c r="T3" s="32"/>
      <c r="U3" s="32"/>
      <c r="V3" s="32"/>
      <c r="W3" s="32"/>
      <c r="X3" s="33"/>
      <c r="Y3" s="33"/>
      <c r="Z3" s="32"/>
      <c r="AA3" s="32"/>
      <c r="AB3" s="32"/>
      <c r="AC3" s="32"/>
      <c r="AD3" s="32"/>
      <c r="AE3" s="33"/>
      <c r="AF3" s="33"/>
      <c r="AG3" s="32" t="s">
        <v>61</v>
      </c>
      <c r="AH3" s="34" t="s">
        <v>62</v>
      </c>
      <c r="AI3" s="35"/>
      <c r="AJ3" s="26" t="str">
        <f>Tabela13[[#This Row],[FUNKCJONARIUSZ]]</f>
        <v>F-sz 002</v>
      </c>
      <c r="AK3" s="27" t="e">
        <f t="shared" si="0"/>
        <v>#REF!</v>
      </c>
      <c r="AL3" s="28">
        <f t="shared" si="1"/>
        <v>48</v>
      </c>
      <c r="AM3">
        <f t="shared" si="2"/>
        <v>72</v>
      </c>
      <c r="AN3" s="29">
        <f t="shared" si="3"/>
        <v>0</v>
      </c>
      <c r="AO3" s="1">
        <f t="shared" si="4"/>
        <v>0</v>
      </c>
      <c r="AP3" s="1">
        <v>0</v>
      </c>
    </row>
    <row r="4" spans="1:45" ht="15.9">
      <c r="A4" s="1" t="s">
        <v>67</v>
      </c>
      <c r="B4" s="1" t="s">
        <v>64</v>
      </c>
      <c r="C4" s="30" t="s">
        <v>68</v>
      </c>
      <c r="D4" s="20" t="e">
        <f>Zasoby!#REF!</f>
        <v>#REF!</v>
      </c>
      <c r="E4" s="31"/>
      <c r="F4" s="32"/>
      <c r="G4" s="32"/>
      <c r="H4" s="32"/>
      <c r="I4" s="32"/>
      <c r="J4" s="33"/>
      <c r="K4" s="33"/>
      <c r="L4" s="32" t="s">
        <v>69</v>
      </c>
      <c r="M4" s="32" t="s">
        <v>70</v>
      </c>
      <c r="N4" s="32" t="s">
        <v>70</v>
      </c>
      <c r="O4" s="33" t="s">
        <v>70</v>
      </c>
      <c r="P4" s="32" t="s">
        <v>69</v>
      </c>
      <c r="Q4" s="33"/>
      <c r="R4" s="33"/>
      <c r="S4" s="32"/>
      <c r="T4" s="32"/>
      <c r="U4" s="32"/>
      <c r="V4" s="32"/>
      <c r="W4" s="32"/>
      <c r="X4" s="33"/>
      <c r="Y4" s="33"/>
      <c r="Z4" s="32"/>
      <c r="AA4" s="32"/>
      <c r="AB4" s="32"/>
      <c r="AC4" s="32"/>
      <c r="AD4" s="32"/>
      <c r="AE4" s="33"/>
      <c r="AF4" s="33"/>
      <c r="AG4" s="32"/>
      <c r="AH4" s="34"/>
      <c r="AI4" s="35"/>
      <c r="AJ4" s="26" t="str">
        <f>Tabela13[[#This Row],[FUNKCJONARIUSZ]]</f>
        <v>F-sz 003</v>
      </c>
      <c r="AK4" s="27" t="e">
        <f t="shared" si="0"/>
        <v>#REF!</v>
      </c>
      <c r="AL4" s="28">
        <f t="shared" si="1"/>
        <v>0</v>
      </c>
      <c r="AM4">
        <f t="shared" si="2"/>
        <v>96</v>
      </c>
      <c r="AN4" s="29">
        <f t="shared" si="3"/>
        <v>0</v>
      </c>
      <c r="AO4" s="1">
        <f t="shared" si="4"/>
        <v>0</v>
      </c>
      <c r="AP4" s="1">
        <v>0</v>
      </c>
    </row>
    <row r="5" spans="1:45" ht="15.9">
      <c r="A5" s="1" t="s">
        <v>63</v>
      </c>
      <c r="B5" s="1" t="s">
        <v>64</v>
      </c>
      <c r="C5" s="30" t="s">
        <v>71</v>
      </c>
      <c r="D5" s="20" t="e">
        <f>Zasoby!#REF!</f>
        <v>#REF!</v>
      </c>
      <c r="E5" s="31"/>
      <c r="F5" s="32" t="s">
        <v>69</v>
      </c>
      <c r="G5" s="32" t="s">
        <v>70</v>
      </c>
      <c r="H5" s="32" t="s">
        <v>70</v>
      </c>
      <c r="I5" s="32" t="s">
        <v>69</v>
      </c>
      <c r="J5" s="33" t="s">
        <v>66</v>
      </c>
      <c r="K5" s="33" t="s">
        <v>66</v>
      </c>
      <c r="L5" s="32" t="s">
        <v>66</v>
      </c>
      <c r="M5" s="32" t="s">
        <v>66</v>
      </c>
      <c r="N5" s="32" t="s">
        <v>59</v>
      </c>
      <c r="O5" s="33"/>
      <c r="P5" s="32"/>
      <c r="Q5" s="33"/>
      <c r="R5" s="33" t="s">
        <v>59</v>
      </c>
      <c r="S5" s="32"/>
      <c r="T5" s="32"/>
      <c r="U5" s="32"/>
      <c r="V5" s="32"/>
      <c r="W5" s="32"/>
      <c r="X5" s="33"/>
      <c r="Y5" s="33"/>
      <c r="Z5" s="32" t="s">
        <v>59</v>
      </c>
      <c r="AA5" s="32"/>
      <c r="AB5" s="32"/>
      <c r="AC5" s="32"/>
      <c r="AD5" s="32"/>
      <c r="AE5" s="33"/>
      <c r="AF5" s="33"/>
      <c r="AG5" s="32"/>
      <c r="AH5" s="34"/>
      <c r="AI5" s="35"/>
      <c r="AJ5" s="26" t="str">
        <f>Tabela13[[#This Row],[FUNKCJONARIUSZ]]</f>
        <v>F-sz 004</v>
      </c>
      <c r="AK5" s="27" t="e">
        <f t="shared" si="0"/>
        <v>#REF!</v>
      </c>
      <c r="AL5" s="28">
        <f t="shared" si="1"/>
        <v>72</v>
      </c>
      <c r="AM5">
        <f t="shared" si="2"/>
        <v>72</v>
      </c>
      <c r="AN5" s="29">
        <f t="shared" si="3"/>
        <v>0</v>
      </c>
      <c r="AO5" s="1">
        <f t="shared" si="4"/>
        <v>0</v>
      </c>
      <c r="AP5" s="1">
        <v>0</v>
      </c>
      <c r="AQ5" s="36" t="s">
        <v>59</v>
      </c>
      <c r="AR5" s="1" t="s">
        <v>72</v>
      </c>
      <c r="AS5" s="1">
        <v>24</v>
      </c>
    </row>
    <row r="6" spans="1:45" ht="15.9">
      <c r="A6" s="1" t="s">
        <v>67</v>
      </c>
      <c r="B6" s="1" t="s">
        <v>73</v>
      </c>
      <c r="C6" s="30" t="s">
        <v>74</v>
      </c>
      <c r="D6" s="20" t="e">
        <f>Zasoby!#REF!</f>
        <v>#REF!</v>
      </c>
      <c r="E6" s="31"/>
      <c r="F6" s="32"/>
      <c r="G6" s="32"/>
      <c r="H6" s="32"/>
      <c r="I6" s="32"/>
      <c r="J6" s="33"/>
      <c r="K6" s="33" t="s">
        <v>59</v>
      </c>
      <c r="L6" s="32"/>
      <c r="M6" s="32"/>
      <c r="N6" s="32"/>
      <c r="O6" s="33"/>
      <c r="P6" s="32"/>
      <c r="Q6" s="33"/>
      <c r="R6" s="33"/>
      <c r="S6" s="32" t="s">
        <v>75</v>
      </c>
      <c r="T6" s="32" t="s">
        <v>75</v>
      </c>
      <c r="U6" s="32" t="s">
        <v>75</v>
      </c>
      <c r="V6" s="32" t="s">
        <v>75</v>
      </c>
      <c r="W6" s="32"/>
      <c r="X6" s="33"/>
      <c r="Y6" s="33"/>
      <c r="Z6" s="32"/>
      <c r="AA6" s="32"/>
      <c r="AB6" s="32"/>
      <c r="AC6" s="32"/>
      <c r="AD6" s="32" t="s">
        <v>61</v>
      </c>
      <c r="AE6" s="33" t="s">
        <v>62</v>
      </c>
      <c r="AF6" s="33" t="s">
        <v>62</v>
      </c>
      <c r="AG6" s="32" t="s">
        <v>61</v>
      </c>
      <c r="AH6" s="34"/>
      <c r="AI6" s="35"/>
      <c r="AJ6" s="26" t="str">
        <f>Tabela13[[#This Row],[FUNKCJONARIUSZ]]</f>
        <v>F-sz 005</v>
      </c>
      <c r="AK6" s="27" t="e">
        <f t="shared" si="0"/>
        <v>#REF!</v>
      </c>
      <c r="AL6" s="28">
        <f t="shared" si="1"/>
        <v>24</v>
      </c>
      <c r="AM6">
        <f t="shared" si="2"/>
        <v>72</v>
      </c>
      <c r="AN6" s="29">
        <f t="shared" si="3"/>
        <v>32</v>
      </c>
      <c r="AO6" s="1">
        <f t="shared" si="4"/>
        <v>0</v>
      </c>
      <c r="AP6" s="1">
        <v>0</v>
      </c>
      <c r="AQ6" s="36" t="s">
        <v>76</v>
      </c>
      <c r="AR6" s="1" t="s">
        <v>77</v>
      </c>
      <c r="AS6" s="1">
        <v>12</v>
      </c>
    </row>
    <row r="7" spans="1:45" ht="15.9">
      <c r="A7" s="1" t="s">
        <v>67</v>
      </c>
      <c r="B7" s="1" t="s">
        <v>59</v>
      </c>
      <c r="C7" s="30" t="s">
        <v>78</v>
      </c>
      <c r="D7" s="20" t="e">
        <f>Zasoby!#REF!</f>
        <v>#REF!</v>
      </c>
      <c r="E7" s="31"/>
      <c r="F7" s="32"/>
      <c r="G7" s="32"/>
      <c r="H7" s="32"/>
      <c r="I7" s="32" t="s">
        <v>66</v>
      </c>
      <c r="J7" s="33" t="s">
        <v>66</v>
      </c>
      <c r="K7" s="33" t="s">
        <v>66</v>
      </c>
      <c r="L7" s="32"/>
      <c r="M7" s="32"/>
      <c r="N7" s="32"/>
      <c r="O7" s="33"/>
      <c r="P7" s="32"/>
      <c r="Q7" s="33"/>
      <c r="R7" s="33"/>
      <c r="S7" s="32" t="s">
        <v>69</v>
      </c>
      <c r="T7" s="32" t="s">
        <v>70</v>
      </c>
      <c r="U7" s="32" t="s">
        <v>70</v>
      </c>
      <c r="V7" s="32" t="s">
        <v>70</v>
      </c>
      <c r="W7" s="32" t="s">
        <v>70</v>
      </c>
      <c r="X7" s="33" t="s">
        <v>70</v>
      </c>
      <c r="Y7" s="33" t="s">
        <v>70</v>
      </c>
      <c r="Z7" s="32" t="s">
        <v>69</v>
      </c>
      <c r="AA7" s="32"/>
      <c r="AB7" s="32"/>
      <c r="AC7" s="32"/>
      <c r="AD7" s="32"/>
      <c r="AE7" s="33"/>
      <c r="AF7" s="33"/>
      <c r="AG7" s="32"/>
      <c r="AH7" s="34"/>
      <c r="AI7" s="35"/>
      <c r="AJ7" s="26" t="str">
        <f>Tabela13[[#This Row],[FUNKCJONARIUSZ]]</f>
        <v>F-sz 006</v>
      </c>
      <c r="AK7" s="27" t="e">
        <f t="shared" si="0"/>
        <v>#REF!</v>
      </c>
      <c r="AL7" s="28">
        <f t="shared" si="1"/>
        <v>0</v>
      </c>
      <c r="AM7">
        <f t="shared" si="2"/>
        <v>168</v>
      </c>
      <c r="AN7" s="29">
        <f t="shared" si="3"/>
        <v>0</v>
      </c>
      <c r="AO7" s="1">
        <f t="shared" si="4"/>
        <v>0</v>
      </c>
      <c r="AP7" s="1">
        <v>0</v>
      </c>
      <c r="AQ7" s="36" t="s">
        <v>69</v>
      </c>
      <c r="AR7" s="1" t="s">
        <v>79</v>
      </c>
      <c r="AS7" s="1">
        <v>12</v>
      </c>
    </row>
    <row r="8" spans="1:45" ht="15.9">
      <c r="A8" s="1" t="s">
        <v>67</v>
      </c>
      <c r="B8" s="1" t="s">
        <v>59</v>
      </c>
      <c r="C8" s="30" t="s">
        <v>80</v>
      </c>
      <c r="D8" s="20" t="e">
        <f>Zasoby!#REF!</f>
        <v>#REF!</v>
      </c>
      <c r="E8" s="31"/>
      <c r="F8" s="32" t="s">
        <v>61</v>
      </c>
      <c r="G8" s="32" t="s">
        <v>62</v>
      </c>
      <c r="H8" s="32" t="s">
        <v>62</v>
      </c>
      <c r="I8" s="32" t="s">
        <v>62</v>
      </c>
      <c r="J8" s="33" t="s">
        <v>62</v>
      </c>
      <c r="K8" s="33" t="s">
        <v>62</v>
      </c>
      <c r="L8" s="32" t="s">
        <v>61</v>
      </c>
      <c r="M8" s="32"/>
      <c r="N8" s="32"/>
      <c r="O8" s="33"/>
      <c r="P8" s="32"/>
      <c r="Q8" s="33"/>
      <c r="R8" s="33"/>
      <c r="S8" s="32"/>
      <c r="T8" s="32"/>
      <c r="U8" s="32"/>
      <c r="V8" s="32"/>
      <c r="W8" s="32"/>
      <c r="X8" s="33"/>
      <c r="Y8" s="33"/>
      <c r="Z8" s="37"/>
      <c r="AA8" s="37"/>
      <c r="AB8" s="37"/>
      <c r="AC8" s="37"/>
      <c r="AD8" s="37"/>
      <c r="AE8" s="38"/>
      <c r="AF8" s="38"/>
      <c r="AG8" s="37"/>
      <c r="AH8" s="34"/>
      <c r="AI8" s="35"/>
      <c r="AJ8" s="26" t="str">
        <f>Tabela13[[#This Row],[FUNKCJONARIUSZ]]</f>
        <v>F-sz 007</v>
      </c>
      <c r="AK8" s="27" t="e">
        <f t="shared" si="0"/>
        <v>#REF!</v>
      </c>
      <c r="AL8" s="28">
        <f t="shared" si="1"/>
        <v>0</v>
      </c>
      <c r="AM8">
        <f t="shared" si="2"/>
        <v>144</v>
      </c>
      <c r="AN8" s="29">
        <f t="shared" si="3"/>
        <v>0</v>
      </c>
      <c r="AO8" s="1">
        <f t="shared" si="4"/>
        <v>0</v>
      </c>
      <c r="AP8" s="1">
        <v>0</v>
      </c>
      <c r="AQ8" s="36" t="s">
        <v>70</v>
      </c>
      <c r="AR8" s="1" t="s">
        <v>81</v>
      </c>
      <c r="AS8" s="1">
        <v>24</v>
      </c>
    </row>
    <row r="9" spans="1:45" ht="15.9">
      <c r="A9" s="1" t="s">
        <v>67</v>
      </c>
      <c r="B9" s="1" t="s">
        <v>59</v>
      </c>
      <c r="C9" s="30" t="s">
        <v>82</v>
      </c>
      <c r="D9" s="20" t="e">
        <f>Zasoby!#REF!</f>
        <v>#REF!</v>
      </c>
      <c r="E9" s="31" t="s">
        <v>62</v>
      </c>
      <c r="F9" s="32" t="s">
        <v>61</v>
      </c>
      <c r="G9" s="32"/>
      <c r="H9" s="32"/>
      <c r="I9" s="32"/>
      <c r="J9" s="33"/>
      <c r="K9" s="33"/>
      <c r="L9" s="32"/>
      <c r="M9" s="32"/>
      <c r="N9" s="32" t="s">
        <v>75</v>
      </c>
      <c r="O9" s="33" t="s">
        <v>66</v>
      </c>
      <c r="P9" s="32" t="s">
        <v>75</v>
      </c>
      <c r="Q9" s="33"/>
      <c r="R9" s="33"/>
      <c r="S9" s="32"/>
      <c r="T9" s="32"/>
      <c r="U9" s="32"/>
      <c r="V9" s="32"/>
      <c r="W9" s="32"/>
      <c r="X9" s="33"/>
      <c r="Y9" s="39"/>
      <c r="Z9" s="32"/>
      <c r="AA9" s="40"/>
      <c r="AB9" s="32"/>
      <c r="AC9" s="32"/>
      <c r="AD9" s="32"/>
      <c r="AE9" s="33"/>
      <c r="AF9" s="33"/>
      <c r="AG9" s="32" t="s">
        <v>61</v>
      </c>
      <c r="AH9" s="35" t="s">
        <v>62</v>
      </c>
      <c r="AI9" s="35"/>
      <c r="AJ9" s="26" t="str">
        <f>Tabela13[[#This Row],[FUNKCJONARIUSZ]]</f>
        <v>F-sz 008</v>
      </c>
      <c r="AK9" s="27" t="e">
        <f t="shared" si="0"/>
        <v>#REF!</v>
      </c>
      <c r="AL9" s="28">
        <f t="shared" si="1"/>
        <v>0</v>
      </c>
      <c r="AM9">
        <f t="shared" si="2"/>
        <v>72</v>
      </c>
      <c r="AN9" s="29">
        <f t="shared" si="3"/>
        <v>16</v>
      </c>
      <c r="AO9" s="1">
        <f t="shared" si="4"/>
        <v>0</v>
      </c>
      <c r="AP9" s="1">
        <v>0</v>
      </c>
      <c r="AQ9" s="36" t="s">
        <v>83</v>
      </c>
      <c r="AR9" s="1" t="s">
        <v>84</v>
      </c>
      <c r="AS9" s="1">
        <v>8</v>
      </c>
    </row>
    <row r="10" spans="1:45" ht="15.9">
      <c r="A10" s="1" t="s">
        <v>58</v>
      </c>
      <c r="B10" s="1" t="s">
        <v>73</v>
      </c>
      <c r="C10" s="30" t="s">
        <v>85</v>
      </c>
      <c r="D10" s="20" t="e">
        <f>Zasoby!#REF!</f>
        <v>#REF!</v>
      </c>
      <c r="E10" s="31"/>
      <c r="F10" s="32" t="s">
        <v>75</v>
      </c>
      <c r="G10" s="32" t="s">
        <v>75</v>
      </c>
      <c r="H10" s="32" t="s">
        <v>75</v>
      </c>
      <c r="I10" s="32" t="s">
        <v>75</v>
      </c>
      <c r="J10" s="33" t="s">
        <v>66</v>
      </c>
      <c r="K10" s="33" t="s">
        <v>66</v>
      </c>
      <c r="L10" s="32" t="s">
        <v>75</v>
      </c>
      <c r="M10" s="32" t="s">
        <v>75</v>
      </c>
      <c r="N10" s="32"/>
      <c r="O10" s="33"/>
      <c r="P10" s="32"/>
      <c r="Q10" s="33"/>
      <c r="R10" s="33"/>
      <c r="S10" s="32"/>
      <c r="T10" s="32"/>
      <c r="U10" s="32"/>
      <c r="V10" s="32"/>
      <c r="W10" s="32"/>
      <c r="X10" s="33"/>
      <c r="Y10" s="33"/>
      <c r="Z10" s="41" t="s">
        <v>61</v>
      </c>
      <c r="AA10" s="41" t="s">
        <v>62</v>
      </c>
      <c r="AB10" s="41" t="s">
        <v>62</v>
      </c>
      <c r="AC10" s="41" t="s">
        <v>62</v>
      </c>
      <c r="AD10" s="41" t="s">
        <v>61</v>
      </c>
      <c r="AE10" s="42"/>
      <c r="AF10" s="42"/>
      <c r="AG10" s="41"/>
      <c r="AH10" s="34"/>
      <c r="AI10" s="35"/>
      <c r="AJ10" s="26" t="str">
        <f>Tabela13[[#This Row],[FUNKCJONARIUSZ]]</f>
        <v>F-sz 009</v>
      </c>
      <c r="AK10" s="27" t="e">
        <f t="shared" si="0"/>
        <v>#REF!</v>
      </c>
      <c r="AL10" s="28">
        <f t="shared" si="1"/>
        <v>0</v>
      </c>
      <c r="AM10">
        <f t="shared" si="2"/>
        <v>96</v>
      </c>
      <c r="AN10" s="29">
        <f t="shared" si="3"/>
        <v>48</v>
      </c>
      <c r="AO10" s="1">
        <f t="shared" si="4"/>
        <v>0</v>
      </c>
      <c r="AP10" s="1">
        <v>0</v>
      </c>
      <c r="AQ10" s="36" t="s">
        <v>75</v>
      </c>
      <c r="AR10" s="1" t="s">
        <v>86</v>
      </c>
      <c r="AS10" s="1">
        <v>8</v>
      </c>
    </row>
    <row r="11" spans="1:45" ht="15.9">
      <c r="A11" s="1" t="s">
        <v>58</v>
      </c>
      <c r="B11" s="1" t="s">
        <v>73</v>
      </c>
      <c r="C11" s="30" t="s">
        <v>87</v>
      </c>
      <c r="D11" s="20" t="e">
        <f>Zasoby!#REF!</f>
        <v>#REF!</v>
      </c>
      <c r="E11" s="31" t="s">
        <v>62</v>
      </c>
      <c r="F11" s="32" t="s">
        <v>61</v>
      </c>
      <c r="G11" s="32"/>
      <c r="H11" s="32"/>
      <c r="I11" s="32"/>
      <c r="J11" s="33"/>
      <c r="K11" s="33"/>
      <c r="L11" s="32"/>
      <c r="M11" s="32"/>
      <c r="N11" s="32"/>
      <c r="O11" s="33"/>
      <c r="P11" s="32"/>
      <c r="Q11" s="33"/>
      <c r="R11" s="33"/>
      <c r="S11" s="32"/>
      <c r="T11" s="32"/>
      <c r="U11" s="32"/>
      <c r="V11" s="32"/>
      <c r="W11" s="32" t="s">
        <v>61</v>
      </c>
      <c r="X11" s="33" t="s">
        <v>62</v>
      </c>
      <c r="Y11" s="33" t="s">
        <v>62</v>
      </c>
      <c r="Z11" s="32" t="s">
        <v>61</v>
      </c>
      <c r="AA11" s="32"/>
      <c r="AB11" s="32"/>
      <c r="AC11" s="32"/>
      <c r="AD11" s="32"/>
      <c r="AE11" s="33"/>
      <c r="AF11" s="33"/>
      <c r="AG11" s="32" t="s">
        <v>61</v>
      </c>
      <c r="AH11" s="34" t="s">
        <v>62</v>
      </c>
      <c r="AI11" s="35"/>
      <c r="AJ11" s="26" t="str">
        <f>Tabela13[[#This Row],[FUNKCJONARIUSZ]]</f>
        <v>F-sz 010</v>
      </c>
      <c r="AK11" s="27" t="e">
        <f t="shared" si="0"/>
        <v>#REF!</v>
      </c>
      <c r="AL11" s="28">
        <f t="shared" si="1"/>
        <v>0</v>
      </c>
      <c r="AM11">
        <f t="shared" si="2"/>
        <v>144</v>
      </c>
      <c r="AN11" s="29">
        <f t="shared" si="3"/>
        <v>0</v>
      </c>
      <c r="AO11" s="1">
        <f t="shared" si="4"/>
        <v>0</v>
      </c>
      <c r="AP11" s="1">
        <v>0</v>
      </c>
      <c r="AQ11" s="36" t="s">
        <v>88</v>
      </c>
      <c r="AR11" s="1" t="s">
        <v>89</v>
      </c>
      <c r="AS11" s="1">
        <v>8</v>
      </c>
    </row>
    <row r="12" spans="1:45" ht="15.9">
      <c r="A12" s="1" t="s">
        <v>90</v>
      </c>
      <c r="B12" s="1" t="s">
        <v>64</v>
      </c>
      <c r="C12" s="30" t="s">
        <v>91</v>
      </c>
      <c r="D12" s="20" t="e">
        <f>Zasoby!#REF!</f>
        <v>#REF!</v>
      </c>
      <c r="E12" s="31"/>
      <c r="F12" s="32"/>
      <c r="G12" s="32"/>
      <c r="H12" s="32"/>
      <c r="I12" s="32"/>
      <c r="J12" s="33" t="s">
        <v>59</v>
      </c>
      <c r="K12" s="33"/>
      <c r="L12" s="43"/>
      <c r="M12" s="43"/>
      <c r="N12" s="43"/>
      <c r="O12" s="33"/>
      <c r="P12" s="32"/>
      <c r="Q12" s="33"/>
      <c r="R12" s="33"/>
      <c r="S12" s="32" t="s">
        <v>61</v>
      </c>
      <c r="T12" s="43" t="s">
        <v>62</v>
      </c>
      <c r="U12" s="43" t="s">
        <v>62</v>
      </c>
      <c r="V12" s="32" t="s">
        <v>62</v>
      </c>
      <c r="W12" s="32" t="s">
        <v>61</v>
      </c>
      <c r="X12" s="33"/>
      <c r="Y12" s="33"/>
      <c r="Z12" s="32"/>
      <c r="AA12" s="32"/>
      <c r="AB12" s="32"/>
      <c r="AC12" s="32"/>
      <c r="AD12" s="32"/>
      <c r="AE12" s="33"/>
      <c r="AF12" s="33"/>
      <c r="AG12" s="32"/>
      <c r="AH12" s="34"/>
      <c r="AI12" s="35"/>
      <c r="AJ12" s="26" t="str">
        <f>Tabela13[[#This Row],[FUNKCJONARIUSZ]]</f>
        <v>F-sz 011</v>
      </c>
      <c r="AK12" s="27" t="e">
        <f t="shared" si="0"/>
        <v>#REF!</v>
      </c>
      <c r="AL12" s="28">
        <f t="shared" si="1"/>
        <v>24</v>
      </c>
      <c r="AM12">
        <f t="shared" si="2"/>
        <v>96</v>
      </c>
      <c r="AN12" s="29"/>
      <c r="AO12" s="1">
        <f t="shared" si="4"/>
        <v>0</v>
      </c>
      <c r="AP12" s="1">
        <v>0</v>
      </c>
      <c r="AQ12" s="36" t="s">
        <v>92</v>
      </c>
      <c r="AR12" s="1" t="s">
        <v>79</v>
      </c>
      <c r="AS12" s="1">
        <v>12</v>
      </c>
    </row>
    <row r="13" spans="1:45" ht="15.9">
      <c r="A13" s="1" t="s">
        <v>58</v>
      </c>
      <c r="B13" s="1" t="s">
        <v>93</v>
      </c>
      <c r="C13" s="30" t="s">
        <v>94</v>
      </c>
      <c r="D13" s="20" t="e">
        <f>Zasoby!#REF!</f>
        <v>#REF!</v>
      </c>
      <c r="E13" s="31"/>
      <c r="F13" s="32" t="s">
        <v>69</v>
      </c>
      <c r="G13" s="32" t="s">
        <v>70</v>
      </c>
      <c r="H13" s="32" t="s">
        <v>70</v>
      </c>
      <c r="I13" s="32" t="s">
        <v>70</v>
      </c>
      <c r="J13" s="33" t="s">
        <v>70</v>
      </c>
      <c r="K13" s="33" t="s">
        <v>70</v>
      </c>
      <c r="L13" s="32" t="s">
        <v>69</v>
      </c>
      <c r="M13" s="32" t="s">
        <v>66</v>
      </c>
      <c r="N13" s="32" t="s">
        <v>66</v>
      </c>
      <c r="O13" s="33" t="s">
        <v>66</v>
      </c>
      <c r="P13" s="32" t="s">
        <v>66</v>
      </c>
      <c r="Q13" s="33" t="s">
        <v>66</v>
      </c>
      <c r="R13" s="33" t="s">
        <v>66</v>
      </c>
      <c r="S13" s="32" t="s">
        <v>66</v>
      </c>
      <c r="T13" s="32"/>
      <c r="U13" s="32"/>
      <c r="V13" s="32"/>
      <c r="W13" s="32" t="s">
        <v>61</v>
      </c>
      <c r="X13" s="33" t="s">
        <v>62</v>
      </c>
      <c r="Y13" s="33" t="s">
        <v>62</v>
      </c>
      <c r="Z13" s="32" t="s">
        <v>61</v>
      </c>
      <c r="AA13" s="32" t="s">
        <v>66</v>
      </c>
      <c r="AB13" s="32" t="s">
        <v>66</v>
      </c>
      <c r="AC13" s="32" t="s">
        <v>66</v>
      </c>
      <c r="AD13" s="32" t="s">
        <v>66</v>
      </c>
      <c r="AE13" s="33" t="s">
        <v>59</v>
      </c>
      <c r="AF13" s="33"/>
      <c r="AG13" s="32"/>
      <c r="AH13" s="34" t="s">
        <v>59</v>
      </c>
      <c r="AI13" s="35"/>
      <c r="AJ13" s="26" t="str">
        <f>Tabela13[[#This Row],[FUNKCJONARIUSZ]]</f>
        <v>F-sz 012</v>
      </c>
      <c r="AK13" s="27" t="e">
        <f t="shared" si="0"/>
        <v>#REF!</v>
      </c>
      <c r="AL13" s="28">
        <f t="shared" si="1"/>
        <v>48</v>
      </c>
      <c r="AM13">
        <f t="shared" si="2"/>
        <v>216</v>
      </c>
      <c r="AN13" s="29">
        <f t="shared" ref="AN13:AN29" si="5">SUM(E13:AI13)+COUNTIF(E13:AI13,"uw")*8+COUNTIF(E13:AI13,"us")*8+COUNTIF(E13:AI13,"uz")*8</f>
        <v>0</v>
      </c>
      <c r="AO13" s="1">
        <f t="shared" si="4"/>
        <v>0</v>
      </c>
      <c r="AP13" s="1">
        <v>0</v>
      </c>
      <c r="AQ13" s="36" t="s">
        <v>95</v>
      </c>
      <c r="AR13" s="1" t="s">
        <v>96</v>
      </c>
      <c r="AS13" s="1">
        <v>24</v>
      </c>
    </row>
    <row r="14" spans="1:45" ht="15.9">
      <c r="A14" s="1" t="s">
        <v>90</v>
      </c>
      <c r="B14" s="1" t="s">
        <v>59</v>
      </c>
      <c r="C14" s="30" t="s">
        <v>97</v>
      </c>
      <c r="D14" s="20" t="e">
        <f>Zasoby!#REF!</f>
        <v>#REF!</v>
      </c>
      <c r="E14" s="31"/>
      <c r="F14" s="32"/>
      <c r="G14" s="32" t="s">
        <v>59</v>
      </c>
      <c r="H14" s="32"/>
      <c r="I14" s="32"/>
      <c r="J14" s="33"/>
      <c r="K14" s="33"/>
      <c r="L14" s="32"/>
      <c r="M14" s="32"/>
      <c r="N14" s="32"/>
      <c r="O14" s="33"/>
      <c r="P14" s="32"/>
      <c r="Q14" s="33"/>
      <c r="R14" s="33"/>
      <c r="S14" s="32" t="s">
        <v>61</v>
      </c>
      <c r="T14" s="32" t="s">
        <v>62</v>
      </c>
      <c r="U14" s="32" t="s">
        <v>62</v>
      </c>
      <c r="V14" s="32" t="s">
        <v>62</v>
      </c>
      <c r="W14" s="32" t="s">
        <v>61</v>
      </c>
      <c r="X14" s="33"/>
      <c r="Y14" s="33"/>
      <c r="Z14" s="32"/>
      <c r="AA14" s="32"/>
      <c r="AB14" s="32"/>
      <c r="AC14" s="32" t="s">
        <v>59</v>
      </c>
      <c r="AD14" s="32"/>
      <c r="AE14" s="33"/>
      <c r="AF14" s="33"/>
      <c r="AG14" s="32"/>
      <c r="AH14" s="34"/>
      <c r="AI14" s="35"/>
      <c r="AJ14" s="26" t="str">
        <f>Tabela13[[#This Row],[FUNKCJONARIUSZ]]</f>
        <v>F-sz 013</v>
      </c>
      <c r="AK14" s="27" t="e">
        <f t="shared" si="0"/>
        <v>#REF!</v>
      </c>
      <c r="AL14" s="28">
        <f t="shared" si="1"/>
        <v>48</v>
      </c>
      <c r="AM14">
        <f t="shared" si="2"/>
        <v>96</v>
      </c>
      <c r="AN14" s="29">
        <f t="shared" si="5"/>
        <v>0</v>
      </c>
      <c r="AO14" s="1">
        <f t="shared" si="4"/>
        <v>0</v>
      </c>
      <c r="AP14" s="1">
        <v>0</v>
      </c>
      <c r="AQ14" s="36" t="s">
        <v>98</v>
      </c>
      <c r="AR14" s="1" t="s">
        <v>99</v>
      </c>
      <c r="AS14" s="1">
        <v>24</v>
      </c>
    </row>
    <row r="15" spans="1:45" ht="15.9">
      <c r="A15" s="1" t="s">
        <v>58</v>
      </c>
      <c r="B15" s="1" t="s">
        <v>93</v>
      </c>
      <c r="C15" s="30" t="s">
        <v>100</v>
      </c>
      <c r="D15" s="20" t="e">
        <f>Zasoby!#REF!</f>
        <v>#REF!</v>
      </c>
      <c r="E15" s="31"/>
      <c r="F15" s="32"/>
      <c r="G15" s="32"/>
      <c r="H15" s="32"/>
      <c r="I15" s="32"/>
      <c r="J15" s="33"/>
      <c r="K15" s="33"/>
      <c r="L15" s="32" t="s">
        <v>61</v>
      </c>
      <c r="M15" s="32" t="s">
        <v>62</v>
      </c>
      <c r="N15" s="32" t="s">
        <v>62</v>
      </c>
      <c r="O15" s="33" t="s">
        <v>62</v>
      </c>
      <c r="P15" s="32" t="s">
        <v>61</v>
      </c>
      <c r="Q15" s="33"/>
      <c r="R15" s="33"/>
      <c r="S15" s="32"/>
      <c r="T15" s="32"/>
      <c r="U15" s="32"/>
      <c r="V15" s="32"/>
      <c r="W15" s="32"/>
      <c r="X15" s="33"/>
      <c r="Y15" s="33"/>
      <c r="Z15" s="32"/>
      <c r="AA15" s="32"/>
      <c r="AB15" s="32" t="s">
        <v>59</v>
      </c>
      <c r="AC15" s="32"/>
      <c r="AD15" s="32"/>
      <c r="AE15" s="33"/>
      <c r="AF15" s="33"/>
      <c r="AG15" s="32"/>
      <c r="AH15" s="34"/>
      <c r="AI15" s="35"/>
      <c r="AJ15" s="26" t="str">
        <f>Tabela13[[#This Row],[FUNKCJONARIUSZ]]</f>
        <v>F-sz 014</v>
      </c>
      <c r="AK15" s="27" t="e">
        <f t="shared" si="0"/>
        <v>#REF!</v>
      </c>
      <c r="AL15" s="28">
        <f t="shared" si="1"/>
        <v>24</v>
      </c>
      <c r="AM15">
        <f t="shared" si="2"/>
        <v>96</v>
      </c>
      <c r="AN15" s="29">
        <f t="shared" si="5"/>
        <v>0</v>
      </c>
      <c r="AO15" s="1">
        <f t="shared" si="4"/>
        <v>0</v>
      </c>
      <c r="AP15" s="1">
        <v>0</v>
      </c>
      <c r="AQ15" s="32" t="s">
        <v>101</v>
      </c>
      <c r="AR15" s="1" t="s">
        <v>102</v>
      </c>
      <c r="AS15" s="1" t="s">
        <v>103</v>
      </c>
    </row>
    <row r="16" spans="1:45" ht="15.9">
      <c r="A16" s="1" t="s">
        <v>90</v>
      </c>
      <c r="B16" s="1" t="s">
        <v>64</v>
      </c>
      <c r="C16" s="30" t="s">
        <v>104</v>
      </c>
      <c r="D16" s="20" t="e">
        <f>Zasoby!#REF!</f>
        <v>#REF!</v>
      </c>
      <c r="E16" s="31"/>
      <c r="F16" s="32"/>
      <c r="G16" s="32"/>
      <c r="H16" s="32"/>
      <c r="I16" s="32"/>
      <c r="J16" s="33"/>
      <c r="K16" s="33"/>
      <c r="L16" s="32"/>
      <c r="M16" s="32"/>
      <c r="N16" s="32"/>
      <c r="O16" s="33"/>
      <c r="P16" s="32"/>
      <c r="Q16" s="33"/>
      <c r="R16" s="33"/>
      <c r="S16" s="32"/>
      <c r="T16" s="32"/>
      <c r="U16" s="32"/>
      <c r="V16" s="32"/>
      <c r="W16" s="32" t="s">
        <v>59</v>
      </c>
      <c r="X16" s="33"/>
      <c r="Y16" s="33"/>
      <c r="Z16" s="32" t="s">
        <v>61</v>
      </c>
      <c r="AA16" s="32" t="s">
        <v>62</v>
      </c>
      <c r="AB16" s="32" t="s">
        <v>62</v>
      </c>
      <c r="AC16" s="32" t="s">
        <v>62</v>
      </c>
      <c r="AD16" s="32" t="s">
        <v>61</v>
      </c>
      <c r="AE16" s="33"/>
      <c r="AF16" s="33"/>
      <c r="AG16" s="32"/>
      <c r="AH16" s="34"/>
      <c r="AI16" s="35"/>
      <c r="AJ16" s="26" t="str">
        <f>Tabela13[[#This Row],[FUNKCJONARIUSZ]]</f>
        <v>F-sz 015</v>
      </c>
      <c r="AK16" s="27" t="e">
        <f t="shared" si="0"/>
        <v>#REF!</v>
      </c>
      <c r="AL16" s="28">
        <f t="shared" si="1"/>
        <v>24</v>
      </c>
      <c r="AM16">
        <f t="shared" si="2"/>
        <v>96</v>
      </c>
      <c r="AN16" s="29">
        <f t="shared" si="5"/>
        <v>0</v>
      </c>
      <c r="AO16" s="1">
        <f t="shared" si="4"/>
        <v>0</v>
      </c>
      <c r="AP16" s="1">
        <v>0</v>
      </c>
    </row>
    <row r="17" spans="1:42" ht="15.9">
      <c r="A17" s="1" t="s">
        <v>105</v>
      </c>
      <c r="B17" s="1" t="s">
        <v>64</v>
      </c>
      <c r="C17" s="30" t="s">
        <v>106</v>
      </c>
      <c r="D17" s="20" t="e">
        <f>Zasoby!#REF!</f>
        <v>#REF!</v>
      </c>
      <c r="E17" s="31" t="s">
        <v>59</v>
      </c>
      <c r="F17" s="32"/>
      <c r="G17" s="32"/>
      <c r="H17" s="32" t="s">
        <v>75</v>
      </c>
      <c r="I17" s="32" t="s">
        <v>75</v>
      </c>
      <c r="J17" s="33"/>
      <c r="K17" s="33"/>
      <c r="L17" s="32"/>
      <c r="M17" s="32"/>
      <c r="N17" s="32"/>
      <c r="O17" s="33"/>
      <c r="P17" s="32"/>
      <c r="Q17" s="33"/>
      <c r="R17" s="33"/>
      <c r="S17" s="32"/>
      <c r="T17" s="32" t="s">
        <v>59</v>
      </c>
      <c r="U17" s="32"/>
      <c r="V17" s="32"/>
      <c r="W17" s="32"/>
      <c r="X17" s="33" t="s">
        <v>59</v>
      </c>
      <c r="Y17" s="33"/>
      <c r="Z17" s="32"/>
      <c r="AA17" s="32"/>
      <c r="AB17" s="32"/>
      <c r="AC17" s="32"/>
      <c r="AD17" s="32"/>
      <c r="AE17" s="33"/>
      <c r="AF17" s="33"/>
      <c r="AG17" s="32"/>
      <c r="AH17" s="34"/>
      <c r="AI17" s="35"/>
      <c r="AJ17" s="26" t="str">
        <f>Tabela13[[#This Row],[FUNKCJONARIUSZ]]</f>
        <v>F-sz 016</v>
      </c>
      <c r="AK17" s="27" t="e">
        <f t="shared" si="0"/>
        <v>#REF!</v>
      </c>
      <c r="AL17" s="28">
        <f t="shared" si="1"/>
        <v>72</v>
      </c>
      <c r="AM17">
        <f t="shared" si="2"/>
        <v>0</v>
      </c>
      <c r="AN17" s="29">
        <f t="shared" si="5"/>
        <v>16</v>
      </c>
      <c r="AO17" s="1">
        <f t="shared" si="4"/>
        <v>0</v>
      </c>
      <c r="AP17" s="1">
        <v>0</v>
      </c>
    </row>
    <row r="18" spans="1:42" ht="15.9">
      <c r="A18" s="1" t="s">
        <v>67</v>
      </c>
      <c r="B18" s="1" t="s">
        <v>73</v>
      </c>
      <c r="C18" s="30" t="s">
        <v>107</v>
      </c>
      <c r="D18" s="20" t="e">
        <f>Zasoby!#REF!</f>
        <v>#REF!</v>
      </c>
      <c r="E18" s="31" t="s">
        <v>66</v>
      </c>
      <c r="F18" s="32" t="s">
        <v>75</v>
      </c>
      <c r="G18" s="32" t="s">
        <v>75</v>
      </c>
      <c r="H18" s="32"/>
      <c r="I18" s="32"/>
      <c r="J18" s="33"/>
      <c r="K18" s="33"/>
      <c r="L18" s="32" t="s">
        <v>61</v>
      </c>
      <c r="M18" s="32" t="s">
        <v>62</v>
      </c>
      <c r="N18" s="32" t="s">
        <v>62</v>
      </c>
      <c r="O18" s="33" t="s">
        <v>62</v>
      </c>
      <c r="P18" s="32" t="s">
        <v>61</v>
      </c>
      <c r="Q18" s="33"/>
      <c r="R18" s="33"/>
      <c r="S18" s="32"/>
      <c r="T18" s="32"/>
      <c r="U18" s="32"/>
      <c r="V18" s="32"/>
      <c r="W18" s="32"/>
      <c r="X18" s="33"/>
      <c r="Y18" s="33"/>
      <c r="Z18" s="32"/>
      <c r="AA18" s="32"/>
      <c r="AB18" s="32"/>
      <c r="AC18" s="32"/>
      <c r="AD18" s="32"/>
      <c r="AE18" s="33"/>
      <c r="AF18" s="33"/>
      <c r="AG18" s="32"/>
      <c r="AH18" s="34"/>
      <c r="AI18" s="35"/>
      <c r="AJ18" s="26" t="str">
        <f>Tabela13[[#This Row],[FUNKCJONARIUSZ]]</f>
        <v>F-sz 017</v>
      </c>
      <c r="AK18" s="27" t="e">
        <f t="shared" si="0"/>
        <v>#REF!</v>
      </c>
      <c r="AL18" s="28">
        <f t="shared" si="1"/>
        <v>0</v>
      </c>
      <c r="AM18">
        <f t="shared" si="2"/>
        <v>96</v>
      </c>
      <c r="AN18" s="29">
        <f t="shared" si="5"/>
        <v>16</v>
      </c>
      <c r="AO18" s="1">
        <f t="shared" si="4"/>
        <v>0</v>
      </c>
      <c r="AP18" s="1">
        <v>0</v>
      </c>
    </row>
    <row r="19" spans="1:42" ht="15.9">
      <c r="A19" s="1" t="s">
        <v>90</v>
      </c>
      <c r="B19" s="1" t="s">
        <v>59</v>
      </c>
      <c r="C19" s="30" t="s">
        <v>108</v>
      </c>
      <c r="D19" s="20" t="e">
        <f>Zasoby!#REF!</f>
        <v>#REF!</v>
      </c>
      <c r="E19" s="31"/>
      <c r="F19" s="32"/>
      <c r="G19" s="32"/>
      <c r="H19" s="32"/>
      <c r="I19" s="32" t="s">
        <v>59</v>
      </c>
      <c r="J19" s="33"/>
      <c r="K19" s="33"/>
      <c r="L19" s="32"/>
      <c r="M19" s="32"/>
      <c r="N19" s="32"/>
      <c r="O19" s="33"/>
      <c r="P19" s="32"/>
      <c r="Q19" s="33"/>
      <c r="R19" s="33"/>
      <c r="S19" s="32"/>
      <c r="T19" s="32"/>
      <c r="U19" s="32"/>
      <c r="V19" s="32"/>
      <c r="W19" s="32"/>
      <c r="X19" s="33"/>
      <c r="Y19" s="33"/>
      <c r="Z19" s="32" t="s">
        <v>61</v>
      </c>
      <c r="AA19" s="32" t="s">
        <v>62</v>
      </c>
      <c r="AB19" s="32" t="s">
        <v>62</v>
      </c>
      <c r="AC19" s="32" t="s">
        <v>62</v>
      </c>
      <c r="AD19" s="32" t="s">
        <v>62</v>
      </c>
      <c r="AE19" s="33" t="s">
        <v>62</v>
      </c>
      <c r="AF19" s="33" t="s">
        <v>62</v>
      </c>
      <c r="AG19" s="32" t="s">
        <v>61</v>
      </c>
      <c r="AH19" s="34"/>
      <c r="AI19" s="35"/>
      <c r="AJ19" s="26" t="str">
        <f>Tabela13[[#This Row],[FUNKCJONARIUSZ]]</f>
        <v>F-sz 018</v>
      </c>
      <c r="AK19" s="27" t="e">
        <f t="shared" si="0"/>
        <v>#REF!</v>
      </c>
      <c r="AL19" s="28">
        <f t="shared" si="1"/>
        <v>24</v>
      </c>
      <c r="AM19">
        <f t="shared" si="2"/>
        <v>168</v>
      </c>
      <c r="AN19" s="29">
        <f t="shared" si="5"/>
        <v>0</v>
      </c>
      <c r="AO19" s="1">
        <f t="shared" si="4"/>
        <v>0</v>
      </c>
      <c r="AP19" s="1">
        <v>0</v>
      </c>
    </row>
    <row r="20" spans="1:42" ht="15.9">
      <c r="A20" s="1" t="s">
        <v>58</v>
      </c>
      <c r="B20" s="1" t="s">
        <v>59</v>
      </c>
      <c r="C20" s="30" t="s">
        <v>109</v>
      </c>
      <c r="D20" s="20" t="e">
        <f>Zasoby!#REF!</f>
        <v>#REF!</v>
      </c>
      <c r="E20" s="31"/>
      <c r="F20" s="32"/>
      <c r="G20" s="32"/>
      <c r="H20" s="32" t="s">
        <v>59</v>
      </c>
      <c r="I20" s="32"/>
      <c r="J20" s="33"/>
      <c r="K20" s="33"/>
      <c r="L20" s="32"/>
      <c r="M20" s="32"/>
      <c r="N20" s="32"/>
      <c r="O20" s="33"/>
      <c r="P20" s="32"/>
      <c r="Q20" s="33"/>
      <c r="R20" s="33"/>
      <c r="S20" s="32"/>
      <c r="T20" s="32"/>
      <c r="U20" s="32"/>
      <c r="V20" s="32"/>
      <c r="W20" s="32"/>
      <c r="X20" s="33"/>
      <c r="Y20" s="33"/>
      <c r="Z20" s="32"/>
      <c r="AA20" s="32"/>
      <c r="AB20" s="32"/>
      <c r="AC20" s="32"/>
      <c r="AD20" s="32" t="s">
        <v>61</v>
      </c>
      <c r="AE20" s="33" t="s">
        <v>62</v>
      </c>
      <c r="AF20" s="33" t="s">
        <v>62</v>
      </c>
      <c r="AG20" s="32" t="s">
        <v>61</v>
      </c>
      <c r="AH20" s="34"/>
      <c r="AI20" s="35"/>
      <c r="AJ20" s="26" t="str">
        <f>Tabela13[[#This Row],[FUNKCJONARIUSZ]]</f>
        <v>F-sz 019</v>
      </c>
      <c r="AK20" s="27" t="e">
        <f t="shared" si="0"/>
        <v>#REF!</v>
      </c>
      <c r="AL20" s="28">
        <f t="shared" si="1"/>
        <v>24</v>
      </c>
      <c r="AM20">
        <f t="shared" si="2"/>
        <v>72</v>
      </c>
      <c r="AN20" s="29">
        <f t="shared" si="5"/>
        <v>0</v>
      </c>
      <c r="AO20" s="1">
        <f t="shared" si="4"/>
        <v>0</v>
      </c>
      <c r="AP20" s="1">
        <v>0</v>
      </c>
    </row>
    <row r="21" spans="1:42" ht="15.9">
      <c r="A21" s="1" t="s">
        <v>67</v>
      </c>
      <c r="B21" s="1" t="s">
        <v>93</v>
      </c>
      <c r="C21" s="30" t="s">
        <v>110</v>
      </c>
      <c r="D21" s="20" t="e">
        <f>Zasoby!#REF!</f>
        <v>#REF!</v>
      </c>
      <c r="E21" s="31" t="s">
        <v>62</v>
      </c>
      <c r="F21" s="32" t="s">
        <v>61</v>
      </c>
      <c r="G21" s="32"/>
      <c r="H21" s="32"/>
      <c r="I21" s="32"/>
      <c r="J21" s="33"/>
      <c r="K21" s="33"/>
      <c r="L21" s="37"/>
      <c r="M21" s="37"/>
      <c r="N21" s="37"/>
      <c r="O21" s="38"/>
      <c r="P21" s="37"/>
      <c r="Q21" s="38"/>
      <c r="R21" s="38"/>
      <c r="S21" s="37"/>
      <c r="T21" s="32"/>
      <c r="U21" s="32" t="s">
        <v>59</v>
      </c>
      <c r="V21" s="32"/>
      <c r="W21" s="32"/>
      <c r="X21" s="33"/>
      <c r="Y21" s="33"/>
      <c r="Z21" s="32"/>
      <c r="AA21" s="32"/>
      <c r="AB21" s="32"/>
      <c r="AC21" s="32"/>
      <c r="AD21" s="32"/>
      <c r="AE21" s="33"/>
      <c r="AF21" s="33"/>
      <c r="AG21" s="32" t="s">
        <v>61</v>
      </c>
      <c r="AH21" s="34" t="s">
        <v>62</v>
      </c>
      <c r="AI21" s="35"/>
      <c r="AJ21" s="26" t="str">
        <f>Tabela13[[#This Row],[FUNKCJONARIUSZ]]</f>
        <v>F-sz 020</v>
      </c>
      <c r="AK21" s="27" t="e">
        <f t="shared" si="0"/>
        <v>#REF!</v>
      </c>
      <c r="AL21" s="28">
        <f t="shared" si="1"/>
        <v>24</v>
      </c>
      <c r="AM21">
        <f t="shared" si="2"/>
        <v>72</v>
      </c>
      <c r="AN21" s="29">
        <f t="shared" si="5"/>
        <v>0</v>
      </c>
      <c r="AO21" s="1">
        <f t="shared" si="4"/>
        <v>0</v>
      </c>
      <c r="AP21" s="1">
        <v>0</v>
      </c>
    </row>
    <row r="22" spans="1:42" ht="15.9">
      <c r="A22" s="1" t="s">
        <v>58</v>
      </c>
      <c r="B22" s="1" t="s">
        <v>59</v>
      </c>
      <c r="C22" s="30" t="s">
        <v>111</v>
      </c>
      <c r="D22" s="20" t="e">
        <f>Zasoby!#REF!</f>
        <v>#REF!</v>
      </c>
      <c r="E22" s="31" t="s">
        <v>66</v>
      </c>
      <c r="F22" s="32" t="s">
        <v>66</v>
      </c>
      <c r="G22" s="32" t="s">
        <v>66</v>
      </c>
      <c r="H22" s="32" t="s">
        <v>66</v>
      </c>
      <c r="I22" s="32" t="s">
        <v>66</v>
      </c>
      <c r="J22" s="33" t="s">
        <v>66</v>
      </c>
      <c r="K22" s="39" t="s">
        <v>66</v>
      </c>
      <c r="L22" s="44" t="s">
        <v>61</v>
      </c>
      <c r="M22" s="45" t="s">
        <v>62</v>
      </c>
      <c r="N22" s="45" t="s">
        <v>62</v>
      </c>
      <c r="O22" s="46" t="s">
        <v>62</v>
      </c>
      <c r="P22" s="45" t="s">
        <v>62</v>
      </c>
      <c r="Q22" s="46" t="s">
        <v>62</v>
      </c>
      <c r="R22" s="46" t="s">
        <v>62</v>
      </c>
      <c r="S22" s="47" t="s">
        <v>61</v>
      </c>
      <c r="T22" s="48"/>
      <c r="U22" s="32"/>
      <c r="V22" s="32"/>
      <c r="W22" s="32"/>
      <c r="X22" s="33"/>
      <c r="Y22" s="33"/>
      <c r="Z22" s="32"/>
      <c r="AA22" s="32"/>
      <c r="AB22" s="32"/>
      <c r="AC22" s="32"/>
      <c r="AD22" s="32"/>
      <c r="AE22" s="33"/>
      <c r="AF22" s="33"/>
      <c r="AG22" s="32"/>
      <c r="AH22" s="34"/>
      <c r="AI22" s="35"/>
      <c r="AJ22" s="26" t="str">
        <f>Tabela13[[#This Row],[FUNKCJONARIUSZ]]</f>
        <v>F-sz 021</v>
      </c>
      <c r="AK22" s="27" t="e">
        <f t="shared" si="0"/>
        <v>#REF!</v>
      </c>
      <c r="AL22" s="28">
        <f t="shared" si="1"/>
        <v>0</v>
      </c>
      <c r="AM22">
        <f t="shared" si="2"/>
        <v>168</v>
      </c>
      <c r="AN22" s="29">
        <f t="shared" si="5"/>
        <v>0</v>
      </c>
      <c r="AO22" s="1">
        <f t="shared" si="4"/>
        <v>0</v>
      </c>
      <c r="AP22" s="1">
        <v>0</v>
      </c>
    </row>
    <row r="23" spans="1:42" ht="15.9">
      <c r="A23" s="1" t="s">
        <v>63</v>
      </c>
      <c r="B23" s="1" t="s">
        <v>64</v>
      </c>
      <c r="C23" s="30" t="s">
        <v>112</v>
      </c>
      <c r="D23" s="20" t="e">
        <f>Zasoby!#REF!</f>
        <v>#REF!</v>
      </c>
      <c r="E23" s="31"/>
      <c r="F23" s="32" t="s">
        <v>75</v>
      </c>
      <c r="G23" s="32" t="s">
        <v>75</v>
      </c>
      <c r="H23" s="32" t="s">
        <v>75</v>
      </c>
      <c r="I23" s="32" t="s">
        <v>75</v>
      </c>
      <c r="J23" s="33"/>
      <c r="K23" s="33"/>
      <c r="L23" s="32" t="s">
        <v>75</v>
      </c>
      <c r="M23" s="32" t="s">
        <v>113</v>
      </c>
      <c r="N23" s="32"/>
      <c r="O23" s="33"/>
      <c r="P23" s="32" t="s">
        <v>113</v>
      </c>
      <c r="Q23" s="33"/>
      <c r="R23" s="33"/>
      <c r="S23" s="32" t="s">
        <v>113</v>
      </c>
      <c r="T23" s="32"/>
      <c r="U23" s="32"/>
      <c r="V23" s="32" t="s">
        <v>113</v>
      </c>
      <c r="W23" s="32"/>
      <c r="X23" s="33"/>
      <c r="Y23" s="33" t="s">
        <v>59</v>
      </c>
      <c r="Z23" s="32"/>
      <c r="AA23" s="32"/>
      <c r="AB23" s="32"/>
      <c r="AC23" s="32"/>
      <c r="AD23" s="32" t="s">
        <v>59</v>
      </c>
      <c r="AE23" s="33"/>
      <c r="AF23" s="33"/>
      <c r="AG23" s="32" t="s">
        <v>59</v>
      </c>
      <c r="AH23" s="34"/>
      <c r="AI23" s="35"/>
      <c r="AJ23" s="26" t="str">
        <f>Tabela13[[#This Row],[FUNKCJONARIUSZ]]</f>
        <v>F-sz 022</v>
      </c>
      <c r="AK23" s="27" t="e">
        <f t="shared" si="0"/>
        <v>#REF!</v>
      </c>
      <c r="AL23" s="28">
        <f t="shared" si="1"/>
        <v>168</v>
      </c>
      <c r="AM23">
        <f t="shared" si="2"/>
        <v>0</v>
      </c>
      <c r="AN23" s="29">
        <f t="shared" si="5"/>
        <v>40</v>
      </c>
      <c r="AO23" s="1">
        <f t="shared" si="4"/>
        <v>0</v>
      </c>
      <c r="AP23" s="1">
        <v>0</v>
      </c>
    </row>
    <row r="24" spans="1:42" ht="15.9">
      <c r="A24" s="1" t="s">
        <v>67</v>
      </c>
      <c r="B24" s="1" t="s">
        <v>93</v>
      </c>
      <c r="C24" s="30" t="s">
        <v>114</v>
      </c>
      <c r="D24" s="20" t="e">
        <f>Zasoby!#REF!</f>
        <v>#REF!</v>
      </c>
      <c r="E24" s="31"/>
      <c r="F24" s="32" t="s">
        <v>75</v>
      </c>
      <c r="G24" s="32" t="s">
        <v>75</v>
      </c>
      <c r="H24" s="32" t="s">
        <v>75</v>
      </c>
      <c r="I24" s="32" t="s">
        <v>75</v>
      </c>
      <c r="J24" s="33" t="s">
        <v>66</v>
      </c>
      <c r="K24" s="33" t="s">
        <v>66</v>
      </c>
      <c r="L24" s="32" t="s">
        <v>75</v>
      </c>
      <c r="M24" s="32"/>
      <c r="N24" s="32" t="s">
        <v>75</v>
      </c>
      <c r="O24" s="33" t="s">
        <v>66</v>
      </c>
      <c r="P24" s="32" t="s">
        <v>75</v>
      </c>
      <c r="Q24" s="33"/>
      <c r="R24" s="33"/>
      <c r="S24" s="32"/>
      <c r="T24" s="32"/>
      <c r="U24" s="32"/>
      <c r="V24" s="32"/>
      <c r="W24" s="32"/>
      <c r="X24" s="33"/>
      <c r="Y24" s="33"/>
      <c r="Z24" s="32"/>
      <c r="AA24" s="32"/>
      <c r="AB24" s="32"/>
      <c r="AC24" s="32"/>
      <c r="AD24" s="32"/>
      <c r="AE24" s="33"/>
      <c r="AF24" s="33"/>
      <c r="AG24" s="32"/>
      <c r="AH24" s="34"/>
      <c r="AI24" s="35"/>
      <c r="AJ24" s="26" t="str">
        <f>Tabela13[[#This Row],[FUNKCJONARIUSZ]]</f>
        <v>F-sz 023</v>
      </c>
      <c r="AK24" s="27" t="e">
        <f t="shared" si="0"/>
        <v>#REF!</v>
      </c>
      <c r="AL24" s="28">
        <f t="shared" si="1"/>
        <v>0</v>
      </c>
      <c r="AM24">
        <f t="shared" si="2"/>
        <v>0</v>
      </c>
      <c r="AN24" s="29">
        <f t="shared" si="5"/>
        <v>56</v>
      </c>
      <c r="AO24" s="1">
        <f t="shared" si="4"/>
        <v>0</v>
      </c>
      <c r="AP24" s="1">
        <v>0</v>
      </c>
    </row>
    <row r="25" spans="1:42" ht="15.9">
      <c r="A25" s="1" t="s">
        <v>63</v>
      </c>
      <c r="B25" s="1" t="s">
        <v>59</v>
      </c>
      <c r="C25" s="30" t="s">
        <v>115</v>
      </c>
      <c r="D25" s="20" t="e">
        <f>Zasoby!#REF!</f>
        <v>#REF!</v>
      </c>
      <c r="E25" s="31"/>
      <c r="F25" s="32" t="s">
        <v>75</v>
      </c>
      <c r="G25" s="32" t="s">
        <v>75</v>
      </c>
      <c r="H25" s="32" t="s">
        <v>75</v>
      </c>
      <c r="I25" s="32" t="s">
        <v>75</v>
      </c>
      <c r="J25" s="33" t="s">
        <v>66</v>
      </c>
      <c r="K25" s="33" t="s">
        <v>66</v>
      </c>
      <c r="L25" s="32" t="s">
        <v>75</v>
      </c>
      <c r="M25" s="32" t="s">
        <v>75</v>
      </c>
      <c r="N25" s="32" t="s">
        <v>75</v>
      </c>
      <c r="O25" s="33"/>
      <c r="P25" s="32"/>
      <c r="Q25" s="33" t="s">
        <v>59</v>
      </c>
      <c r="R25" s="33"/>
      <c r="S25" s="32"/>
      <c r="T25" s="32"/>
      <c r="U25" s="32"/>
      <c r="V25" s="32"/>
      <c r="W25" s="32"/>
      <c r="X25" s="33"/>
      <c r="Y25" s="33"/>
      <c r="Z25" s="32"/>
      <c r="AA25" s="32" t="s">
        <v>59</v>
      </c>
      <c r="AB25" s="32"/>
      <c r="AC25" s="32"/>
      <c r="AD25" s="32"/>
      <c r="AE25" s="33"/>
      <c r="AF25" s="33" t="s">
        <v>59</v>
      </c>
      <c r="AG25" s="32"/>
      <c r="AH25" s="34"/>
      <c r="AI25" s="35"/>
      <c r="AJ25" s="26" t="str">
        <f>Tabela13[[#This Row],[FUNKCJONARIUSZ]]</f>
        <v>F-sz 024</v>
      </c>
      <c r="AK25" s="27" t="e">
        <f t="shared" si="0"/>
        <v>#REF!</v>
      </c>
      <c r="AL25" s="28">
        <f t="shared" si="1"/>
        <v>72</v>
      </c>
      <c r="AM25">
        <f t="shared" si="2"/>
        <v>0</v>
      </c>
      <c r="AN25" s="29">
        <f t="shared" si="5"/>
        <v>56</v>
      </c>
      <c r="AO25" s="1">
        <f t="shared" si="4"/>
        <v>0</v>
      </c>
      <c r="AP25" s="1">
        <v>0</v>
      </c>
    </row>
    <row r="26" spans="1:42" ht="15.9">
      <c r="A26" s="1" t="s">
        <v>63</v>
      </c>
      <c r="B26" s="1" t="s">
        <v>73</v>
      </c>
      <c r="C26" s="30" t="s">
        <v>116</v>
      </c>
      <c r="D26" s="20" t="e">
        <f>Zasoby!#REF!</f>
        <v>#REF!</v>
      </c>
      <c r="E26" s="31"/>
      <c r="F26" s="32" t="s">
        <v>61</v>
      </c>
      <c r="G26" s="32" t="s">
        <v>62</v>
      </c>
      <c r="H26" s="32" t="s">
        <v>62</v>
      </c>
      <c r="I26" s="32" t="s">
        <v>62</v>
      </c>
      <c r="J26" s="33" t="s">
        <v>62</v>
      </c>
      <c r="K26" s="33" t="s">
        <v>62</v>
      </c>
      <c r="L26" s="32" t="s">
        <v>61</v>
      </c>
      <c r="M26" s="32"/>
      <c r="N26" s="32"/>
      <c r="O26" s="33"/>
      <c r="P26" s="32"/>
      <c r="Q26" s="33"/>
      <c r="R26" s="33"/>
      <c r="S26" s="32"/>
      <c r="T26" s="32"/>
      <c r="U26" s="32"/>
      <c r="V26" s="32"/>
      <c r="W26" s="32"/>
      <c r="X26" s="33"/>
      <c r="Y26" s="33"/>
      <c r="Z26" s="32"/>
      <c r="AA26" s="32"/>
      <c r="AB26" s="32"/>
      <c r="AC26" s="32"/>
      <c r="AD26" s="32"/>
      <c r="AE26" s="33"/>
      <c r="AF26" s="33"/>
      <c r="AG26" s="32"/>
      <c r="AH26" s="34"/>
      <c r="AI26" s="35"/>
      <c r="AJ26" s="26" t="str">
        <f>Tabela13[[#This Row],[FUNKCJONARIUSZ]]</f>
        <v>F-sz 025</v>
      </c>
      <c r="AK26" s="27" t="e">
        <f t="shared" si="0"/>
        <v>#REF!</v>
      </c>
      <c r="AL26" s="28">
        <f t="shared" si="1"/>
        <v>0</v>
      </c>
      <c r="AM26">
        <f t="shared" si="2"/>
        <v>144</v>
      </c>
      <c r="AN26" s="29">
        <f t="shared" si="5"/>
        <v>0</v>
      </c>
      <c r="AO26" s="1">
        <f t="shared" si="4"/>
        <v>0</v>
      </c>
      <c r="AP26" s="1">
        <v>0</v>
      </c>
    </row>
    <row r="27" spans="1:42" ht="15.9">
      <c r="A27" s="1" t="s">
        <v>58</v>
      </c>
      <c r="B27" s="1" t="s">
        <v>93</v>
      </c>
      <c r="C27" s="30" t="s">
        <v>117</v>
      </c>
      <c r="D27" s="20" t="e">
        <f>Zasoby!#REF!</f>
        <v>#REF!</v>
      </c>
      <c r="E27" s="31"/>
      <c r="F27" s="32" t="s">
        <v>75</v>
      </c>
      <c r="G27" s="32" t="s">
        <v>75</v>
      </c>
      <c r="H27" s="32" t="s">
        <v>75</v>
      </c>
      <c r="I27" s="32" t="s">
        <v>75</v>
      </c>
      <c r="J27" s="33" t="s">
        <v>66</v>
      </c>
      <c r="K27" s="33" t="s">
        <v>66</v>
      </c>
      <c r="L27" s="32" t="s">
        <v>75</v>
      </c>
      <c r="M27" s="32" t="s">
        <v>75</v>
      </c>
      <c r="N27" s="32" t="s">
        <v>75</v>
      </c>
      <c r="O27" s="33" t="s">
        <v>66</v>
      </c>
      <c r="P27" s="32" t="s">
        <v>75</v>
      </c>
      <c r="Q27" s="33" t="s">
        <v>66</v>
      </c>
      <c r="R27" s="33" t="s">
        <v>66</v>
      </c>
      <c r="S27" s="32" t="s">
        <v>75</v>
      </c>
      <c r="T27" s="32" t="s">
        <v>75</v>
      </c>
      <c r="U27" s="32" t="s">
        <v>75</v>
      </c>
      <c r="V27" s="32" t="s">
        <v>75</v>
      </c>
      <c r="W27" s="32" t="s">
        <v>75</v>
      </c>
      <c r="X27" s="33"/>
      <c r="Y27" s="33"/>
      <c r="Z27" s="32"/>
      <c r="AA27" s="32"/>
      <c r="AB27" s="32"/>
      <c r="AC27" s="32"/>
      <c r="AD27" s="32"/>
      <c r="AE27" s="33"/>
      <c r="AF27" s="33"/>
      <c r="AG27" s="32"/>
      <c r="AH27" s="34"/>
      <c r="AI27" s="35"/>
      <c r="AJ27" s="26" t="str">
        <f>Tabela13[[#This Row],[FUNKCJONARIUSZ]]</f>
        <v>F-sz 026</v>
      </c>
      <c r="AK27" s="27">
        <v>38</v>
      </c>
      <c r="AL27" s="28">
        <f t="shared" si="1"/>
        <v>0</v>
      </c>
      <c r="AM27">
        <f t="shared" si="2"/>
        <v>0</v>
      </c>
      <c r="AN27" s="29">
        <f t="shared" si="5"/>
        <v>104</v>
      </c>
      <c r="AO27" s="1">
        <f t="shared" si="4"/>
        <v>0</v>
      </c>
      <c r="AP27" s="1">
        <v>0</v>
      </c>
    </row>
    <row r="28" spans="1:42" ht="15.9">
      <c r="A28" s="1" t="s">
        <v>105</v>
      </c>
      <c r="B28" s="1" t="s">
        <v>59</v>
      </c>
      <c r="C28" s="30" t="s">
        <v>118</v>
      </c>
      <c r="D28" s="20" t="e">
        <f>Zasoby!#REF!</f>
        <v>#REF!</v>
      </c>
      <c r="E28" s="31"/>
      <c r="F28" s="32"/>
      <c r="G28" s="32"/>
      <c r="H28" s="32"/>
      <c r="I28" s="32"/>
      <c r="J28" s="33"/>
      <c r="K28" s="33"/>
      <c r="L28" s="32"/>
      <c r="M28" s="32"/>
      <c r="N28" s="32"/>
      <c r="O28" s="33"/>
      <c r="P28" s="32" t="s">
        <v>61</v>
      </c>
      <c r="Q28" s="33" t="s">
        <v>62</v>
      </c>
      <c r="R28" s="33" t="s">
        <v>62</v>
      </c>
      <c r="S28" s="32" t="s">
        <v>61</v>
      </c>
      <c r="T28" s="32"/>
      <c r="U28" s="32"/>
      <c r="V28" s="32"/>
      <c r="W28" s="32"/>
      <c r="X28" s="33"/>
      <c r="Y28" s="33"/>
      <c r="Z28" s="32"/>
      <c r="AA28" s="32"/>
      <c r="AB28" s="32"/>
      <c r="AC28" s="32"/>
      <c r="AD28" s="32"/>
      <c r="AE28" s="33"/>
      <c r="AF28" s="33"/>
      <c r="AG28" s="32"/>
      <c r="AH28" s="34"/>
      <c r="AI28" s="35"/>
      <c r="AJ28" s="26" t="str">
        <f>Tabela13[[#This Row],[FUNKCJONARIUSZ]]</f>
        <v>F-sz 027</v>
      </c>
      <c r="AK28" s="27" t="e">
        <f>D28+AL28+AM28+AN28-$AK$1+AO28+AP28</f>
        <v>#REF!</v>
      </c>
      <c r="AL28" s="28">
        <f t="shared" si="1"/>
        <v>0</v>
      </c>
      <c r="AM28">
        <f t="shared" si="2"/>
        <v>72</v>
      </c>
      <c r="AN28" s="29">
        <f t="shared" si="5"/>
        <v>0</v>
      </c>
      <c r="AO28" s="1">
        <f t="shared" si="4"/>
        <v>0</v>
      </c>
      <c r="AP28" s="1">
        <v>0</v>
      </c>
    </row>
    <row r="29" spans="1:42" ht="15.9">
      <c r="A29" s="1" t="s">
        <v>58</v>
      </c>
      <c r="B29" s="1" t="s">
        <v>73</v>
      </c>
      <c r="C29" s="49" t="s">
        <v>119</v>
      </c>
      <c r="D29" s="20" t="e">
        <f>Zasoby!#REF!</f>
        <v>#REF!</v>
      </c>
      <c r="E29" s="50" t="s">
        <v>66</v>
      </c>
      <c r="F29" s="51" t="s">
        <v>75</v>
      </c>
      <c r="G29" s="51" t="s">
        <v>75</v>
      </c>
      <c r="H29" s="51" t="s">
        <v>75</v>
      </c>
      <c r="I29" s="51" t="s">
        <v>75</v>
      </c>
      <c r="J29" s="52" t="s">
        <v>66</v>
      </c>
      <c r="K29" s="52" t="s">
        <v>66</v>
      </c>
      <c r="L29" s="51" t="s">
        <v>75</v>
      </c>
      <c r="M29" s="51" t="s">
        <v>75</v>
      </c>
      <c r="N29" s="51" t="s">
        <v>75</v>
      </c>
      <c r="O29" s="52" t="s">
        <v>66</v>
      </c>
      <c r="P29" s="51" t="s">
        <v>75</v>
      </c>
      <c r="Q29" s="52"/>
      <c r="R29" s="52"/>
      <c r="S29" s="51" t="s">
        <v>75</v>
      </c>
      <c r="T29" s="51" t="s">
        <v>75</v>
      </c>
      <c r="U29" s="51" t="s">
        <v>75</v>
      </c>
      <c r="V29" s="51" t="s">
        <v>75</v>
      </c>
      <c r="W29" s="51" t="s">
        <v>75</v>
      </c>
      <c r="X29" s="52" t="s">
        <v>66</v>
      </c>
      <c r="Y29" s="52" t="s">
        <v>66</v>
      </c>
      <c r="Z29" s="51" t="s">
        <v>75</v>
      </c>
      <c r="AA29" s="51" t="s">
        <v>75</v>
      </c>
      <c r="AB29" s="51" t="s">
        <v>75</v>
      </c>
      <c r="AC29" s="51" t="s">
        <v>75</v>
      </c>
      <c r="AD29" s="51" t="s">
        <v>75</v>
      </c>
      <c r="AE29" s="52" t="s">
        <v>66</v>
      </c>
      <c r="AF29" s="52" t="s">
        <v>66</v>
      </c>
      <c r="AG29" s="51" t="s">
        <v>75</v>
      </c>
      <c r="AH29" s="53" t="s">
        <v>75</v>
      </c>
      <c r="AI29" s="54"/>
      <c r="AJ29" s="26" t="str">
        <f>Tabela13[[#This Row],[FUNKCJONARIUSZ]]</f>
        <v>F-sz 028</v>
      </c>
      <c r="AK29" s="27" t="e">
        <f>D29+AL29+AM29+AN29-$AK$1+AO29+AP29</f>
        <v>#REF!</v>
      </c>
      <c r="AL29" s="28">
        <f t="shared" si="1"/>
        <v>0</v>
      </c>
      <c r="AM29">
        <f t="shared" si="2"/>
        <v>0</v>
      </c>
      <c r="AN29" s="29">
        <f t="shared" si="5"/>
        <v>160</v>
      </c>
      <c r="AO29" s="1">
        <f t="shared" si="4"/>
        <v>0</v>
      </c>
      <c r="AP29" s="1">
        <v>0</v>
      </c>
    </row>
    <row r="30" spans="1:42" ht="15.9">
      <c r="A30" s="55"/>
      <c r="B30" s="55"/>
      <c r="C30" s="56"/>
      <c r="D30" s="57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9"/>
      <c r="AH30" s="27"/>
      <c r="AI30" s="27"/>
      <c r="AJ30" s="60"/>
      <c r="AK30" s="27"/>
      <c r="AL30" s="28"/>
      <c r="AM30"/>
      <c r="AN30" s="29"/>
    </row>
    <row r="31" spans="1:42" ht="15.9">
      <c r="B31" s="61"/>
      <c r="C31" s="62" t="s">
        <v>120</v>
      </c>
      <c r="D31" s="63"/>
      <c r="E31" s="64">
        <f t="shared" ref="E31:AI31" si="6">COUNTIF(E2:E29,"D")</f>
        <v>1</v>
      </c>
      <c r="F31" s="64">
        <f t="shared" si="6"/>
        <v>1</v>
      </c>
      <c r="G31" s="64">
        <f t="shared" si="6"/>
        <v>1</v>
      </c>
      <c r="H31" s="64">
        <f t="shared" si="6"/>
        <v>1</v>
      </c>
      <c r="I31" s="64">
        <f t="shared" si="6"/>
        <v>1</v>
      </c>
      <c r="J31" s="64">
        <f t="shared" si="6"/>
        <v>1</v>
      </c>
      <c r="K31" s="64">
        <f t="shared" si="6"/>
        <v>1</v>
      </c>
      <c r="L31" s="64">
        <f t="shared" si="6"/>
        <v>1</v>
      </c>
      <c r="M31" s="64">
        <f t="shared" si="6"/>
        <v>1</v>
      </c>
      <c r="N31" s="64">
        <f t="shared" si="6"/>
        <v>1</v>
      </c>
      <c r="O31" s="64">
        <f t="shared" si="6"/>
        <v>1</v>
      </c>
      <c r="P31" s="64">
        <f t="shared" si="6"/>
        <v>1</v>
      </c>
      <c r="Q31" s="64">
        <f t="shared" si="6"/>
        <v>1</v>
      </c>
      <c r="R31" s="64">
        <f t="shared" si="6"/>
        <v>1</v>
      </c>
      <c r="S31" s="64">
        <f t="shared" si="6"/>
        <v>1</v>
      </c>
      <c r="T31" s="64">
        <f t="shared" si="6"/>
        <v>1</v>
      </c>
      <c r="U31" s="64">
        <f t="shared" si="6"/>
        <v>1</v>
      </c>
      <c r="V31" s="64">
        <f t="shared" si="6"/>
        <v>1</v>
      </c>
      <c r="W31" s="64">
        <f t="shared" si="6"/>
        <v>1</v>
      </c>
      <c r="X31" s="64">
        <f t="shared" si="6"/>
        <v>1</v>
      </c>
      <c r="Y31" s="64">
        <f t="shared" si="6"/>
        <v>1</v>
      </c>
      <c r="Z31" s="64">
        <f t="shared" si="6"/>
        <v>1</v>
      </c>
      <c r="AA31" s="64">
        <f t="shared" si="6"/>
        <v>1</v>
      </c>
      <c r="AB31" s="64">
        <f t="shared" si="6"/>
        <v>1</v>
      </c>
      <c r="AC31" s="64">
        <f t="shared" si="6"/>
        <v>1</v>
      </c>
      <c r="AD31" s="64">
        <f t="shared" si="6"/>
        <v>1</v>
      </c>
      <c r="AE31" s="64">
        <f t="shared" si="6"/>
        <v>1</v>
      </c>
      <c r="AF31" s="64">
        <f t="shared" si="6"/>
        <v>1</v>
      </c>
      <c r="AG31" s="64">
        <f t="shared" si="6"/>
        <v>1</v>
      </c>
      <c r="AH31" s="64">
        <f t="shared" si="6"/>
        <v>1</v>
      </c>
      <c r="AI31" s="64">
        <f t="shared" si="6"/>
        <v>0</v>
      </c>
      <c r="AJ31"/>
      <c r="AK31" s="27"/>
      <c r="AL31" s="28"/>
      <c r="AM31"/>
      <c r="AN31" s="29"/>
    </row>
    <row r="32" spans="1:42" ht="15.9">
      <c r="B32" s="61"/>
      <c r="C32" s="65" t="s">
        <v>121</v>
      </c>
      <c r="D32" s="66"/>
      <c r="E32" s="64">
        <f t="shared" ref="E32:AI32" si="7">COUNTIF(E48:E101,"D")+COUNTIF(E48:E101,"w")</f>
        <v>0</v>
      </c>
      <c r="F32" s="64">
        <f t="shared" si="7"/>
        <v>0</v>
      </c>
      <c r="G32" s="64">
        <f t="shared" si="7"/>
        <v>0</v>
      </c>
      <c r="H32" s="64">
        <f t="shared" si="7"/>
        <v>0</v>
      </c>
      <c r="I32" s="64">
        <f t="shared" si="7"/>
        <v>0</v>
      </c>
      <c r="J32" s="64">
        <f t="shared" si="7"/>
        <v>0</v>
      </c>
      <c r="K32" s="64">
        <f t="shared" si="7"/>
        <v>0</v>
      </c>
      <c r="L32" s="64">
        <f t="shared" si="7"/>
        <v>0</v>
      </c>
      <c r="M32" s="64">
        <f t="shared" si="7"/>
        <v>0</v>
      </c>
      <c r="N32" s="64">
        <f t="shared" si="7"/>
        <v>0</v>
      </c>
      <c r="O32" s="64">
        <f t="shared" si="7"/>
        <v>0</v>
      </c>
      <c r="P32" s="64">
        <f t="shared" si="7"/>
        <v>0</v>
      </c>
      <c r="Q32" s="64">
        <f t="shared" si="7"/>
        <v>1</v>
      </c>
      <c r="R32" s="64">
        <f t="shared" si="7"/>
        <v>0</v>
      </c>
      <c r="S32" s="64">
        <f t="shared" si="7"/>
        <v>0</v>
      </c>
      <c r="T32" s="64">
        <f t="shared" si="7"/>
        <v>0</v>
      </c>
      <c r="U32" s="64">
        <f t="shared" si="7"/>
        <v>0</v>
      </c>
      <c r="V32" s="64">
        <f t="shared" si="7"/>
        <v>0</v>
      </c>
      <c r="W32" s="64">
        <f t="shared" si="7"/>
        <v>0</v>
      </c>
      <c r="X32" s="64">
        <f t="shared" si="7"/>
        <v>0</v>
      </c>
      <c r="Y32" s="64">
        <f t="shared" si="7"/>
        <v>0</v>
      </c>
      <c r="Z32" s="64">
        <f t="shared" si="7"/>
        <v>0</v>
      </c>
      <c r="AA32" s="64">
        <f t="shared" si="7"/>
        <v>0</v>
      </c>
      <c r="AB32" s="64">
        <f t="shared" si="7"/>
        <v>0</v>
      </c>
      <c r="AC32" s="64">
        <f t="shared" si="7"/>
        <v>0</v>
      </c>
      <c r="AD32" s="64">
        <f t="shared" si="7"/>
        <v>0</v>
      </c>
      <c r="AE32" s="64">
        <f t="shared" si="7"/>
        <v>0</v>
      </c>
      <c r="AF32" s="64">
        <f t="shared" si="7"/>
        <v>0</v>
      </c>
      <c r="AG32" s="64">
        <f t="shared" si="7"/>
        <v>0</v>
      </c>
      <c r="AH32" s="64">
        <f t="shared" si="7"/>
        <v>0</v>
      </c>
      <c r="AI32" s="64">
        <f t="shared" si="7"/>
        <v>0</v>
      </c>
      <c r="AJ32"/>
      <c r="AK32" s="27"/>
      <c r="AL32" s="28"/>
      <c r="AM32"/>
      <c r="AN32" s="29"/>
    </row>
    <row r="33" spans="1:42">
      <c r="C33" s="67" t="s">
        <v>122</v>
      </c>
      <c r="D33" s="68"/>
      <c r="E33" s="64">
        <f t="shared" ref="E33:AI33" si="8">COUNTIF(E2:E29,"S")+COUNTIF(E49:E101,"S")</f>
        <v>4</v>
      </c>
      <c r="F33" s="64">
        <f t="shared" si="8"/>
        <v>0</v>
      </c>
      <c r="G33" s="64">
        <f t="shared" si="8"/>
        <v>4</v>
      </c>
      <c r="H33" s="64">
        <f t="shared" si="8"/>
        <v>4</v>
      </c>
      <c r="I33" s="64">
        <f t="shared" si="8"/>
        <v>3</v>
      </c>
      <c r="J33" s="64">
        <f t="shared" si="8"/>
        <v>4</v>
      </c>
      <c r="K33" s="64">
        <f t="shared" si="8"/>
        <v>4</v>
      </c>
      <c r="L33" s="64">
        <f t="shared" si="8"/>
        <v>0</v>
      </c>
      <c r="M33" s="64">
        <f t="shared" si="8"/>
        <v>4</v>
      </c>
      <c r="N33" s="64">
        <f t="shared" si="8"/>
        <v>4</v>
      </c>
      <c r="O33" s="64">
        <f t="shared" si="8"/>
        <v>4</v>
      </c>
      <c r="P33" s="64">
        <f t="shared" si="8"/>
        <v>1</v>
      </c>
      <c r="Q33" s="64">
        <f t="shared" si="8"/>
        <v>4</v>
      </c>
      <c r="R33" s="64">
        <f t="shared" si="8"/>
        <v>4</v>
      </c>
      <c r="S33" s="64">
        <f t="shared" si="8"/>
        <v>0</v>
      </c>
      <c r="T33" s="64">
        <f t="shared" si="8"/>
        <v>4</v>
      </c>
      <c r="U33" s="64">
        <f t="shared" si="8"/>
        <v>4</v>
      </c>
      <c r="V33" s="64">
        <f t="shared" si="8"/>
        <v>4</v>
      </c>
      <c r="W33" s="64">
        <f t="shared" si="8"/>
        <v>1</v>
      </c>
      <c r="X33" s="64">
        <f t="shared" si="8"/>
        <v>4</v>
      </c>
      <c r="Y33" s="64">
        <f t="shared" si="8"/>
        <v>4</v>
      </c>
      <c r="Z33" s="64">
        <f t="shared" si="8"/>
        <v>0</v>
      </c>
      <c r="AA33" s="64">
        <f t="shared" si="8"/>
        <v>4</v>
      </c>
      <c r="AB33" s="64">
        <f t="shared" si="8"/>
        <v>4</v>
      </c>
      <c r="AC33" s="64">
        <f t="shared" si="8"/>
        <v>4</v>
      </c>
      <c r="AD33" s="64">
        <f t="shared" si="8"/>
        <v>1</v>
      </c>
      <c r="AE33" s="64">
        <f t="shared" si="8"/>
        <v>4</v>
      </c>
      <c r="AF33" s="64">
        <f t="shared" si="8"/>
        <v>4</v>
      </c>
      <c r="AG33" s="64">
        <f t="shared" si="8"/>
        <v>0</v>
      </c>
      <c r="AH33" s="64">
        <f t="shared" si="8"/>
        <v>4</v>
      </c>
      <c r="AI33" s="64">
        <f t="shared" si="8"/>
        <v>0</v>
      </c>
      <c r="AJ33"/>
      <c r="AK33" s="27"/>
      <c r="AL33" s="28"/>
      <c r="AM33"/>
      <c r="AN33" s="29"/>
    </row>
    <row r="34" spans="1:42">
      <c r="C34" s="69" t="s">
        <v>123</v>
      </c>
      <c r="D34" s="70"/>
      <c r="E34" s="64">
        <f t="shared" ref="E34:AJ34" si="9">COUNTIF(E2:E31,"K")+COUNTIF(E48:E102,"K")</f>
        <v>4</v>
      </c>
      <c r="F34" s="64">
        <f t="shared" si="9"/>
        <v>0</v>
      </c>
      <c r="G34" s="64">
        <f t="shared" si="9"/>
        <v>3</v>
      </c>
      <c r="H34" s="64">
        <f t="shared" si="9"/>
        <v>4</v>
      </c>
      <c r="I34" s="64">
        <f t="shared" si="9"/>
        <v>2</v>
      </c>
      <c r="J34" s="64">
        <f t="shared" si="9"/>
        <v>4</v>
      </c>
      <c r="K34" s="64">
        <f t="shared" si="9"/>
        <v>4</v>
      </c>
      <c r="L34" s="64">
        <f t="shared" si="9"/>
        <v>4</v>
      </c>
      <c r="M34" s="64">
        <f t="shared" si="9"/>
        <v>0</v>
      </c>
      <c r="N34" s="64">
        <f t="shared" si="9"/>
        <v>4</v>
      </c>
      <c r="O34" s="64">
        <f t="shared" si="9"/>
        <v>4</v>
      </c>
      <c r="P34" s="64">
        <f t="shared" si="9"/>
        <v>3</v>
      </c>
      <c r="Q34" s="64">
        <f t="shared" si="9"/>
        <v>4</v>
      </c>
      <c r="R34" s="64">
        <f t="shared" si="9"/>
        <v>4</v>
      </c>
      <c r="S34" s="64">
        <f t="shared" si="9"/>
        <v>4</v>
      </c>
      <c r="T34" s="64">
        <f t="shared" si="9"/>
        <v>0</v>
      </c>
      <c r="U34" s="64">
        <f t="shared" si="9"/>
        <v>4</v>
      </c>
      <c r="V34" s="64">
        <f t="shared" si="9"/>
        <v>4</v>
      </c>
      <c r="W34" s="64">
        <f t="shared" si="9"/>
        <v>0</v>
      </c>
      <c r="X34" s="64">
        <f t="shared" si="9"/>
        <v>4</v>
      </c>
      <c r="Y34" s="64">
        <f t="shared" si="9"/>
        <v>4</v>
      </c>
      <c r="Z34" s="64">
        <f t="shared" si="9"/>
        <v>3</v>
      </c>
      <c r="AA34" s="64">
        <f t="shared" si="9"/>
        <v>0</v>
      </c>
      <c r="AB34" s="64">
        <f t="shared" si="9"/>
        <v>4</v>
      </c>
      <c r="AC34" s="64">
        <f t="shared" si="9"/>
        <v>4</v>
      </c>
      <c r="AD34" s="64">
        <f t="shared" si="9"/>
        <v>4</v>
      </c>
      <c r="AE34" s="64">
        <f t="shared" si="9"/>
        <v>4</v>
      </c>
      <c r="AF34" s="64">
        <f t="shared" si="9"/>
        <v>4</v>
      </c>
      <c r="AG34" s="64">
        <f t="shared" si="9"/>
        <v>4</v>
      </c>
      <c r="AH34" s="64">
        <f t="shared" si="9"/>
        <v>0</v>
      </c>
      <c r="AI34" s="64">
        <f t="shared" si="9"/>
        <v>0</v>
      </c>
      <c r="AJ34" s="64">
        <f t="shared" si="9"/>
        <v>0</v>
      </c>
      <c r="AK34" s="27"/>
      <c r="AL34" s="28"/>
      <c r="AM34"/>
      <c r="AN34" s="29"/>
    </row>
    <row r="35" spans="1:42" ht="15.9">
      <c r="C35" s="56"/>
      <c r="D35" s="57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2"/>
      <c r="AG35" s="72"/>
      <c r="AH35" s="72"/>
      <c r="AI35" s="27"/>
      <c r="AJ35"/>
      <c r="AK35" s="27"/>
      <c r="AL35" s="28"/>
      <c r="AM35"/>
      <c r="AN35" s="29"/>
    </row>
    <row r="36" spans="1:42" s="73" customFormat="1" ht="15" customHeight="1">
      <c r="C36" s="680" t="s">
        <v>122</v>
      </c>
      <c r="D36" s="680"/>
      <c r="E36" s="6"/>
      <c r="F36" s="664" t="s">
        <v>124</v>
      </c>
      <c r="G36" s="664"/>
      <c r="H36" s="664"/>
      <c r="I36" s="664"/>
      <c r="J36" s="664" t="s">
        <v>124</v>
      </c>
      <c r="K36" s="664"/>
      <c r="L36" s="664"/>
      <c r="M36" s="664" t="s">
        <v>125</v>
      </c>
      <c r="N36" s="664"/>
      <c r="O36" s="664"/>
      <c r="P36" s="664"/>
      <c r="Q36" s="676" t="s">
        <v>125</v>
      </c>
      <c r="R36" s="676"/>
      <c r="S36" s="665"/>
      <c r="T36" s="675" t="s">
        <v>126</v>
      </c>
      <c r="U36" s="675"/>
      <c r="V36" s="675"/>
      <c r="W36" s="664"/>
      <c r="X36" s="664" t="s">
        <v>126</v>
      </c>
      <c r="Y36" s="664"/>
      <c r="Z36" s="664"/>
      <c r="AA36" s="676" t="s">
        <v>127</v>
      </c>
      <c r="AB36" s="676"/>
      <c r="AC36" s="676"/>
      <c r="AD36" s="664"/>
      <c r="AE36" s="676" t="s">
        <v>128</v>
      </c>
      <c r="AF36" s="676"/>
      <c r="AG36" s="677"/>
      <c r="AH36" s="677" t="s">
        <v>129</v>
      </c>
      <c r="AI36" s="677"/>
      <c r="AJ36" s="677"/>
      <c r="AK36" s="677"/>
      <c r="AL36"/>
      <c r="AM36"/>
      <c r="AN36" s="29"/>
      <c r="AO36" s="1"/>
      <c r="AP36" s="1"/>
    </row>
    <row r="37" spans="1:42" s="73" customFormat="1">
      <c r="C37" s="680"/>
      <c r="D37" s="680"/>
      <c r="E37" s="74"/>
      <c r="F37" s="664" t="s">
        <v>130</v>
      </c>
      <c r="G37" s="664"/>
      <c r="H37" s="664"/>
      <c r="I37" s="664"/>
      <c r="J37" s="664" t="s">
        <v>130</v>
      </c>
      <c r="K37" s="664"/>
      <c r="L37" s="664"/>
      <c r="M37" s="664" t="s">
        <v>131</v>
      </c>
      <c r="N37" s="664"/>
      <c r="O37" s="664"/>
      <c r="P37" s="664"/>
      <c r="Q37" s="676" t="s">
        <v>132</v>
      </c>
      <c r="R37" s="676"/>
      <c r="S37" s="665"/>
      <c r="T37" s="675" t="s">
        <v>133</v>
      </c>
      <c r="U37" s="675"/>
      <c r="V37" s="675"/>
      <c r="W37" s="664"/>
      <c r="X37" s="664" t="s">
        <v>130</v>
      </c>
      <c r="Y37" s="664"/>
      <c r="Z37" s="664"/>
      <c r="AA37" s="676" t="s">
        <v>134</v>
      </c>
      <c r="AB37" s="676"/>
      <c r="AC37" s="676"/>
      <c r="AD37" s="664"/>
      <c r="AE37" s="676" t="s">
        <v>134</v>
      </c>
      <c r="AF37" s="676"/>
      <c r="AG37" s="677"/>
      <c r="AH37" s="678" t="s">
        <v>135</v>
      </c>
      <c r="AI37" s="678"/>
      <c r="AJ37" s="678"/>
      <c r="AK37" s="678"/>
      <c r="AL37"/>
      <c r="AM37"/>
      <c r="AN37" s="29"/>
      <c r="AO37" s="1"/>
      <c r="AP37" s="1"/>
    </row>
    <row r="38" spans="1:42" s="73" customFormat="1">
      <c r="C38" s="680"/>
      <c r="D38" s="680"/>
      <c r="E38" s="75"/>
      <c r="F38" s="664" t="s">
        <v>136</v>
      </c>
      <c r="G38" s="664"/>
      <c r="H38" s="664"/>
      <c r="I38" s="664"/>
      <c r="J38" s="664" t="s">
        <v>136</v>
      </c>
      <c r="K38" s="664"/>
      <c r="L38" s="664"/>
      <c r="M38" s="664" t="s">
        <v>137</v>
      </c>
      <c r="N38" s="664"/>
      <c r="O38" s="664"/>
      <c r="P38" s="664"/>
      <c r="Q38" s="679" t="s">
        <v>138</v>
      </c>
      <c r="R38" s="679"/>
      <c r="S38" s="665"/>
      <c r="T38" s="679" t="s">
        <v>139</v>
      </c>
      <c r="U38" s="679"/>
      <c r="V38" s="679"/>
      <c r="W38" s="664"/>
      <c r="X38" s="664" t="s">
        <v>140</v>
      </c>
      <c r="Y38" s="664"/>
      <c r="Z38" s="664"/>
      <c r="AA38" s="676" t="s">
        <v>141</v>
      </c>
      <c r="AB38" s="676"/>
      <c r="AC38" s="676"/>
      <c r="AD38" s="664"/>
      <c r="AE38" s="676" t="s">
        <v>142</v>
      </c>
      <c r="AF38" s="676"/>
      <c r="AG38" s="677"/>
      <c r="AH38" s="678" t="s">
        <v>140</v>
      </c>
      <c r="AI38" s="678"/>
      <c r="AJ38" s="678"/>
      <c r="AK38" s="678"/>
      <c r="AL38"/>
      <c r="AM38"/>
      <c r="AN38" s="29"/>
      <c r="AO38" s="1"/>
      <c r="AP38" s="1"/>
    </row>
    <row r="39" spans="1:42" s="73" customFormat="1">
      <c r="C39" s="680"/>
      <c r="D39" s="680"/>
      <c r="E39" s="76"/>
      <c r="F39" s="664" t="s">
        <v>143</v>
      </c>
      <c r="G39" s="664"/>
      <c r="H39" s="664"/>
      <c r="I39" s="664"/>
      <c r="J39" s="681" t="s">
        <v>144</v>
      </c>
      <c r="K39" s="681"/>
      <c r="L39" s="664"/>
      <c r="M39" s="664" t="s">
        <v>145</v>
      </c>
      <c r="N39" s="664"/>
      <c r="O39" s="664"/>
      <c r="P39" s="664"/>
      <c r="Q39" s="682" t="s">
        <v>146</v>
      </c>
      <c r="R39" s="682"/>
      <c r="S39" s="665"/>
      <c r="T39" s="675" t="s">
        <v>147</v>
      </c>
      <c r="U39" s="675"/>
      <c r="V39" s="675"/>
      <c r="W39" s="664"/>
      <c r="X39" s="664" t="s">
        <v>148</v>
      </c>
      <c r="Y39" s="664"/>
      <c r="Z39" s="664"/>
      <c r="AA39" s="676" t="s">
        <v>149</v>
      </c>
      <c r="AB39" s="676"/>
      <c r="AC39" s="676"/>
      <c r="AD39" s="664"/>
      <c r="AE39" s="679" t="s">
        <v>150</v>
      </c>
      <c r="AF39" s="679"/>
      <c r="AG39" s="677"/>
      <c r="AH39" s="678" t="s">
        <v>151</v>
      </c>
      <c r="AI39" s="678"/>
      <c r="AJ39" s="678"/>
      <c r="AK39" s="678"/>
      <c r="AL39"/>
      <c r="AM39"/>
      <c r="AN39" s="29"/>
      <c r="AO39" s="1"/>
      <c r="AP39" s="1"/>
    </row>
    <row r="40" spans="1:42" s="73" customFormat="1">
      <c r="C40" s="77"/>
      <c r="D40" s="77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1"/>
      <c r="AH40" s="79"/>
      <c r="AI40" s="79"/>
      <c r="AJ40" s="80"/>
      <c r="AK40" s="27"/>
      <c r="AL40" s="28"/>
      <c r="AM40"/>
      <c r="AN40" s="29"/>
      <c r="AO40" s="1"/>
      <c r="AP40" s="1"/>
    </row>
    <row r="41" spans="1:42" s="73" customFormat="1" ht="16.5" customHeight="1">
      <c r="C41" s="671" t="s">
        <v>123</v>
      </c>
      <c r="D41" s="671"/>
      <c r="E41" s="672"/>
      <c r="F41" s="672"/>
      <c r="G41" s="672"/>
      <c r="H41" s="672"/>
      <c r="I41" s="672"/>
      <c r="J41" s="672"/>
      <c r="K41" s="672"/>
      <c r="L41" s="673"/>
      <c r="M41" s="673"/>
      <c r="N41" s="673"/>
      <c r="O41" s="673"/>
      <c r="P41" s="673"/>
      <c r="Q41" s="673"/>
      <c r="R41" s="673"/>
      <c r="S41" s="674"/>
      <c r="T41" s="674"/>
      <c r="U41" s="674"/>
      <c r="V41" s="673"/>
      <c r="W41" s="673"/>
      <c r="X41" s="673"/>
      <c r="Y41" s="673"/>
      <c r="Z41" s="673"/>
      <c r="AA41" s="673"/>
      <c r="AB41" s="673"/>
      <c r="AC41" s="673"/>
      <c r="AD41" s="673"/>
      <c r="AE41" s="673"/>
      <c r="AF41" s="673"/>
      <c r="AG41" s="666"/>
      <c r="AH41" s="666"/>
      <c r="AI41" s="666"/>
      <c r="AJ41" s="80"/>
      <c r="AK41" s="27"/>
      <c r="AL41" s="28"/>
      <c r="AM41"/>
      <c r="AN41" s="29"/>
      <c r="AO41" s="1"/>
      <c r="AP41" s="1"/>
    </row>
    <row r="42" spans="1:42" s="73" customFormat="1" ht="16.5" customHeight="1">
      <c r="C42" s="671"/>
      <c r="D42" s="671"/>
      <c r="E42" s="667"/>
      <c r="F42" s="667"/>
      <c r="G42" s="667"/>
      <c r="H42" s="667"/>
      <c r="I42" s="667"/>
      <c r="J42" s="667"/>
      <c r="K42" s="667"/>
      <c r="L42" s="668"/>
      <c r="M42" s="668"/>
      <c r="N42" s="668"/>
      <c r="O42" s="668"/>
      <c r="P42" s="668"/>
      <c r="Q42" s="668"/>
      <c r="R42" s="668"/>
      <c r="S42" s="669"/>
      <c r="T42" s="669"/>
      <c r="U42" s="669"/>
      <c r="V42" s="668"/>
      <c r="W42" s="668"/>
      <c r="X42" s="668"/>
      <c r="Y42" s="668"/>
      <c r="Z42" s="668"/>
      <c r="AA42" s="668"/>
      <c r="AB42" s="668"/>
      <c r="AC42" s="668"/>
      <c r="AD42" s="668"/>
      <c r="AE42" s="668"/>
      <c r="AF42" s="668"/>
      <c r="AG42" s="670"/>
      <c r="AH42" s="670"/>
      <c r="AI42" s="670"/>
      <c r="AJ42" s="80"/>
      <c r="AK42" s="27"/>
      <c r="AL42" s="28"/>
      <c r="AM42"/>
      <c r="AN42" s="29"/>
      <c r="AO42" s="1"/>
      <c r="AP42" s="1"/>
    </row>
    <row r="43" spans="1:42" s="73" customFormat="1" ht="16.5" customHeight="1">
      <c r="C43" s="671"/>
      <c r="D43" s="671"/>
      <c r="E43" s="663"/>
      <c r="F43" s="663"/>
      <c r="G43" s="663"/>
      <c r="H43" s="663"/>
      <c r="I43" s="663"/>
      <c r="J43" s="663"/>
      <c r="K43" s="663"/>
      <c r="L43" s="664"/>
      <c r="M43" s="664"/>
      <c r="N43" s="664"/>
      <c r="O43" s="664"/>
      <c r="P43" s="664"/>
      <c r="Q43" s="664"/>
      <c r="R43" s="664"/>
      <c r="S43" s="665"/>
      <c r="T43" s="665"/>
      <c r="U43" s="665"/>
      <c r="V43" s="664"/>
      <c r="W43" s="664"/>
      <c r="X43" s="664"/>
      <c r="Y43" s="664"/>
      <c r="Z43" s="664"/>
      <c r="AA43" s="664"/>
      <c r="AB43" s="664"/>
      <c r="AC43" s="664"/>
      <c r="AD43" s="664"/>
      <c r="AE43" s="664"/>
      <c r="AF43" s="664"/>
      <c r="AG43" s="662"/>
      <c r="AH43" s="662"/>
      <c r="AI43" s="662"/>
      <c r="AJ43" s="80"/>
      <c r="AK43" s="27"/>
      <c r="AL43" s="28"/>
      <c r="AM43"/>
      <c r="AN43" s="29"/>
      <c r="AO43" s="1"/>
      <c r="AP43" s="1"/>
    </row>
    <row r="44" spans="1:42" s="73" customFormat="1" ht="16.5" customHeight="1">
      <c r="C44" s="671"/>
      <c r="D44" s="671"/>
      <c r="E44" s="663"/>
      <c r="F44" s="663"/>
      <c r="G44" s="663"/>
      <c r="H44" s="663"/>
      <c r="I44" s="663"/>
      <c r="J44" s="663"/>
      <c r="K44" s="663"/>
      <c r="L44" s="664"/>
      <c r="M44" s="664"/>
      <c r="N44" s="664"/>
      <c r="O44" s="664"/>
      <c r="P44" s="664"/>
      <c r="Q44" s="664"/>
      <c r="R44" s="664"/>
      <c r="S44" s="665"/>
      <c r="T44" s="665"/>
      <c r="U44" s="665"/>
      <c r="V44" s="664"/>
      <c r="W44" s="664"/>
      <c r="X44" s="664"/>
      <c r="Y44" s="664"/>
      <c r="Z44" s="664"/>
      <c r="AA44" s="664"/>
      <c r="AB44" s="664"/>
      <c r="AC44" s="664"/>
      <c r="AD44" s="664"/>
      <c r="AE44" s="664"/>
      <c r="AF44" s="664"/>
      <c r="AG44" s="662"/>
      <c r="AH44" s="662"/>
      <c r="AI44" s="662"/>
      <c r="AJ44" s="80"/>
      <c r="AK44" s="27"/>
      <c r="AL44" s="28"/>
      <c r="AM44"/>
      <c r="AN44" s="29"/>
      <c r="AO44" s="1"/>
      <c r="AP44" s="1"/>
    </row>
    <row r="45" spans="1:42" ht="15.9">
      <c r="C45" s="61"/>
      <c r="D45" s="81"/>
      <c r="N45" s="659"/>
      <c r="O45" s="659"/>
      <c r="AK45" s="27"/>
      <c r="AL45" s="28"/>
      <c r="AM45"/>
      <c r="AN45" s="29"/>
    </row>
    <row r="46" spans="1:42" ht="15.9">
      <c r="C46" s="61"/>
      <c r="D46" s="81"/>
      <c r="Q46" s="82"/>
      <c r="R46" s="82"/>
      <c r="S46" s="82"/>
      <c r="T46" s="82"/>
      <c r="U46" s="82"/>
      <c r="V46" s="83"/>
      <c r="W46" s="83"/>
      <c r="X46" s="83"/>
      <c r="Y46" s="83"/>
      <c r="Z46" s="83"/>
      <c r="AK46" s="27"/>
      <c r="AL46" s="28"/>
      <c r="AM46"/>
      <c r="AN46" s="29"/>
    </row>
    <row r="47" spans="1:42" ht="43.3">
      <c r="A47" s="1" t="s">
        <v>52</v>
      </c>
      <c r="E47" s="10">
        <f t="shared" ref="E47:AH47" si="10">E1</f>
        <v>44501</v>
      </c>
      <c r="F47" s="11">
        <f t="shared" si="10"/>
        <v>44502</v>
      </c>
      <c r="G47" s="11">
        <f t="shared" si="10"/>
        <v>44503</v>
      </c>
      <c r="H47" s="11">
        <f t="shared" si="10"/>
        <v>44504</v>
      </c>
      <c r="I47" s="11">
        <f t="shared" si="10"/>
        <v>44505</v>
      </c>
      <c r="J47" s="10">
        <f t="shared" si="10"/>
        <v>44506</v>
      </c>
      <c r="K47" s="10">
        <f t="shared" si="10"/>
        <v>44507</v>
      </c>
      <c r="L47" s="11">
        <f t="shared" si="10"/>
        <v>44508</v>
      </c>
      <c r="M47" s="11">
        <f t="shared" si="10"/>
        <v>44509</v>
      </c>
      <c r="N47" s="11">
        <f t="shared" si="10"/>
        <v>44510</v>
      </c>
      <c r="O47" s="10">
        <f t="shared" si="10"/>
        <v>44511</v>
      </c>
      <c r="P47" s="11">
        <f t="shared" si="10"/>
        <v>44512</v>
      </c>
      <c r="Q47" s="10">
        <f t="shared" si="10"/>
        <v>44513</v>
      </c>
      <c r="R47" s="10">
        <f t="shared" si="10"/>
        <v>44514</v>
      </c>
      <c r="S47" s="11">
        <f t="shared" si="10"/>
        <v>44515</v>
      </c>
      <c r="T47" s="11">
        <f t="shared" si="10"/>
        <v>44516</v>
      </c>
      <c r="U47" s="11">
        <f t="shared" si="10"/>
        <v>44517</v>
      </c>
      <c r="V47" s="11">
        <f t="shared" si="10"/>
        <v>44518</v>
      </c>
      <c r="W47" s="11">
        <f t="shared" si="10"/>
        <v>44519</v>
      </c>
      <c r="X47" s="10">
        <f t="shared" si="10"/>
        <v>44520</v>
      </c>
      <c r="Y47" s="10">
        <f t="shared" si="10"/>
        <v>44521</v>
      </c>
      <c r="Z47" s="11">
        <f t="shared" si="10"/>
        <v>44522</v>
      </c>
      <c r="AA47" s="11">
        <f t="shared" si="10"/>
        <v>44523</v>
      </c>
      <c r="AB47" s="11">
        <f t="shared" si="10"/>
        <v>44524</v>
      </c>
      <c r="AC47" s="11">
        <f t="shared" si="10"/>
        <v>44525</v>
      </c>
      <c r="AD47" s="11">
        <f t="shared" si="10"/>
        <v>44526</v>
      </c>
      <c r="AE47" s="10">
        <f t="shared" si="10"/>
        <v>44527</v>
      </c>
      <c r="AF47" s="10">
        <f t="shared" si="10"/>
        <v>44528</v>
      </c>
      <c r="AG47" s="11">
        <f t="shared" si="10"/>
        <v>44529</v>
      </c>
      <c r="AH47" s="11">
        <f t="shared" si="10"/>
        <v>44530</v>
      </c>
      <c r="AI47" s="11"/>
      <c r="AJ47" s="84">
        <v>44440</v>
      </c>
      <c r="AK47" s="15">
        <v>168</v>
      </c>
      <c r="AL47" s="16" t="s">
        <v>53</v>
      </c>
      <c r="AM47" s="17" t="s">
        <v>54</v>
      </c>
      <c r="AN47" s="18" t="s">
        <v>55</v>
      </c>
      <c r="AO47" s="1" t="s">
        <v>56</v>
      </c>
      <c r="AP47" s="1" t="s">
        <v>57</v>
      </c>
    </row>
    <row r="48" spans="1:42" ht="15.9">
      <c r="A48" s="1" t="s">
        <v>152</v>
      </c>
      <c r="B48" s="1" t="s">
        <v>93</v>
      </c>
      <c r="C48" s="85" t="s">
        <v>3</v>
      </c>
      <c r="D48" s="86" t="e">
        <f>#REF!</f>
        <v>#REF!</v>
      </c>
      <c r="E48" s="21"/>
      <c r="F48" s="22" t="s">
        <v>153</v>
      </c>
      <c r="G48" s="22" t="s">
        <v>154</v>
      </c>
      <c r="H48" s="22" t="s">
        <v>154</v>
      </c>
      <c r="I48" s="22" t="s">
        <v>153</v>
      </c>
      <c r="J48" s="23"/>
      <c r="K48" s="23"/>
      <c r="L48" s="22"/>
      <c r="M48" s="22"/>
      <c r="N48" s="22"/>
      <c r="O48" s="87"/>
      <c r="P48" s="22"/>
      <c r="Q48" s="23"/>
      <c r="R48" s="23"/>
      <c r="S48" s="22"/>
      <c r="T48" s="22"/>
      <c r="U48" s="22"/>
      <c r="V48" s="22"/>
      <c r="W48" s="22"/>
      <c r="X48" s="23"/>
      <c r="Y48" s="23"/>
      <c r="Z48" s="22"/>
      <c r="AA48" s="22"/>
      <c r="AB48" s="22"/>
      <c r="AC48" s="22"/>
      <c r="AD48" s="22"/>
      <c r="AE48" s="23"/>
      <c r="AF48" s="23"/>
      <c r="AG48" s="22"/>
      <c r="AH48" s="22"/>
      <c r="AI48" s="24"/>
      <c r="AJ48" s="26" t="str">
        <f t="shared" ref="AJ48:AJ79" si="11">C48</f>
        <v>BARAN Marek</v>
      </c>
      <c r="AK48" s="27" t="e">
        <f t="shared" ref="AK48:AK63" si="12">D48+AL48+AM48+AN48-$AK$47+AO48+AP48</f>
        <v>#REF!</v>
      </c>
      <c r="AL48" s="28">
        <f t="shared" ref="AL48:AL79" si="13">COUNTIF(E48:AI48,"D")*24+COUNTIF(E48:AI48,"12g")*12+COUNTIF(E48:AI48,"w")*24</f>
        <v>0</v>
      </c>
      <c r="AM48">
        <f t="shared" ref="AM48:AM79" si="14">SUM(COUNTIF(E48:AI48,"k")+COUNTIF(E48:AI48,"s")+COUNTIF(E48:AI48,"wse"))*24+SUM(COUNTIF(E48:AI48,"Pk")+COUNTIF(E48:AI48,"Ps"))*12</f>
        <v>72</v>
      </c>
      <c r="AN48" s="29">
        <f t="shared" ref="AN48:AN79" si="15">SUM(E48:AI48)+COUNTIF(E48:AI48,"uw")*8+COUNTIF(E48:AI48,"us")*8+COUNTIF(E48:AI48,"uz")*8</f>
        <v>0</v>
      </c>
      <c r="AO48" s="1">
        <f t="shared" ref="AO48:AO79" si="16">COUNTIF(E48:AI48,"DT")*8</f>
        <v>0</v>
      </c>
    </row>
    <row r="49" spans="1:42" ht="15.9">
      <c r="A49" s="1" t="s">
        <v>155</v>
      </c>
      <c r="B49" s="1" t="s">
        <v>73</v>
      </c>
      <c r="C49" s="88" t="s">
        <v>4</v>
      </c>
      <c r="D49" s="86" t="e">
        <f>#REF!</f>
        <v>#REF!</v>
      </c>
      <c r="E49" s="31"/>
      <c r="F49" s="32" t="s">
        <v>75</v>
      </c>
      <c r="G49" s="32" t="s">
        <v>75</v>
      </c>
      <c r="H49" s="32" t="s">
        <v>75</v>
      </c>
      <c r="I49" s="32" t="s">
        <v>75</v>
      </c>
      <c r="J49" s="33" t="s">
        <v>66</v>
      </c>
      <c r="K49" s="33" t="s">
        <v>66</v>
      </c>
      <c r="L49" s="32" t="s">
        <v>75</v>
      </c>
      <c r="M49" s="32" t="s">
        <v>75</v>
      </c>
      <c r="N49" s="32" t="s">
        <v>75</v>
      </c>
      <c r="O49" s="89" t="s">
        <v>66</v>
      </c>
      <c r="P49" s="32" t="s">
        <v>75</v>
      </c>
      <c r="Q49" s="33" t="s">
        <v>66</v>
      </c>
      <c r="R49" s="33" t="s">
        <v>66</v>
      </c>
      <c r="S49" s="32" t="s">
        <v>75</v>
      </c>
      <c r="T49" s="32" t="s">
        <v>75</v>
      </c>
      <c r="U49" s="32" t="s">
        <v>75</v>
      </c>
      <c r="V49" s="32" t="s">
        <v>75</v>
      </c>
      <c r="W49" s="32" t="s">
        <v>75</v>
      </c>
      <c r="X49" s="33" t="s">
        <v>66</v>
      </c>
      <c r="Y49" s="33" t="s">
        <v>66</v>
      </c>
      <c r="Z49" s="32" t="s">
        <v>75</v>
      </c>
      <c r="AA49" s="32" t="s">
        <v>75</v>
      </c>
      <c r="AB49" s="32" t="s">
        <v>75</v>
      </c>
      <c r="AC49" s="32"/>
      <c r="AD49" s="32"/>
      <c r="AE49" s="33"/>
      <c r="AF49" s="33"/>
      <c r="AG49" s="32"/>
      <c r="AH49" s="32"/>
      <c r="AI49" s="34"/>
      <c r="AJ49" s="26" t="str">
        <f t="shared" si="11"/>
        <v>BARTOSIEWICZ Tomasz</v>
      </c>
      <c r="AK49" s="27" t="e">
        <f t="shared" si="12"/>
        <v>#REF!</v>
      </c>
      <c r="AL49" s="28">
        <f t="shared" si="13"/>
        <v>0</v>
      </c>
      <c r="AM49">
        <f t="shared" si="14"/>
        <v>0</v>
      </c>
      <c r="AN49" s="29">
        <f t="shared" si="15"/>
        <v>128</v>
      </c>
      <c r="AO49" s="1">
        <f t="shared" si="16"/>
        <v>0</v>
      </c>
    </row>
    <row r="50" spans="1:42" ht="15.9">
      <c r="A50" s="1" t="s">
        <v>67</v>
      </c>
      <c r="B50" s="1" t="s">
        <v>73</v>
      </c>
      <c r="C50" s="88" t="s">
        <v>5</v>
      </c>
      <c r="D50" s="86" t="e">
        <f>#REF!</f>
        <v>#REF!</v>
      </c>
      <c r="E50" s="31"/>
      <c r="F50" s="32"/>
      <c r="G50" s="32"/>
      <c r="H50" s="32"/>
      <c r="I50" s="32" t="s">
        <v>92</v>
      </c>
      <c r="J50" s="33" t="s">
        <v>95</v>
      </c>
      <c r="K50" s="33" t="s">
        <v>95</v>
      </c>
      <c r="L50" s="32" t="s">
        <v>95</v>
      </c>
      <c r="M50" s="32" t="s">
        <v>92</v>
      </c>
      <c r="N50" s="32"/>
      <c r="O50" s="89"/>
      <c r="P50" s="32"/>
      <c r="Q50" s="33"/>
      <c r="R50" s="33"/>
      <c r="S50" s="32"/>
      <c r="T50" s="32"/>
      <c r="U50" s="32"/>
      <c r="V50" s="32"/>
      <c r="W50" s="32"/>
      <c r="X50" s="33"/>
      <c r="Y50" s="33"/>
      <c r="Z50" s="32"/>
      <c r="AA50" s="32"/>
      <c r="AB50" s="32"/>
      <c r="AC50" s="32"/>
      <c r="AD50" s="32"/>
      <c r="AE50" s="33"/>
      <c r="AF50" s="33"/>
      <c r="AG50" s="32"/>
      <c r="AH50" s="32"/>
      <c r="AI50" s="34"/>
      <c r="AJ50" s="26" t="str">
        <f t="shared" si="11"/>
        <v>BUDZISŁAWSKI Sebastian</v>
      </c>
      <c r="AK50" s="27" t="e">
        <f t="shared" si="12"/>
        <v>#REF!</v>
      </c>
      <c r="AL50" s="28">
        <f t="shared" si="13"/>
        <v>0</v>
      </c>
      <c r="AM50">
        <f t="shared" si="14"/>
        <v>96</v>
      </c>
      <c r="AN50" s="29">
        <f t="shared" si="15"/>
        <v>0</v>
      </c>
      <c r="AO50" s="1">
        <f t="shared" si="16"/>
        <v>0</v>
      </c>
    </row>
    <row r="51" spans="1:42" ht="15.9">
      <c r="A51" s="1" t="s">
        <v>152</v>
      </c>
      <c r="B51" s="1" t="s">
        <v>64</v>
      </c>
      <c r="C51" s="90" t="s">
        <v>6</v>
      </c>
      <c r="D51" s="86" t="e">
        <f>#REF!</f>
        <v>#REF!</v>
      </c>
      <c r="E51" s="31"/>
      <c r="F51" s="32"/>
      <c r="G51" s="32"/>
      <c r="H51" s="32"/>
      <c r="I51" s="32"/>
      <c r="J51" s="33"/>
      <c r="K51" s="33"/>
      <c r="L51" s="32" t="s">
        <v>75</v>
      </c>
      <c r="M51" s="32" t="s">
        <v>75</v>
      </c>
      <c r="N51" s="32" t="s">
        <v>75</v>
      </c>
      <c r="O51" s="33" t="s">
        <v>66</v>
      </c>
      <c r="P51" s="32" t="s">
        <v>75</v>
      </c>
      <c r="Q51" s="33" t="s">
        <v>66</v>
      </c>
      <c r="R51" s="33" t="s">
        <v>66</v>
      </c>
      <c r="S51" s="32" t="s">
        <v>75</v>
      </c>
      <c r="T51" s="32" t="s">
        <v>75</v>
      </c>
      <c r="U51" s="32" t="s">
        <v>75</v>
      </c>
      <c r="V51" s="32" t="s">
        <v>75</v>
      </c>
      <c r="W51" s="32" t="s">
        <v>75</v>
      </c>
      <c r="X51" s="33" t="s">
        <v>66</v>
      </c>
      <c r="Y51" s="33" t="s">
        <v>66</v>
      </c>
      <c r="Z51" s="32" t="s">
        <v>75</v>
      </c>
      <c r="AA51" s="32" t="s">
        <v>75</v>
      </c>
      <c r="AB51" s="32" t="s">
        <v>75</v>
      </c>
      <c r="AC51" s="32" t="s">
        <v>75</v>
      </c>
      <c r="AD51" s="32" t="s">
        <v>75</v>
      </c>
      <c r="AE51" s="33" t="s">
        <v>66</v>
      </c>
      <c r="AF51" s="33" t="s">
        <v>66</v>
      </c>
      <c r="AG51" s="32" t="s">
        <v>75</v>
      </c>
      <c r="AH51" s="32" t="s">
        <v>75</v>
      </c>
      <c r="AI51" s="34"/>
      <c r="AJ51" s="26" t="str">
        <f t="shared" si="11"/>
        <v>CHĘCIŃSKI Piotr</v>
      </c>
      <c r="AK51" s="27" t="e">
        <f t="shared" si="12"/>
        <v>#REF!</v>
      </c>
      <c r="AL51" s="28">
        <f t="shared" si="13"/>
        <v>0</v>
      </c>
      <c r="AM51">
        <f t="shared" si="14"/>
        <v>0</v>
      </c>
      <c r="AN51" s="29">
        <f t="shared" si="15"/>
        <v>128</v>
      </c>
      <c r="AO51" s="1">
        <f t="shared" si="16"/>
        <v>0</v>
      </c>
    </row>
    <row r="52" spans="1:42" ht="15.9">
      <c r="A52" s="1" t="s">
        <v>156</v>
      </c>
      <c r="B52" s="1" t="s">
        <v>59</v>
      </c>
      <c r="C52" s="91" t="s">
        <v>7</v>
      </c>
      <c r="D52" s="86" t="e">
        <f>#REF!</f>
        <v>#REF!</v>
      </c>
      <c r="E52" s="31"/>
      <c r="F52" s="32"/>
      <c r="G52" s="32"/>
      <c r="H52" s="32"/>
      <c r="I52" s="32" t="s">
        <v>153</v>
      </c>
      <c r="J52" s="33" t="s">
        <v>154</v>
      </c>
      <c r="K52" s="33" t="s">
        <v>154</v>
      </c>
      <c r="L52" s="32" t="s">
        <v>154</v>
      </c>
      <c r="M52" s="32" t="s">
        <v>153</v>
      </c>
      <c r="N52" s="32"/>
      <c r="O52" s="89"/>
      <c r="P52" s="32"/>
      <c r="Q52" s="33"/>
      <c r="R52" s="33"/>
      <c r="S52" s="32"/>
      <c r="T52" s="32"/>
      <c r="U52" s="32"/>
      <c r="V52" s="32"/>
      <c r="W52" s="32"/>
      <c r="X52" s="33"/>
      <c r="Y52" s="33"/>
      <c r="Z52" s="32"/>
      <c r="AA52" s="32"/>
      <c r="AB52" s="32"/>
      <c r="AC52" s="32"/>
      <c r="AD52" s="32"/>
      <c r="AE52" s="33"/>
      <c r="AF52" s="33"/>
      <c r="AG52" s="32"/>
      <c r="AH52" s="32" t="s">
        <v>92</v>
      </c>
      <c r="AI52" s="34"/>
      <c r="AJ52" s="26" t="str">
        <f t="shared" si="11"/>
        <v>CHŁOPECKI Przemysław</v>
      </c>
      <c r="AK52" s="27" t="e">
        <f t="shared" si="12"/>
        <v>#REF!</v>
      </c>
      <c r="AL52" s="28">
        <f t="shared" si="13"/>
        <v>0</v>
      </c>
      <c r="AM52">
        <f t="shared" si="14"/>
        <v>108</v>
      </c>
      <c r="AN52" s="29">
        <f t="shared" si="15"/>
        <v>0</v>
      </c>
      <c r="AO52" s="1">
        <f t="shared" si="16"/>
        <v>0</v>
      </c>
    </row>
    <row r="53" spans="1:42" ht="15.9">
      <c r="A53" s="1" t="s">
        <v>58</v>
      </c>
      <c r="B53" s="1" t="s">
        <v>73</v>
      </c>
      <c r="C53" s="88" t="s">
        <v>8</v>
      </c>
      <c r="D53" s="86" t="e">
        <f>#REF!</f>
        <v>#REF!</v>
      </c>
      <c r="E53" s="31"/>
      <c r="F53" s="32"/>
      <c r="G53" s="32"/>
      <c r="H53" s="32"/>
      <c r="I53" s="32"/>
      <c r="J53" s="33"/>
      <c r="K53" s="33"/>
      <c r="L53" s="32"/>
      <c r="M53" s="32"/>
      <c r="N53" s="32"/>
      <c r="O53" s="89"/>
      <c r="P53" s="32"/>
      <c r="Q53" s="33"/>
      <c r="R53" s="33"/>
      <c r="S53" s="32" t="s">
        <v>61</v>
      </c>
      <c r="T53" s="32" t="s">
        <v>62</v>
      </c>
      <c r="U53" s="32" t="s">
        <v>62</v>
      </c>
      <c r="V53" s="32" t="s">
        <v>62</v>
      </c>
      <c r="W53" s="32" t="s">
        <v>61</v>
      </c>
      <c r="X53" s="33"/>
      <c r="Y53" s="33"/>
      <c r="Z53" s="32"/>
      <c r="AA53" s="32"/>
      <c r="AB53" s="32"/>
      <c r="AC53" s="32"/>
      <c r="AD53" s="32" t="s">
        <v>75</v>
      </c>
      <c r="AE53" s="33" t="s">
        <v>66</v>
      </c>
      <c r="AF53" s="33" t="s">
        <v>66</v>
      </c>
      <c r="AG53" s="32" t="s">
        <v>75</v>
      </c>
      <c r="AH53" s="32" t="s">
        <v>75</v>
      </c>
      <c r="AI53" s="34"/>
      <c r="AJ53" s="26" t="str">
        <f t="shared" si="11"/>
        <v>CHUDZIAK Dariusz</v>
      </c>
      <c r="AK53" s="27" t="e">
        <f t="shared" si="12"/>
        <v>#REF!</v>
      </c>
      <c r="AL53" s="28">
        <f t="shared" si="13"/>
        <v>0</v>
      </c>
      <c r="AM53">
        <f t="shared" si="14"/>
        <v>96</v>
      </c>
      <c r="AN53" s="29">
        <f t="shared" si="15"/>
        <v>24</v>
      </c>
      <c r="AO53" s="1">
        <f t="shared" si="16"/>
        <v>0</v>
      </c>
    </row>
    <row r="54" spans="1:42" ht="15.9">
      <c r="A54" s="1" t="s">
        <v>152</v>
      </c>
      <c r="B54" s="1" t="s">
        <v>59</v>
      </c>
      <c r="C54" s="90" t="s">
        <v>9</v>
      </c>
      <c r="D54" s="86" t="e">
        <f>#REF!</f>
        <v>#REF!</v>
      </c>
      <c r="E54" s="31"/>
      <c r="F54" s="32"/>
      <c r="G54" s="32"/>
      <c r="H54" s="32"/>
      <c r="I54" s="32"/>
      <c r="J54" s="33"/>
      <c r="K54" s="33"/>
      <c r="L54" s="32"/>
      <c r="M54" s="32"/>
      <c r="N54" s="32"/>
      <c r="O54" s="89"/>
      <c r="P54" s="32"/>
      <c r="Q54" s="33"/>
      <c r="R54" s="33"/>
      <c r="S54" s="32"/>
      <c r="T54" s="32"/>
      <c r="U54" s="32"/>
      <c r="V54" s="32"/>
      <c r="W54" s="32" t="s">
        <v>153</v>
      </c>
      <c r="X54" s="33" t="s">
        <v>154</v>
      </c>
      <c r="Y54" s="33" t="s">
        <v>154</v>
      </c>
      <c r="Z54" s="32" t="s">
        <v>154</v>
      </c>
      <c r="AA54" s="32" t="s">
        <v>153</v>
      </c>
      <c r="AB54" s="32"/>
      <c r="AC54" s="32"/>
      <c r="AD54" s="32"/>
      <c r="AE54" s="33"/>
      <c r="AF54" s="33"/>
      <c r="AG54" s="32"/>
      <c r="AH54" s="32"/>
      <c r="AI54" s="34"/>
      <c r="AJ54" s="26" t="str">
        <f t="shared" si="11"/>
        <v>FIR Paweł</v>
      </c>
      <c r="AK54" s="27" t="e">
        <f t="shared" si="12"/>
        <v>#REF!</v>
      </c>
      <c r="AL54" s="28">
        <f t="shared" si="13"/>
        <v>0</v>
      </c>
      <c r="AM54">
        <f t="shared" si="14"/>
        <v>96</v>
      </c>
      <c r="AN54" s="29">
        <f t="shared" si="15"/>
        <v>0</v>
      </c>
      <c r="AO54" s="1">
        <f t="shared" si="16"/>
        <v>0</v>
      </c>
    </row>
    <row r="55" spans="1:42" ht="15.9">
      <c r="A55" s="1" t="s">
        <v>157</v>
      </c>
      <c r="B55" s="1" t="s">
        <v>59</v>
      </c>
      <c r="C55" s="91" t="s">
        <v>10</v>
      </c>
      <c r="D55" s="86" t="e">
        <f>#REF!</f>
        <v>#REF!</v>
      </c>
      <c r="E55" s="31"/>
      <c r="F55" s="32"/>
      <c r="G55" s="32"/>
      <c r="H55" s="32"/>
      <c r="I55" s="32"/>
      <c r="J55" s="33"/>
      <c r="K55" s="33"/>
      <c r="L55" s="32"/>
      <c r="M55" s="32"/>
      <c r="N55" s="32"/>
      <c r="O55" s="89"/>
      <c r="P55" s="32"/>
      <c r="Q55" s="33"/>
      <c r="R55" s="33"/>
      <c r="S55" s="32"/>
      <c r="T55" s="32"/>
      <c r="U55" s="32"/>
      <c r="V55" s="32"/>
      <c r="W55" s="32"/>
      <c r="X55" s="33"/>
      <c r="Y55" s="33"/>
      <c r="Z55" s="32"/>
      <c r="AA55" s="32"/>
      <c r="AB55" s="32"/>
      <c r="AC55" s="32"/>
      <c r="AD55" s="32"/>
      <c r="AE55" s="33"/>
      <c r="AF55" s="33"/>
      <c r="AG55" s="32"/>
      <c r="AH55" s="32"/>
      <c r="AI55" s="34"/>
      <c r="AJ55" s="26" t="str">
        <f t="shared" si="11"/>
        <v>GĘBALA Miłosz</v>
      </c>
      <c r="AK55" s="27" t="e">
        <f t="shared" si="12"/>
        <v>#REF!</v>
      </c>
      <c r="AL55" s="28">
        <f t="shared" si="13"/>
        <v>0</v>
      </c>
      <c r="AM55">
        <f t="shared" si="14"/>
        <v>0</v>
      </c>
      <c r="AN55" s="29">
        <f t="shared" si="15"/>
        <v>0</v>
      </c>
      <c r="AO55" s="1">
        <f t="shared" si="16"/>
        <v>0</v>
      </c>
    </row>
    <row r="56" spans="1:42" ht="15.9">
      <c r="A56" s="1" t="s">
        <v>156</v>
      </c>
      <c r="B56" s="1" t="s">
        <v>73</v>
      </c>
      <c r="C56" s="91" t="s">
        <v>158</v>
      </c>
      <c r="D56" s="86" t="e">
        <f>#REF!</f>
        <v>#REF!</v>
      </c>
      <c r="E56" s="31"/>
      <c r="F56" s="32"/>
      <c r="G56" s="32"/>
      <c r="H56" s="32"/>
      <c r="I56" s="32"/>
      <c r="J56" s="33"/>
      <c r="K56" s="33"/>
      <c r="L56" s="32"/>
      <c r="M56" s="32"/>
      <c r="N56" s="32"/>
      <c r="O56" s="89"/>
      <c r="P56" s="32"/>
      <c r="Q56" s="33"/>
      <c r="R56" s="33"/>
      <c r="S56" s="32"/>
      <c r="T56" s="32" t="s">
        <v>153</v>
      </c>
      <c r="U56" s="32" t="s">
        <v>154</v>
      </c>
      <c r="V56" s="32" t="s">
        <v>154</v>
      </c>
      <c r="W56" s="32" t="s">
        <v>153</v>
      </c>
      <c r="X56" s="33"/>
      <c r="Y56" s="33"/>
      <c r="Z56" s="32"/>
      <c r="AA56" s="32"/>
      <c r="AB56" s="32"/>
      <c r="AC56" s="32"/>
      <c r="AD56" s="32"/>
      <c r="AE56" s="33"/>
      <c r="AF56" s="33"/>
      <c r="AG56" s="32"/>
      <c r="AH56" s="32"/>
      <c r="AI56" s="34"/>
      <c r="AJ56" s="26" t="str">
        <f t="shared" si="11"/>
        <v>GRABIŃSKI Marcin</v>
      </c>
      <c r="AK56" s="27" t="e">
        <f t="shared" si="12"/>
        <v>#REF!</v>
      </c>
      <c r="AL56" s="28">
        <f t="shared" si="13"/>
        <v>0</v>
      </c>
      <c r="AM56">
        <f t="shared" si="14"/>
        <v>72</v>
      </c>
      <c r="AN56" s="29">
        <f t="shared" si="15"/>
        <v>0</v>
      </c>
      <c r="AO56" s="1">
        <f t="shared" si="16"/>
        <v>0</v>
      </c>
    </row>
    <row r="57" spans="1:42" ht="15.9">
      <c r="A57" s="1" t="s">
        <v>58</v>
      </c>
      <c r="B57" s="1" t="s">
        <v>59</v>
      </c>
      <c r="C57" s="88" t="s">
        <v>11</v>
      </c>
      <c r="D57" s="86" t="e">
        <f>#REF!</f>
        <v>#REF!</v>
      </c>
      <c r="E57" s="31"/>
      <c r="F57" s="32"/>
      <c r="G57" s="32"/>
      <c r="H57" s="32"/>
      <c r="I57" s="32"/>
      <c r="J57" s="33"/>
      <c r="K57" s="33"/>
      <c r="L57" s="32"/>
      <c r="M57" s="32"/>
      <c r="N57" s="32"/>
      <c r="O57" s="89"/>
      <c r="P57" s="32"/>
      <c r="Q57" s="33"/>
      <c r="R57" s="33"/>
      <c r="S57" s="32"/>
      <c r="T57" s="32"/>
      <c r="U57" s="32"/>
      <c r="V57" s="32"/>
      <c r="W57" s="32" t="s">
        <v>153</v>
      </c>
      <c r="X57" s="33" t="s">
        <v>154</v>
      </c>
      <c r="Y57" s="33" t="s">
        <v>154</v>
      </c>
      <c r="Z57" s="32" t="s">
        <v>154</v>
      </c>
      <c r="AA57" s="32" t="s">
        <v>153</v>
      </c>
      <c r="AB57" s="32"/>
      <c r="AC57" s="32"/>
      <c r="AD57" s="32"/>
      <c r="AE57" s="33"/>
      <c r="AF57" s="33"/>
      <c r="AG57" s="32"/>
      <c r="AH57" s="32"/>
      <c r="AI57" s="34"/>
      <c r="AJ57" s="26" t="str">
        <f t="shared" si="11"/>
        <v>GRZEGORCZYK Tomasz</v>
      </c>
      <c r="AK57" s="27" t="e">
        <f t="shared" si="12"/>
        <v>#REF!</v>
      </c>
      <c r="AL57" s="28">
        <f t="shared" si="13"/>
        <v>0</v>
      </c>
      <c r="AM57">
        <f t="shared" si="14"/>
        <v>96</v>
      </c>
      <c r="AN57" s="29">
        <f t="shared" si="15"/>
        <v>0</v>
      </c>
      <c r="AO57" s="1">
        <f t="shared" si="16"/>
        <v>0</v>
      </c>
    </row>
    <row r="58" spans="1:42" ht="15.9">
      <c r="A58" s="1" t="s">
        <v>152</v>
      </c>
      <c r="B58" s="1" t="s">
        <v>64</v>
      </c>
      <c r="C58" s="90" t="s">
        <v>12</v>
      </c>
      <c r="D58" s="86" t="e">
        <f>#REF!</f>
        <v>#REF!</v>
      </c>
      <c r="E58" s="31"/>
      <c r="F58" s="32"/>
      <c r="G58" s="32"/>
      <c r="H58" s="32"/>
      <c r="I58" s="32"/>
      <c r="J58" s="33"/>
      <c r="K58" s="33"/>
      <c r="L58" s="32"/>
      <c r="M58" s="32"/>
      <c r="N58" s="32"/>
      <c r="O58" s="33"/>
      <c r="P58" s="32"/>
      <c r="Q58" s="33"/>
      <c r="R58" s="33"/>
      <c r="S58" s="32"/>
      <c r="T58" s="32"/>
      <c r="U58" s="32"/>
      <c r="V58" s="32"/>
      <c r="W58" s="32"/>
      <c r="X58" s="33"/>
      <c r="Y58" s="33"/>
      <c r="Z58" s="32"/>
      <c r="AA58" s="32"/>
      <c r="AB58" s="32"/>
      <c r="AC58" s="32"/>
      <c r="AD58" s="32" t="s">
        <v>75</v>
      </c>
      <c r="AE58" s="33" t="s">
        <v>66</v>
      </c>
      <c r="AF58" s="33" t="s">
        <v>66</v>
      </c>
      <c r="AG58" s="32" t="s">
        <v>75</v>
      </c>
      <c r="AH58" s="32" t="s">
        <v>75</v>
      </c>
      <c r="AI58" s="34"/>
      <c r="AJ58" s="26" t="str">
        <f t="shared" si="11"/>
        <v>JACUŃSKI Andrzej</v>
      </c>
      <c r="AK58" s="27" t="e">
        <f t="shared" si="12"/>
        <v>#REF!</v>
      </c>
      <c r="AL58" s="28">
        <f t="shared" si="13"/>
        <v>0</v>
      </c>
      <c r="AM58">
        <f t="shared" si="14"/>
        <v>0</v>
      </c>
      <c r="AN58" s="29">
        <f t="shared" si="15"/>
        <v>24</v>
      </c>
      <c r="AO58" s="1">
        <f t="shared" si="16"/>
        <v>0</v>
      </c>
    </row>
    <row r="59" spans="1:42" ht="15.9">
      <c r="A59" s="1" t="s">
        <v>152</v>
      </c>
      <c r="B59" s="1" t="s">
        <v>93</v>
      </c>
      <c r="C59" s="90" t="s">
        <v>13</v>
      </c>
      <c r="D59" s="86" t="e">
        <f>#REF!</f>
        <v>#REF!</v>
      </c>
      <c r="E59" s="31"/>
      <c r="F59" s="32"/>
      <c r="G59" s="32"/>
      <c r="H59" s="32"/>
      <c r="I59" s="32"/>
      <c r="J59" s="33"/>
      <c r="K59" s="33"/>
      <c r="L59" s="32"/>
      <c r="M59" s="32"/>
      <c r="N59" s="32"/>
      <c r="O59" s="89"/>
      <c r="P59" s="32"/>
      <c r="Q59" s="33"/>
      <c r="R59" s="33"/>
      <c r="S59" s="32"/>
      <c r="T59" s="32"/>
      <c r="U59" s="32"/>
      <c r="V59" s="32"/>
      <c r="W59" s="32"/>
      <c r="X59" s="33"/>
      <c r="Y59" s="33"/>
      <c r="Z59" s="32"/>
      <c r="AA59" s="32"/>
      <c r="AB59" s="32"/>
      <c r="AC59" s="32"/>
      <c r="AD59" s="32"/>
      <c r="AE59" s="33"/>
      <c r="AF59" s="33"/>
      <c r="AG59" s="32"/>
      <c r="AH59" s="32"/>
      <c r="AI59" s="34"/>
      <c r="AJ59" s="26" t="str">
        <f t="shared" si="11"/>
        <v>JAROCKI Rafał</v>
      </c>
      <c r="AK59" s="27" t="e">
        <f t="shared" si="12"/>
        <v>#REF!</v>
      </c>
      <c r="AL59" s="28">
        <f t="shared" si="13"/>
        <v>0</v>
      </c>
      <c r="AM59">
        <f t="shared" si="14"/>
        <v>0</v>
      </c>
      <c r="AN59" s="29">
        <f t="shared" si="15"/>
        <v>0</v>
      </c>
      <c r="AO59" s="1">
        <f t="shared" si="16"/>
        <v>0</v>
      </c>
    </row>
    <row r="60" spans="1:42" ht="15.9">
      <c r="A60" s="1" t="s">
        <v>152</v>
      </c>
      <c r="B60" s="1" t="s">
        <v>64</v>
      </c>
      <c r="C60" s="90" t="s">
        <v>14</v>
      </c>
      <c r="D60" s="86" t="e">
        <f>#REF!</f>
        <v>#REF!</v>
      </c>
      <c r="E60" s="31"/>
      <c r="F60" s="32"/>
      <c r="G60" s="32"/>
      <c r="H60" s="32"/>
      <c r="I60" s="32"/>
      <c r="J60" s="33"/>
      <c r="K60" s="33"/>
      <c r="L60" s="32"/>
      <c r="M60" s="32"/>
      <c r="N60" s="32"/>
      <c r="O60" s="33"/>
      <c r="P60" s="32" t="s">
        <v>75</v>
      </c>
      <c r="Q60" s="33" t="s">
        <v>66</v>
      </c>
      <c r="R60" s="33" t="s">
        <v>66</v>
      </c>
      <c r="S60" s="32" t="s">
        <v>75</v>
      </c>
      <c r="T60" s="32" t="s">
        <v>75</v>
      </c>
      <c r="U60" s="32" t="s">
        <v>75</v>
      </c>
      <c r="V60" s="32" t="s">
        <v>75</v>
      </c>
      <c r="W60" s="32" t="s">
        <v>75</v>
      </c>
      <c r="X60" s="33" t="s">
        <v>66</v>
      </c>
      <c r="Y60" s="33" t="s">
        <v>66</v>
      </c>
      <c r="Z60" s="32" t="s">
        <v>75</v>
      </c>
      <c r="AA60" s="32" t="s">
        <v>75</v>
      </c>
      <c r="AB60" s="32" t="s">
        <v>75</v>
      </c>
      <c r="AC60" s="32"/>
      <c r="AD60" s="32" t="s">
        <v>75</v>
      </c>
      <c r="AE60" s="33" t="s">
        <v>66</v>
      </c>
      <c r="AF60" s="33" t="s">
        <v>66</v>
      </c>
      <c r="AG60" s="32" t="s">
        <v>75</v>
      </c>
      <c r="AH60" s="32" t="s">
        <v>75</v>
      </c>
      <c r="AI60" s="34"/>
      <c r="AJ60" s="26" t="str">
        <f t="shared" si="11"/>
        <v>KANIA Krzysztof</v>
      </c>
      <c r="AK60" s="27" t="e">
        <f t="shared" si="12"/>
        <v>#REF!</v>
      </c>
      <c r="AL60" s="28">
        <f t="shared" si="13"/>
        <v>0</v>
      </c>
      <c r="AM60">
        <f t="shared" si="14"/>
        <v>0</v>
      </c>
      <c r="AN60" s="29">
        <f t="shared" si="15"/>
        <v>96</v>
      </c>
      <c r="AO60" s="1">
        <f t="shared" si="16"/>
        <v>0</v>
      </c>
    </row>
    <row r="61" spans="1:42" ht="15.9">
      <c r="A61" s="1" t="s">
        <v>155</v>
      </c>
      <c r="B61" s="1" t="s">
        <v>64</v>
      </c>
      <c r="C61" s="88" t="s">
        <v>15</v>
      </c>
      <c r="D61" s="86" t="e">
        <f>#REF!</f>
        <v>#REF!</v>
      </c>
      <c r="E61" s="31"/>
      <c r="F61" s="32"/>
      <c r="G61" s="32"/>
      <c r="H61" s="32"/>
      <c r="I61" s="32"/>
      <c r="J61" s="33"/>
      <c r="K61" s="33"/>
      <c r="L61" s="32"/>
      <c r="M61" s="32" t="s">
        <v>92</v>
      </c>
      <c r="N61" s="32" t="s">
        <v>95</v>
      </c>
      <c r="O61" s="33" t="s">
        <v>95</v>
      </c>
      <c r="P61" s="32" t="s">
        <v>95</v>
      </c>
      <c r="Q61" s="33" t="s">
        <v>95</v>
      </c>
      <c r="R61" s="33" t="s">
        <v>95</v>
      </c>
      <c r="S61" s="32" t="s">
        <v>95</v>
      </c>
      <c r="T61" s="32" t="s">
        <v>92</v>
      </c>
      <c r="U61" s="32"/>
      <c r="V61" s="32"/>
      <c r="W61" s="32"/>
      <c r="X61" s="33"/>
      <c r="Y61" s="33"/>
      <c r="Z61" s="32" t="s">
        <v>75</v>
      </c>
      <c r="AA61" s="32" t="s">
        <v>75</v>
      </c>
      <c r="AB61" s="32" t="s">
        <v>75</v>
      </c>
      <c r="AC61" s="32"/>
      <c r="AD61" s="32"/>
      <c r="AE61" s="33"/>
      <c r="AF61" s="33"/>
      <c r="AG61" s="32"/>
      <c r="AH61" s="32"/>
      <c r="AI61" s="34"/>
      <c r="AJ61" s="26" t="str">
        <f t="shared" si="11"/>
        <v xml:space="preserve">KOMOSA Sebastian </v>
      </c>
      <c r="AK61" s="27" t="e">
        <f t="shared" si="12"/>
        <v>#REF!</v>
      </c>
      <c r="AL61" s="28">
        <f t="shared" si="13"/>
        <v>0</v>
      </c>
      <c r="AM61">
        <f t="shared" si="14"/>
        <v>168</v>
      </c>
      <c r="AN61" s="29">
        <f t="shared" si="15"/>
        <v>24</v>
      </c>
      <c r="AO61" s="1">
        <f t="shared" si="16"/>
        <v>0</v>
      </c>
    </row>
    <row r="62" spans="1:42" ht="15.9">
      <c r="A62" s="1" t="s">
        <v>67</v>
      </c>
      <c r="B62" s="1" t="s">
        <v>64</v>
      </c>
      <c r="C62" s="88" t="s">
        <v>16</v>
      </c>
      <c r="D62" s="86" t="e">
        <f>#REF!</f>
        <v>#REF!</v>
      </c>
      <c r="E62" s="31"/>
      <c r="F62" s="32"/>
      <c r="G62" s="32"/>
      <c r="H62" s="32"/>
      <c r="I62" s="32"/>
      <c r="J62" s="33"/>
      <c r="K62" s="33"/>
      <c r="L62" s="32"/>
      <c r="M62" s="32"/>
      <c r="N62" s="32"/>
      <c r="O62" s="33"/>
      <c r="P62" s="32" t="s">
        <v>75</v>
      </c>
      <c r="Q62" s="33" t="s">
        <v>66</v>
      </c>
      <c r="R62" s="33" t="s">
        <v>66</v>
      </c>
      <c r="S62" s="32" t="s">
        <v>75</v>
      </c>
      <c r="T62" s="32" t="s">
        <v>75</v>
      </c>
      <c r="U62" s="32" t="s">
        <v>75</v>
      </c>
      <c r="V62" s="32" t="s">
        <v>75</v>
      </c>
      <c r="W62" s="32" t="s">
        <v>159</v>
      </c>
      <c r="X62" s="33"/>
      <c r="Y62" s="33"/>
      <c r="Z62" s="32"/>
      <c r="AA62" s="32"/>
      <c r="AB62" s="32"/>
      <c r="AC62" s="32"/>
      <c r="AD62" s="32"/>
      <c r="AE62" s="33"/>
      <c r="AF62" s="33"/>
      <c r="AG62" s="32"/>
      <c r="AH62" s="32"/>
      <c r="AI62" s="34"/>
      <c r="AJ62" s="26" t="str">
        <f t="shared" si="11"/>
        <v>KOSIŃSKI Krzysztof</v>
      </c>
      <c r="AK62" s="27" t="e">
        <f t="shared" si="12"/>
        <v>#REF!</v>
      </c>
      <c r="AL62" s="28">
        <f t="shared" si="13"/>
        <v>0</v>
      </c>
      <c r="AM62">
        <f t="shared" si="14"/>
        <v>0</v>
      </c>
      <c r="AN62" s="29">
        <f t="shared" si="15"/>
        <v>40</v>
      </c>
      <c r="AO62" s="1">
        <f t="shared" si="16"/>
        <v>0</v>
      </c>
    </row>
    <row r="63" spans="1:42" ht="15.9">
      <c r="A63" s="1" t="s">
        <v>155</v>
      </c>
      <c r="B63" s="1" t="s">
        <v>93</v>
      </c>
      <c r="C63" s="88" t="s">
        <v>17</v>
      </c>
      <c r="D63" s="86" t="e">
        <f>#REF!</f>
        <v>#REF!</v>
      </c>
      <c r="E63" s="31" t="s">
        <v>95</v>
      </c>
      <c r="F63" s="32" t="s">
        <v>92</v>
      </c>
      <c r="G63" s="32"/>
      <c r="H63" s="32"/>
      <c r="I63" s="32"/>
      <c r="J63" s="33"/>
      <c r="K63" s="33"/>
      <c r="L63" s="32"/>
      <c r="M63" s="32"/>
      <c r="N63" s="32"/>
      <c r="O63" s="89"/>
      <c r="P63" s="32"/>
      <c r="Q63" s="33"/>
      <c r="R63" s="33"/>
      <c r="S63" s="32"/>
      <c r="T63" s="32"/>
      <c r="U63" s="32"/>
      <c r="V63" s="32"/>
      <c r="W63" s="32"/>
      <c r="X63" s="33"/>
      <c r="Y63" s="33"/>
      <c r="Z63" s="32"/>
      <c r="AA63" s="32"/>
      <c r="AB63" s="32"/>
      <c r="AC63" s="32"/>
      <c r="AD63" s="32"/>
      <c r="AE63" s="33"/>
      <c r="AF63" s="33"/>
      <c r="AG63" s="32"/>
      <c r="AH63" s="32"/>
      <c r="AI63" s="34"/>
      <c r="AJ63" s="26" t="str">
        <f t="shared" si="11"/>
        <v>KOSTRZEWSKI Paweł</v>
      </c>
      <c r="AK63" s="27" t="e">
        <f t="shared" si="12"/>
        <v>#REF!</v>
      </c>
      <c r="AL63" s="28">
        <f t="shared" si="13"/>
        <v>0</v>
      </c>
      <c r="AM63">
        <f t="shared" si="14"/>
        <v>36</v>
      </c>
      <c r="AN63" s="29">
        <f t="shared" si="15"/>
        <v>0</v>
      </c>
      <c r="AO63" s="1">
        <f t="shared" si="16"/>
        <v>0</v>
      </c>
    </row>
    <row r="64" spans="1:42" ht="15.9">
      <c r="A64" s="1" t="s">
        <v>155</v>
      </c>
      <c r="B64" s="1" t="s">
        <v>64</v>
      </c>
      <c r="C64" s="91" t="s">
        <v>18</v>
      </c>
      <c r="D64" s="86" t="e">
        <f>#REF!</f>
        <v>#REF!</v>
      </c>
      <c r="E64" s="31"/>
      <c r="F64" s="32"/>
      <c r="G64" s="32"/>
      <c r="H64" s="32"/>
      <c r="I64" s="32"/>
      <c r="J64" s="33"/>
      <c r="K64" s="33"/>
      <c r="L64" s="32"/>
      <c r="M64" s="32"/>
      <c r="N64" s="32"/>
      <c r="O64" s="33"/>
      <c r="P64" s="32"/>
      <c r="Q64" s="33"/>
      <c r="R64" s="33"/>
      <c r="S64" s="32"/>
      <c r="T64" s="32"/>
      <c r="U64" s="32"/>
      <c r="V64" s="32"/>
      <c r="W64" s="32"/>
      <c r="X64" s="33"/>
      <c r="Y64" s="33"/>
      <c r="Z64" s="32"/>
      <c r="AA64" s="32"/>
      <c r="AB64" s="32"/>
      <c r="AC64" s="32"/>
      <c r="AD64" s="32"/>
      <c r="AE64" s="33"/>
      <c r="AF64" s="33"/>
      <c r="AG64" s="32"/>
      <c r="AH64" s="32"/>
      <c r="AI64" s="32"/>
      <c r="AJ64" s="26" t="str">
        <f t="shared" si="11"/>
        <v>KRYGER Katarzyna</v>
      </c>
      <c r="AK64" s="27">
        <v>0</v>
      </c>
      <c r="AL64" s="28">
        <f t="shared" si="13"/>
        <v>0</v>
      </c>
      <c r="AM64">
        <f t="shared" si="14"/>
        <v>0</v>
      </c>
      <c r="AN64" s="29">
        <f t="shared" si="15"/>
        <v>0</v>
      </c>
      <c r="AO64" s="1">
        <f t="shared" si="16"/>
        <v>0</v>
      </c>
    </row>
    <row r="65" spans="1:41" ht="15.9">
      <c r="A65" s="1" t="s">
        <v>157</v>
      </c>
      <c r="B65" s="1" t="s">
        <v>59</v>
      </c>
      <c r="C65" s="90" t="s">
        <v>19</v>
      </c>
      <c r="D65" s="86" t="e">
        <f>#REF!</f>
        <v>#REF!</v>
      </c>
      <c r="E65" s="31"/>
      <c r="F65" s="32"/>
      <c r="G65" s="32"/>
      <c r="H65" s="32"/>
      <c r="I65" s="32"/>
      <c r="J65" s="33"/>
      <c r="K65" s="33"/>
      <c r="L65" s="32"/>
      <c r="M65" s="32"/>
      <c r="N65" s="32"/>
      <c r="O65" s="89"/>
      <c r="P65" s="32"/>
      <c r="Q65" s="33"/>
      <c r="R65" s="33"/>
      <c r="S65" s="32"/>
      <c r="T65" s="32" t="s">
        <v>153</v>
      </c>
      <c r="U65" s="32" t="s">
        <v>154</v>
      </c>
      <c r="V65" s="32" t="s">
        <v>154</v>
      </c>
      <c r="W65" s="32" t="s">
        <v>153</v>
      </c>
      <c r="X65" s="33"/>
      <c r="Y65" s="33"/>
      <c r="Z65" s="32"/>
      <c r="AA65" s="32"/>
      <c r="AB65" s="32"/>
      <c r="AC65" s="32"/>
      <c r="AD65" s="32"/>
      <c r="AE65" s="33"/>
      <c r="AF65" s="33"/>
      <c r="AG65" s="32"/>
      <c r="AH65" s="32"/>
      <c r="AI65" s="34"/>
      <c r="AJ65" s="26" t="str">
        <f t="shared" si="11"/>
        <v>KRYSZTOFIAK Mariusz</v>
      </c>
      <c r="AK65" s="27" t="e">
        <f t="shared" ref="AK65:AK86" si="17">D65+AL65+AM65+AN65-$AK$47+AO65+AP65</f>
        <v>#REF!</v>
      </c>
      <c r="AL65" s="28">
        <f t="shared" si="13"/>
        <v>0</v>
      </c>
      <c r="AM65">
        <f t="shared" si="14"/>
        <v>72</v>
      </c>
      <c r="AN65" s="29">
        <f t="shared" si="15"/>
        <v>0</v>
      </c>
      <c r="AO65" s="1">
        <f t="shared" si="16"/>
        <v>0</v>
      </c>
    </row>
    <row r="66" spans="1:41" ht="15.9">
      <c r="A66" s="1" t="s">
        <v>152</v>
      </c>
      <c r="B66" s="1" t="s">
        <v>64</v>
      </c>
      <c r="C66" s="90" t="s">
        <v>20</v>
      </c>
      <c r="D66" s="86" t="e">
        <f>#REF!</f>
        <v>#REF!</v>
      </c>
      <c r="E66" s="31"/>
      <c r="F66" s="32"/>
      <c r="G66" s="32"/>
      <c r="H66" s="32"/>
      <c r="I66" s="32"/>
      <c r="J66" s="33"/>
      <c r="K66" s="33"/>
      <c r="L66" s="32"/>
      <c r="M66" s="32"/>
      <c r="N66" s="32"/>
      <c r="O66" s="33"/>
      <c r="P66" s="32"/>
      <c r="Q66" s="33"/>
      <c r="R66" s="33"/>
      <c r="S66" s="32"/>
      <c r="T66" s="32"/>
      <c r="U66" s="32"/>
      <c r="V66" s="32"/>
      <c r="W66" s="32"/>
      <c r="X66" s="33"/>
      <c r="Y66" s="33"/>
      <c r="Z66" s="32"/>
      <c r="AA66" s="32"/>
      <c r="AB66" s="32"/>
      <c r="AC66" s="32"/>
      <c r="AD66" s="32"/>
      <c r="AE66" s="33"/>
      <c r="AF66" s="33"/>
      <c r="AG66" s="32"/>
      <c r="AH66" s="32"/>
      <c r="AI66" s="34"/>
      <c r="AJ66" s="26" t="str">
        <f t="shared" si="11"/>
        <v>KRZYSZTOFIAK Dariusz</v>
      </c>
      <c r="AK66" s="27" t="e">
        <f t="shared" si="17"/>
        <v>#REF!</v>
      </c>
      <c r="AL66" s="28">
        <f t="shared" si="13"/>
        <v>0</v>
      </c>
      <c r="AM66">
        <f t="shared" si="14"/>
        <v>0</v>
      </c>
      <c r="AN66" s="29">
        <f t="shared" si="15"/>
        <v>0</v>
      </c>
      <c r="AO66" s="1">
        <f t="shared" si="16"/>
        <v>0</v>
      </c>
    </row>
    <row r="67" spans="1:41" ht="15.9">
      <c r="A67" s="1" t="s">
        <v>152</v>
      </c>
      <c r="B67" s="1" t="s">
        <v>64</v>
      </c>
      <c r="C67" s="90" t="s">
        <v>21</v>
      </c>
      <c r="D67" s="86" t="e">
        <f>#REF!</f>
        <v>#REF!</v>
      </c>
      <c r="E67" s="31"/>
      <c r="F67" s="32"/>
      <c r="G67" s="32"/>
      <c r="H67" s="32"/>
      <c r="I67" s="32"/>
      <c r="J67" s="33"/>
      <c r="K67" s="33"/>
      <c r="L67" s="32"/>
      <c r="M67" s="32"/>
      <c r="N67" s="32"/>
      <c r="O67" s="33"/>
      <c r="P67" s="32"/>
      <c r="Q67" s="33"/>
      <c r="R67" s="33"/>
      <c r="S67" s="32"/>
      <c r="T67" s="32"/>
      <c r="U67" s="32"/>
      <c r="V67" s="32"/>
      <c r="W67" s="32"/>
      <c r="X67" s="33"/>
      <c r="Y67" s="33"/>
      <c r="Z67" s="32"/>
      <c r="AA67" s="32"/>
      <c r="AB67" s="32"/>
      <c r="AC67" s="32"/>
      <c r="AD67" s="32"/>
      <c r="AE67" s="33"/>
      <c r="AF67" s="33"/>
      <c r="AG67" s="32"/>
      <c r="AH67" s="32"/>
      <c r="AI67" s="34"/>
      <c r="AJ67" s="26" t="str">
        <f t="shared" si="11"/>
        <v>KRZYSZTOFIAK Zbigniew</v>
      </c>
      <c r="AK67" s="27" t="e">
        <f t="shared" si="17"/>
        <v>#REF!</v>
      </c>
      <c r="AL67" s="28">
        <f t="shared" si="13"/>
        <v>0</v>
      </c>
      <c r="AM67">
        <f t="shared" si="14"/>
        <v>0</v>
      </c>
      <c r="AN67" s="29">
        <f t="shared" si="15"/>
        <v>0</v>
      </c>
      <c r="AO67" s="1">
        <f t="shared" si="16"/>
        <v>0</v>
      </c>
    </row>
    <row r="68" spans="1:41" ht="15.9">
      <c r="A68" s="1" t="s">
        <v>155</v>
      </c>
      <c r="B68" s="1" t="s">
        <v>59</v>
      </c>
      <c r="C68" s="88" t="s">
        <v>22</v>
      </c>
      <c r="D68" s="86" t="e">
        <f>#REF!</f>
        <v>#REF!</v>
      </c>
      <c r="E68" s="31"/>
      <c r="F68" s="32"/>
      <c r="G68" s="32"/>
      <c r="H68" s="32"/>
      <c r="I68" s="32"/>
      <c r="J68" s="33"/>
      <c r="K68" s="33"/>
      <c r="L68" s="32"/>
      <c r="M68" s="32" t="s">
        <v>92</v>
      </c>
      <c r="N68" s="32" t="s">
        <v>95</v>
      </c>
      <c r="O68" s="89" t="s">
        <v>95</v>
      </c>
      <c r="P68" s="32" t="s">
        <v>95</v>
      </c>
      <c r="Q68" s="33" t="s">
        <v>95</v>
      </c>
      <c r="R68" s="33" t="s">
        <v>95</v>
      </c>
      <c r="S68" s="32" t="s">
        <v>95</v>
      </c>
      <c r="T68" s="32" t="s">
        <v>92</v>
      </c>
      <c r="U68" s="32"/>
      <c r="V68" s="32"/>
      <c r="W68" s="32"/>
      <c r="X68" s="33"/>
      <c r="Y68" s="33"/>
      <c r="Z68" s="32"/>
      <c r="AA68" s="32"/>
      <c r="AB68" s="32"/>
      <c r="AC68" s="32"/>
      <c r="AD68" s="32"/>
      <c r="AE68" s="33"/>
      <c r="AF68" s="33"/>
      <c r="AG68" s="32"/>
      <c r="AH68" s="32"/>
      <c r="AI68" s="34"/>
      <c r="AJ68" s="26" t="str">
        <f t="shared" si="11"/>
        <v>KUKIEŁKA Wojciech</v>
      </c>
      <c r="AK68" s="27" t="e">
        <f t="shared" si="17"/>
        <v>#REF!</v>
      </c>
      <c r="AL68" s="28">
        <f t="shared" si="13"/>
        <v>0</v>
      </c>
      <c r="AM68">
        <f t="shared" si="14"/>
        <v>168</v>
      </c>
      <c r="AN68" s="29">
        <f t="shared" si="15"/>
        <v>0</v>
      </c>
      <c r="AO68" s="1">
        <f t="shared" si="16"/>
        <v>0</v>
      </c>
    </row>
    <row r="69" spans="1:41" ht="15.9">
      <c r="A69" s="1" t="s">
        <v>155</v>
      </c>
      <c r="B69" s="1" t="s">
        <v>59</v>
      </c>
      <c r="C69" s="88" t="s">
        <v>23</v>
      </c>
      <c r="D69" s="86" t="e">
        <f>#REF!</f>
        <v>#REF!</v>
      </c>
      <c r="E69" s="31"/>
      <c r="F69" s="32"/>
      <c r="G69" s="32"/>
      <c r="H69" s="32"/>
      <c r="I69" s="32"/>
      <c r="J69" s="33"/>
      <c r="K69" s="33"/>
      <c r="L69" s="32"/>
      <c r="M69" s="32"/>
      <c r="N69" s="32"/>
      <c r="O69" s="89"/>
      <c r="P69" s="32"/>
      <c r="Q69" s="33"/>
      <c r="R69" s="33"/>
      <c r="S69" s="32"/>
      <c r="T69" s="32"/>
      <c r="U69" s="32"/>
      <c r="V69" s="32"/>
      <c r="W69" s="32"/>
      <c r="X69" s="33"/>
      <c r="Y69" s="33"/>
      <c r="Z69" s="32"/>
      <c r="AA69" s="32"/>
      <c r="AB69" s="32"/>
      <c r="AC69" s="32"/>
      <c r="AD69" s="32"/>
      <c r="AE69" s="33"/>
      <c r="AF69" s="33"/>
      <c r="AG69" s="32"/>
      <c r="AH69" s="32" t="s">
        <v>92</v>
      </c>
      <c r="AI69" s="34"/>
      <c r="AJ69" s="26" t="str">
        <f t="shared" si="11"/>
        <v>KUSIAK Jacek</v>
      </c>
      <c r="AK69" s="27" t="e">
        <f t="shared" si="17"/>
        <v>#REF!</v>
      </c>
      <c r="AL69" s="28">
        <f t="shared" si="13"/>
        <v>0</v>
      </c>
      <c r="AM69">
        <f t="shared" si="14"/>
        <v>12</v>
      </c>
      <c r="AN69" s="29">
        <f t="shared" si="15"/>
        <v>0</v>
      </c>
      <c r="AO69" s="1">
        <f t="shared" si="16"/>
        <v>0</v>
      </c>
    </row>
    <row r="70" spans="1:41" ht="15.9">
      <c r="A70" s="1" t="s">
        <v>155</v>
      </c>
      <c r="B70" s="1" t="s">
        <v>64</v>
      </c>
      <c r="C70" s="88" t="s">
        <v>24</v>
      </c>
      <c r="D70" s="86" t="e">
        <f>#REF!</f>
        <v>#REF!</v>
      </c>
      <c r="E70" s="31"/>
      <c r="F70" s="32"/>
      <c r="G70" s="32"/>
      <c r="H70" s="32"/>
      <c r="I70" s="32"/>
      <c r="J70" s="33"/>
      <c r="K70" s="33"/>
      <c r="L70" s="32"/>
      <c r="M70" s="32"/>
      <c r="N70" s="32"/>
      <c r="O70" s="33"/>
      <c r="P70" s="32"/>
      <c r="Q70" s="33"/>
      <c r="R70" s="33"/>
      <c r="S70" s="32"/>
      <c r="T70" s="32"/>
      <c r="U70" s="32"/>
      <c r="V70" s="32"/>
      <c r="W70" s="32"/>
      <c r="X70" s="33"/>
      <c r="Y70" s="33"/>
      <c r="Z70" s="32"/>
      <c r="AA70" s="32" t="s">
        <v>92</v>
      </c>
      <c r="AB70" s="32" t="s">
        <v>95</v>
      </c>
      <c r="AC70" s="32" t="s">
        <v>95</v>
      </c>
      <c r="AD70" s="32" t="s">
        <v>95</v>
      </c>
      <c r="AE70" s="33" t="s">
        <v>95</v>
      </c>
      <c r="AF70" s="33" t="s">
        <v>95</v>
      </c>
      <c r="AG70" s="32" t="s">
        <v>95</v>
      </c>
      <c r="AH70" s="32" t="s">
        <v>92</v>
      </c>
      <c r="AI70" s="34"/>
      <c r="AJ70" s="26" t="str">
        <f t="shared" si="11"/>
        <v>LISEWSKI Sebastian</v>
      </c>
      <c r="AK70" s="27" t="e">
        <f t="shared" si="17"/>
        <v>#REF!</v>
      </c>
      <c r="AL70" s="28">
        <f t="shared" si="13"/>
        <v>0</v>
      </c>
      <c r="AM70">
        <f t="shared" si="14"/>
        <v>168</v>
      </c>
      <c r="AN70" s="29">
        <f t="shared" si="15"/>
        <v>0</v>
      </c>
      <c r="AO70" s="1">
        <f t="shared" si="16"/>
        <v>0</v>
      </c>
    </row>
    <row r="71" spans="1:41" ht="15.9">
      <c r="A71" s="1" t="s">
        <v>152</v>
      </c>
      <c r="B71" s="1" t="s">
        <v>73</v>
      </c>
      <c r="C71" s="90" t="s">
        <v>25</v>
      </c>
      <c r="D71" s="86" t="e">
        <f>#REF!</f>
        <v>#REF!</v>
      </c>
      <c r="E71" s="31"/>
      <c r="F71" s="32"/>
      <c r="G71" s="32"/>
      <c r="H71" s="32"/>
      <c r="I71" s="32"/>
      <c r="J71" s="33"/>
      <c r="K71" s="33"/>
      <c r="L71" s="32"/>
      <c r="M71" s="32"/>
      <c r="N71" s="32"/>
      <c r="O71" s="89"/>
      <c r="P71" s="32" t="s">
        <v>61</v>
      </c>
      <c r="Q71" s="33" t="s">
        <v>62</v>
      </c>
      <c r="R71" s="33" t="s">
        <v>62</v>
      </c>
      <c r="S71" s="32" t="s">
        <v>61</v>
      </c>
      <c r="T71" s="32"/>
      <c r="U71" s="32"/>
      <c r="V71" s="32"/>
      <c r="W71" s="32"/>
      <c r="X71" s="33"/>
      <c r="Y71" s="33"/>
      <c r="Z71" s="32"/>
      <c r="AA71" s="32"/>
      <c r="AB71" s="32"/>
      <c r="AC71" s="32"/>
      <c r="AD71" s="32"/>
      <c r="AE71" s="33"/>
      <c r="AF71" s="33"/>
      <c r="AG71" s="32"/>
      <c r="AH71" s="32"/>
      <c r="AI71" s="34"/>
      <c r="AJ71" s="26" t="str">
        <f t="shared" si="11"/>
        <v>ŁUSZCZYŃSKI Jordan</v>
      </c>
      <c r="AK71" s="27" t="e">
        <f t="shared" si="17"/>
        <v>#REF!</v>
      </c>
      <c r="AL71" s="28">
        <f t="shared" si="13"/>
        <v>0</v>
      </c>
      <c r="AM71">
        <f t="shared" si="14"/>
        <v>72</v>
      </c>
      <c r="AN71" s="29">
        <f t="shared" si="15"/>
        <v>0</v>
      </c>
      <c r="AO71" s="1">
        <f t="shared" si="16"/>
        <v>0</v>
      </c>
    </row>
    <row r="72" spans="1:41" ht="15.9">
      <c r="A72" s="1" t="s">
        <v>155</v>
      </c>
      <c r="B72" s="1" t="s">
        <v>59</v>
      </c>
      <c r="C72" s="88" t="s">
        <v>26</v>
      </c>
      <c r="D72" s="86" t="e">
        <f>#REF!</f>
        <v>#REF!</v>
      </c>
      <c r="E72" s="31"/>
      <c r="F72" s="32" t="s">
        <v>92</v>
      </c>
      <c r="G72" s="32" t="s">
        <v>95</v>
      </c>
      <c r="H72" s="32" t="s">
        <v>95</v>
      </c>
      <c r="I72" s="32" t="s">
        <v>95</v>
      </c>
      <c r="J72" s="33" t="s">
        <v>95</v>
      </c>
      <c r="K72" s="33" t="s">
        <v>95</v>
      </c>
      <c r="L72" s="32" t="s">
        <v>95</v>
      </c>
      <c r="M72" s="32" t="s">
        <v>92</v>
      </c>
      <c r="N72" s="32"/>
      <c r="O72" s="89"/>
      <c r="P72" s="32"/>
      <c r="Q72" s="33"/>
      <c r="R72" s="33"/>
      <c r="S72" s="32"/>
      <c r="T72" s="32"/>
      <c r="U72" s="32"/>
      <c r="V72" s="32"/>
      <c r="W72" s="32"/>
      <c r="X72" s="33"/>
      <c r="Y72" s="33"/>
      <c r="Z72" s="32"/>
      <c r="AA72" s="32"/>
      <c r="AB72" s="32"/>
      <c r="AC72" s="32"/>
      <c r="AD72" s="32" t="s">
        <v>75</v>
      </c>
      <c r="AE72" s="33" t="s">
        <v>66</v>
      </c>
      <c r="AF72" s="33" t="s">
        <v>66</v>
      </c>
      <c r="AG72" s="32" t="s">
        <v>75</v>
      </c>
      <c r="AH72" s="32" t="s">
        <v>75</v>
      </c>
      <c r="AI72" s="34"/>
      <c r="AJ72" s="26" t="str">
        <f t="shared" si="11"/>
        <v>MAJCHER Cezary</v>
      </c>
      <c r="AK72" s="27" t="e">
        <f t="shared" si="17"/>
        <v>#REF!</v>
      </c>
      <c r="AL72" s="28">
        <f t="shared" si="13"/>
        <v>0</v>
      </c>
      <c r="AM72">
        <f t="shared" si="14"/>
        <v>168</v>
      </c>
      <c r="AN72" s="29">
        <f t="shared" si="15"/>
        <v>24</v>
      </c>
      <c r="AO72" s="1">
        <f t="shared" si="16"/>
        <v>0</v>
      </c>
    </row>
    <row r="73" spans="1:41" ht="15.9">
      <c r="A73" s="1" t="s">
        <v>152</v>
      </c>
      <c r="B73" s="1" t="s">
        <v>73</v>
      </c>
      <c r="C73" s="90" t="s">
        <v>27</v>
      </c>
      <c r="D73" s="86" t="e">
        <f>#REF!</f>
        <v>#REF!</v>
      </c>
      <c r="E73" s="31"/>
      <c r="F73" s="32"/>
      <c r="G73" s="32"/>
      <c r="H73" s="32"/>
      <c r="I73" s="32"/>
      <c r="J73" s="33"/>
      <c r="K73" s="33"/>
      <c r="L73" s="32"/>
      <c r="M73" s="32"/>
      <c r="N73" s="32"/>
      <c r="O73" s="89"/>
      <c r="P73" s="32"/>
      <c r="Q73" s="33"/>
      <c r="R73" s="33"/>
      <c r="S73" s="32"/>
      <c r="T73" s="32"/>
      <c r="U73" s="32"/>
      <c r="V73" s="32"/>
      <c r="W73" s="32"/>
      <c r="X73" s="33"/>
      <c r="Y73" s="33"/>
      <c r="Z73" s="32"/>
      <c r="AA73" s="32"/>
      <c r="AB73" s="32"/>
      <c r="AC73" s="32"/>
      <c r="AD73" s="32" t="s">
        <v>61</v>
      </c>
      <c r="AE73" s="33" t="s">
        <v>62</v>
      </c>
      <c r="AF73" s="33" t="s">
        <v>62</v>
      </c>
      <c r="AG73" s="32" t="s">
        <v>61</v>
      </c>
      <c r="AH73" s="32"/>
      <c r="AI73" s="34"/>
      <c r="AJ73" s="26" t="str">
        <f t="shared" si="11"/>
        <v>MAŁKOWSKI Jakub</v>
      </c>
      <c r="AK73" s="27" t="e">
        <f t="shared" si="17"/>
        <v>#REF!</v>
      </c>
      <c r="AL73" s="28">
        <f t="shared" si="13"/>
        <v>0</v>
      </c>
      <c r="AM73">
        <f t="shared" si="14"/>
        <v>72</v>
      </c>
      <c r="AN73" s="29">
        <f t="shared" si="15"/>
        <v>0</v>
      </c>
      <c r="AO73" s="1">
        <f t="shared" si="16"/>
        <v>0</v>
      </c>
    </row>
    <row r="74" spans="1:41" ht="15.9">
      <c r="A74" s="1" t="s">
        <v>155</v>
      </c>
      <c r="B74" s="1" t="s">
        <v>73</v>
      </c>
      <c r="C74" s="88" t="s">
        <v>28</v>
      </c>
      <c r="D74" s="86" t="e">
        <f>#REF!</f>
        <v>#REF!</v>
      </c>
      <c r="E74" s="31"/>
      <c r="F74" s="32" t="s">
        <v>75</v>
      </c>
      <c r="G74" s="32" t="s">
        <v>75</v>
      </c>
      <c r="H74" s="32" t="s">
        <v>75</v>
      </c>
      <c r="I74" s="32" t="s">
        <v>75</v>
      </c>
      <c r="J74" s="33" t="s">
        <v>66</v>
      </c>
      <c r="K74" s="33" t="s">
        <v>66</v>
      </c>
      <c r="L74" s="32" t="s">
        <v>75</v>
      </c>
      <c r="M74" s="32" t="s">
        <v>75</v>
      </c>
      <c r="N74" s="32" t="s">
        <v>75</v>
      </c>
      <c r="O74" s="89" t="s">
        <v>66</v>
      </c>
      <c r="P74" s="32" t="s">
        <v>75</v>
      </c>
      <c r="Q74" s="33" t="s">
        <v>66</v>
      </c>
      <c r="R74" s="33" t="s">
        <v>66</v>
      </c>
      <c r="S74" s="32" t="s">
        <v>75</v>
      </c>
      <c r="T74" s="32"/>
      <c r="U74" s="32"/>
      <c r="V74" s="32"/>
      <c r="W74" s="32"/>
      <c r="X74" s="33"/>
      <c r="Y74" s="33"/>
      <c r="Z74" s="32"/>
      <c r="AA74" s="32"/>
      <c r="AB74" s="32"/>
      <c r="AC74" s="32"/>
      <c r="AD74" s="32"/>
      <c r="AE74" s="33"/>
      <c r="AF74" s="33"/>
      <c r="AG74" s="32"/>
      <c r="AH74" s="32"/>
      <c r="AI74" s="34"/>
      <c r="AJ74" s="26" t="str">
        <f t="shared" si="11"/>
        <v>MATUK Tomasz</v>
      </c>
      <c r="AK74" s="27" t="e">
        <f t="shared" si="17"/>
        <v>#REF!</v>
      </c>
      <c r="AL74" s="28">
        <f t="shared" si="13"/>
        <v>0</v>
      </c>
      <c r="AM74">
        <f t="shared" si="14"/>
        <v>0</v>
      </c>
      <c r="AN74" s="29">
        <f t="shared" si="15"/>
        <v>72</v>
      </c>
      <c r="AO74" s="1">
        <f t="shared" si="16"/>
        <v>0</v>
      </c>
    </row>
    <row r="75" spans="1:41" ht="15.9">
      <c r="A75" s="1" t="s">
        <v>152</v>
      </c>
      <c r="B75" s="1" t="s">
        <v>59</v>
      </c>
      <c r="C75" s="90" t="s">
        <v>160</v>
      </c>
      <c r="D75" s="86" t="e">
        <f>#REF!</f>
        <v>#REF!</v>
      </c>
      <c r="E75" s="31"/>
      <c r="F75" s="32"/>
      <c r="G75" s="32"/>
      <c r="H75" s="32"/>
      <c r="I75" s="32"/>
      <c r="J75" s="33"/>
      <c r="K75" s="33"/>
      <c r="L75" s="32"/>
      <c r="M75" s="32"/>
      <c r="N75" s="32"/>
      <c r="O75" s="89"/>
      <c r="P75" s="32"/>
      <c r="Q75" s="33"/>
      <c r="R75" s="33"/>
      <c r="S75" s="32"/>
      <c r="T75" s="32"/>
      <c r="U75" s="32"/>
      <c r="V75" s="32"/>
      <c r="W75" s="32"/>
      <c r="X75" s="33"/>
      <c r="Y75" s="33"/>
      <c r="Z75" s="32"/>
      <c r="AA75" s="32"/>
      <c r="AB75" s="32"/>
      <c r="AC75" s="32"/>
      <c r="AD75" s="32"/>
      <c r="AE75" s="33"/>
      <c r="AF75" s="33"/>
      <c r="AG75" s="32"/>
      <c r="AH75" s="32"/>
      <c r="AI75" s="34"/>
      <c r="AJ75" s="26" t="str">
        <f t="shared" si="11"/>
        <v>MRUCZKIEWICZ Sławomir</v>
      </c>
      <c r="AK75" s="27" t="e">
        <f t="shared" si="17"/>
        <v>#REF!</v>
      </c>
      <c r="AL75" s="28">
        <f t="shared" si="13"/>
        <v>0</v>
      </c>
      <c r="AM75">
        <f t="shared" si="14"/>
        <v>0</v>
      </c>
      <c r="AN75" s="29">
        <f t="shared" si="15"/>
        <v>0</v>
      </c>
      <c r="AO75" s="1">
        <f t="shared" si="16"/>
        <v>0</v>
      </c>
    </row>
    <row r="76" spans="1:41" ht="15.9">
      <c r="A76" s="1" t="s">
        <v>155</v>
      </c>
      <c r="B76" s="1" t="s">
        <v>73</v>
      </c>
      <c r="C76" s="88" t="s">
        <v>29</v>
      </c>
      <c r="D76" s="86" t="e">
        <f>#REF!</f>
        <v>#REF!</v>
      </c>
      <c r="E76" s="31"/>
      <c r="F76" s="32"/>
      <c r="G76" s="32"/>
      <c r="H76" s="32"/>
      <c r="I76" s="32"/>
      <c r="J76" s="33"/>
      <c r="K76" s="33"/>
      <c r="L76" s="32"/>
      <c r="M76" s="32"/>
      <c r="N76" s="32"/>
      <c r="O76" s="89"/>
      <c r="P76" s="32"/>
      <c r="Q76" s="33"/>
      <c r="R76" s="33"/>
      <c r="S76" s="32"/>
      <c r="T76" s="32"/>
      <c r="U76" s="32"/>
      <c r="V76" s="32"/>
      <c r="W76" s="32"/>
      <c r="X76" s="33"/>
      <c r="Y76" s="33"/>
      <c r="Z76" s="32"/>
      <c r="AA76" s="32" t="s">
        <v>153</v>
      </c>
      <c r="AB76" s="32" t="s">
        <v>154</v>
      </c>
      <c r="AC76" s="32" t="s">
        <v>154</v>
      </c>
      <c r="AD76" s="32" t="s">
        <v>154</v>
      </c>
      <c r="AE76" s="33" t="s">
        <v>154</v>
      </c>
      <c r="AF76" s="33" t="s">
        <v>154</v>
      </c>
      <c r="AG76" s="32" t="s">
        <v>154</v>
      </c>
      <c r="AH76" s="32" t="s">
        <v>153</v>
      </c>
      <c r="AI76" s="34"/>
      <c r="AJ76" s="26" t="str">
        <f t="shared" si="11"/>
        <v>ORZECHOWSKI Bartosz</v>
      </c>
      <c r="AK76" s="27" t="e">
        <f t="shared" si="17"/>
        <v>#REF!</v>
      </c>
      <c r="AL76" s="28">
        <f t="shared" si="13"/>
        <v>0</v>
      </c>
      <c r="AM76">
        <f t="shared" si="14"/>
        <v>168</v>
      </c>
      <c r="AN76" s="29">
        <f t="shared" si="15"/>
        <v>0</v>
      </c>
      <c r="AO76" s="1">
        <f t="shared" si="16"/>
        <v>0</v>
      </c>
    </row>
    <row r="77" spans="1:41" ht="15.9">
      <c r="A77" s="1" t="s">
        <v>155</v>
      </c>
      <c r="B77" s="1" t="s">
        <v>59</v>
      </c>
      <c r="C77" s="88" t="s">
        <v>30</v>
      </c>
      <c r="D77" s="86" t="e">
        <f>#REF!</f>
        <v>#REF!</v>
      </c>
      <c r="E77" s="31" t="s">
        <v>66</v>
      </c>
      <c r="F77" s="32" t="s">
        <v>75</v>
      </c>
      <c r="G77" s="32" t="s">
        <v>75</v>
      </c>
      <c r="H77" s="32" t="s">
        <v>75</v>
      </c>
      <c r="I77" s="32" t="s">
        <v>75</v>
      </c>
      <c r="J77" s="33"/>
      <c r="K77" s="33"/>
      <c r="L77" s="32" t="s">
        <v>75</v>
      </c>
      <c r="M77" s="32" t="s">
        <v>75</v>
      </c>
      <c r="N77" s="32" t="s">
        <v>75</v>
      </c>
      <c r="O77" s="89" t="s">
        <v>66</v>
      </c>
      <c r="P77" s="32" t="s">
        <v>75</v>
      </c>
      <c r="Q77" s="33" t="s">
        <v>66</v>
      </c>
      <c r="R77" s="33" t="s">
        <v>66</v>
      </c>
      <c r="S77" s="32" t="s">
        <v>75</v>
      </c>
      <c r="T77" s="32" t="s">
        <v>75</v>
      </c>
      <c r="U77" s="32"/>
      <c r="V77" s="32"/>
      <c r="W77" s="32"/>
      <c r="X77" s="33"/>
      <c r="Y77" s="33"/>
      <c r="Z77" s="32"/>
      <c r="AA77" s="32" t="s">
        <v>92</v>
      </c>
      <c r="AB77" s="32" t="s">
        <v>95</v>
      </c>
      <c r="AC77" s="32" t="s">
        <v>95</v>
      </c>
      <c r="AD77" s="32" t="s">
        <v>95</v>
      </c>
      <c r="AE77" s="33" t="s">
        <v>95</v>
      </c>
      <c r="AF77" s="33" t="s">
        <v>95</v>
      </c>
      <c r="AG77" s="32" t="s">
        <v>95</v>
      </c>
      <c r="AH77" s="32" t="s">
        <v>92</v>
      </c>
      <c r="AI77" s="34"/>
      <c r="AJ77" s="26" t="str">
        <f t="shared" si="11"/>
        <v>PADJAS Marek</v>
      </c>
      <c r="AK77" s="27" t="e">
        <f t="shared" si="17"/>
        <v>#REF!</v>
      </c>
      <c r="AL77" s="28">
        <f t="shared" si="13"/>
        <v>0</v>
      </c>
      <c r="AM77">
        <f t="shared" si="14"/>
        <v>168</v>
      </c>
      <c r="AN77" s="29">
        <f t="shared" si="15"/>
        <v>80</v>
      </c>
      <c r="AO77" s="1">
        <f t="shared" si="16"/>
        <v>0</v>
      </c>
    </row>
    <row r="78" spans="1:41" ht="15.9">
      <c r="A78" s="1" t="s">
        <v>155</v>
      </c>
      <c r="B78" s="1" t="s">
        <v>73</v>
      </c>
      <c r="C78" s="88" t="s">
        <v>31</v>
      </c>
      <c r="D78" s="86" t="e">
        <f>#REF!</f>
        <v>#REF!</v>
      </c>
      <c r="E78" s="31" t="s">
        <v>95</v>
      </c>
      <c r="F78" s="32" t="s">
        <v>92</v>
      </c>
      <c r="G78" s="32"/>
      <c r="H78" s="32"/>
      <c r="I78" s="32"/>
      <c r="J78" s="33"/>
      <c r="K78" s="33"/>
      <c r="L78" s="32" t="s">
        <v>75</v>
      </c>
      <c r="M78" s="32" t="s">
        <v>75</v>
      </c>
      <c r="N78" s="32" t="s">
        <v>75</v>
      </c>
      <c r="O78" s="89" t="s">
        <v>66</v>
      </c>
      <c r="P78" s="32" t="s">
        <v>75</v>
      </c>
      <c r="Q78" s="33" t="s">
        <v>66</v>
      </c>
      <c r="R78" s="33" t="s">
        <v>66</v>
      </c>
      <c r="S78" s="32" t="s">
        <v>75</v>
      </c>
      <c r="T78" s="32" t="s">
        <v>75</v>
      </c>
      <c r="U78" s="32"/>
      <c r="V78" s="32"/>
      <c r="W78" s="32"/>
      <c r="X78" s="33"/>
      <c r="Y78" s="33"/>
      <c r="Z78" s="32"/>
      <c r="AA78" s="32"/>
      <c r="AB78" s="32"/>
      <c r="AC78" s="32"/>
      <c r="AD78" s="32"/>
      <c r="AE78" s="33"/>
      <c r="AF78" s="33"/>
      <c r="AG78" s="32"/>
      <c r="AH78" s="32"/>
      <c r="AI78" s="34"/>
      <c r="AJ78" s="26" t="str">
        <f t="shared" si="11"/>
        <v>PAWLAK Maciej Tomasz</v>
      </c>
      <c r="AK78" s="27" t="e">
        <f t="shared" si="17"/>
        <v>#REF!</v>
      </c>
      <c r="AL78" s="28">
        <f t="shared" si="13"/>
        <v>0</v>
      </c>
      <c r="AM78">
        <f t="shared" si="14"/>
        <v>36</v>
      </c>
      <c r="AN78" s="29">
        <f t="shared" si="15"/>
        <v>48</v>
      </c>
      <c r="AO78" s="1">
        <f t="shared" si="16"/>
        <v>0</v>
      </c>
    </row>
    <row r="79" spans="1:41" ht="15.9">
      <c r="A79" s="1" t="s">
        <v>157</v>
      </c>
      <c r="B79" s="1" t="s">
        <v>64</v>
      </c>
      <c r="C79" s="91" t="s">
        <v>32</v>
      </c>
      <c r="D79" s="86" t="e">
        <f>#REF!</f>
        <v>#REF!</v>
      </c>
      <c r="E79" s="31"/>
      <c r="F79" s="32"/>
      <c r="G79" s="32"/>
      <c r="H79" s="32"/>
      <c r="I79" s="32"/>
      <c r="J79" s="33"/>
      <c r="K79" s="33"/>
      <c r="L79" s="32"/>
      <c r="M79" s="32"/>
      <c r="N79" s="32"/>
      <c r="O79" s="33"/>
      <c r="P79" s="32"/>
      <c r="Q79" s="33"/>
      <c r="R79" s="33"/>
      <c r="S79" s="32"/>
      <c r="T79" s="32" t="s">
        <v>92</v>
      </c>
      <c r="U79" s="32" t="s">
        <v>95</v>
      </c>
      <c r="V79" s="32" t="s">
        <v>95</v>
      </c>
      <c r="W79" s="32" t="s">
        <v>92</v>
      </c>
      <c r="X79" s="33"/>
      <c r="Y79" s="33"/>
      <c r="Z79" s="32"/>
      <c r="AA79" s="32"/>
      <c r="AB79" s="32"/>
      <c r="AC79" s="32"/>
      <c r="AD79" s="32"/>
      <c r="AE79" s="33"/>
      <c r="AF79" s="33"/>
      <c r="AG79" s="32"/>
      <c r="AH79" s="32"/>
      <c r="AI79" s="34"/>
      <c r="AJ79" s="26" t="str">
        <f t="shared" si="11"/>
        <v>PAWŁOWSKA Agata</v>
      </c>
      <c r="AK79" s="27" t="e">
        <f t="shared" si="17"/>
        <v>#REF!</v>
      </c>
      <c r="AL79" s="28">
        <f t="shared" si="13"/>
        <v>0</v>
      </c>
      <c r="AM79">
        <f t="shared" si="14"/>
        <v>72</v>
      </c>
      <c r="AN79" s="29">
        <f t="shared" si="15"/>
        <v>0</v>
      </c>
      <c r="AO79" s="1">
        <f t="shared" si="16"/>
        <v>0</v>
      </c>
    </row>
    <row r="80" spans="1:41" ht="15.9">
      <c r="A80" s="1" t="s">
        <v>155</v>
      </c>
      <c r="B80" s="1" t="s">
        <v>73</v>
      </c>
      <c r="C80" s="92" t="s">
        <v>33</v>
      </c>
      <c r="D80" s="86" t="e">
        <f>#REF!</f>
        <v>#REF!</v>
      </c>
      <c r="E80" s="31"/>
      <c r="F80" s="32"/>
      <c r="G80" s="32"/>
      <c r="H80" s="32"/>
      <c r="I80" s="32"/>
      <c r="J80" s="33"/>
      <c r="K80" s="33"/>
      <c r="L80" s="32"/>
      <c r="M80" s="32" t="s">
        <v>153</v>
      </c>
      <c r="N80" s="32" t="s">
        <v>154</v>
      </c>
      <c r="O80" s="89" t="s">
        <v>154</v>
      </c>
      <c r="P80" s="32" t="s">
        <v>153</v>
      </c>
      <c r="Q80" s="33"/>
      <c r="R80" s="33"/>
      <c r="S80" s="32"/>
      <c r="T80" s="32"/>
      <c r="U80" s="32"/>
      <c r="V80" s="32"/>
      <c r="W80" s="32"/>
      <c r="X80" s="33"/>
      <c r="Y80" s="33"/>
      <c r="Z80" s="32"/>
      <c r="AA80" s="32"/>
      <c r="AB80" s="32"/>
      <c r="AC80" s="32"/>
      <c r="AD80" s="32"/>
      <c r="AE80" s="33"/>
      <c r="AF80" s="33"/>
      <c r="AG80" s="32"/>
      <c r="AH80" s="32"/>
      <c r="AI80" s="34"/>
      <c r="AJ80" s="26" t="str">
        <f t="shared" ref="AJ80:AJ100" si="18">C80</f>
        <v>PAWŁOWSKI Piotr</v>
      </c>
      <c r="AK80" s="27" t="e">
        <f t="shared" si="17"/>
        <v>#REF!</v>
      </c>
      <c r="AL80" s="28">
        <f t="shared" ref="AL80:AL100" si="19">COUNTIF(E80:AI80,"D")*24+COUNTIF(E80:AI80,"12g")*12+COUNTIF(E80:AI80,"w")*24</f>
        <v>0</v>
      </c>
      <c r="AM80">
        <f t="shared" ref="AM80:AM100" si="20">SUM(COUNTIF(E80:AI80,"k")+COUNTIF(E80:AI80,"s")+COUNTIF(E80:AI80,"wse"))*24+SUM(COUNTIF(E80:AI80,"Pk")+COUNTIF(E80:AI80,"Ps"))*12</f>
        <v>72</v>
      </c>
      <c r="AN80" s="29">
        <f t="shared" ref="AN80:AN100" si="21">SUM(E80:AI80)+COUNTIF(E80:AI80,"uw")*8+COUNTIF(E80:AI80,"us")*8+COUNTIF(E80:AI80,"uz")*8</f>
        <v>0</v>
      </c>
      <c r="AO80" s="1">
        <f t="shared" ref="AO80:AO100" si="22">COUNTIF(E80:AI80,"DT")*8</f>
        <v>0</v>
      </c>
    </row>
    <row r="81" spans="1:41" ht="15.9">
      <c r="A81" s="1" t="s">
        <v>152</v>
      </c>
      <c r="B81" s="1" t="s">
        <v>64</v>
      </c>
      <c r="C81" s="91" t="s">
        <v>34</v>
      </c>
      <c r="D81" s="86" t="e">
        <f>#REF!</f>
        <v>#REF!</v>
      </c>
      <c r="E81" s="31"/>
      <c r="F81" s="32"/>
      <c r="G81" s="32"/>
      <c r="H81" s="32" t="s">
        <v>75</v>
      </c>
      <c r="I81" s="32" t="s">
        <v>75</v>
      </c>
      <c r="J81" s="33" t="s">
        <v>66</v>
      </c>
      <c r="K81" s="33" t="s">
        <v>66</v>
      </c>
      <c r="L81" s="32" t="s">
        <v>75</v>
      </c>
      <c r="M81" s="32" t="s">
        <v>75</v>
      </c>
      <c r="N81" s="32" t="s">
        <v>75</v>
      </c>
      <c r="O81" s="33" t="s">
        <v>66</v>
      </c>
      <c r="P81" s="32" t="s">
        <v>75</v>
      </c>
      <c r="Q81" s="33"/>
      <c r="R81" s="33"/>
      <c r="S81" s="32"/>
      <c r="T81" s="32"/>
      <c r="U81" s="32"/>
      <c r="V81" s="32"/>
      <c r="W81" s="32"/>
      <c r="X81" s="33"/>
      <c r="Y81" s="33"/>
      <c r="Z81" s="32"/>
      <c r="AA81" s="32"/>
      <c r="AB81" s="32"/>
      <c r="AC81" s="32"/>
      <c r="AD81" s="32"/>
      <c r="AE81" s="33"/>
      <c r="AF81" s="33"/>
      <c r="AG81" s="32"/>
      <c r="AH81" s="32"/>
      <c r="AI81" s="34"/>
      <c r="AJ81" s="26" t="str">
        <f t="shared" si="18"/>
        <v>PERKOWSKI Tadeusz</v>
      </c>
      <c r="AK81" s="27" t="e">
        <f t="shared" si="17"/>
        <v>#REF!</v>
      </c>
      <c r="AL81" s="28">
        <f t="shared" si="19"/>
        <v>0</v>
      </c>
      <c r="AM81">
        <f t="shared" si="20"/>
        <v>0</v>
      </c>
      <c r="AN81" s="29">
        <f t="shared" si="21"/>
        <v>48</v>
      </c>
      <c r="AO81" s="1">
        <f t="shared" si="22"/>
        <v>0</v>
      </c>
    </row>
    <row r="82" spans="1:41" ht="15.9">
      <c r="A82" s="1" t="s">
        <v>156</v>
      </c>
      <c r="B82" s="1" t="s">
        <v>64</v>
      </c>
      <c r="C82" s="91" t="s">
        <v>35</v>
      </c>
      <c r="D82" s="86" t="e">
        <f>#REF!</f>
        <v>#REF!</v>
      </c>
      <c r="E82" s="31"/>
      <c r="F82" s="32"/>
      <c r="G82" s="32"/>
      <c r="H82" s="32"/>
      <c r="I82" s="32"/>
      <c r="J82" s="33"/>
      <c r="K82" s="33"/>
      <c r="L82" s="32"/>
      <c r="M82" s="32"/>
      <c r="N82" s="32"/>
      <c r="O82" s="33"/>
      <c r="P82" s="32" t="s">
        <v>61</v>
      </c>
      <c r="Q82" s="33" t="s">
        <v>62</v>
      </c>
      <c r="R82" s="33" t="s">
        <v>62</v>
      </c>
      <c r="S82" s="32" t="s">
        <v>61</v>
      </c>
      <c r="T82" s="32"/>
      <c r="U82" s="32"/>
      <c r="V82" s="32"/>
      <c r="W82" s="32"/>
      <c r="X82" s="33"/>
      <c r="Y82" s="33"/>
      <c r="Z82" s="32"/>
      <c r="AA82" s="32"/>
      <c r="AB82" s="32"/>
      <c r="AC82" s="32"/>
      <c r="AD82" s="32"/>
      <c r="AE82" s="33"/>
      <c r="AF82" s="33"/>
      <c r="AG82" s="32"/>
      <c r="AH82" s="32"/>
      <c r="AI82" s="34"/>
      <c r="AJ82" s="26" t="str">
        <f t="shared" si="18"/>
        <v>PEZAŁA Maciej</v>
      </c>
      <c r="AK82" s="27" t="e">
        <f t="shared" si="17"/>
        <v>#REF!</v>
      </c>
      <c r="AL82" s="28">
        <f t="shared" si="19"/>
        <v>0</v>
      </c>
      <c r="AM82">
        <f t="shared" si="20"/>
        <v>72</v>
      </c>
      <c r="AN82" s="29">
        <f t="shared" si="21"/>
        <v>0</v>
      </c>
      <c r="AO82" s="1">
        <f t="shared" si="22"/>
        <v>0</v>
      </c>
    </row>
    <row r="83" spans="1:41" ht="15.9">
      <c r="A83" s="1" t="s">
        <v>156</v>
      </c>
      <c r="B83" s="1" t="s">
        <v>59</v>
      </c>
      <c r="C83" s="91" t="s">
        <v>36</v>
      </c>
      <c r="D83" s="86" t="e">
        <f>#REF!</f>
        <v>#REF!</v>
      </c>
      <c r="E83" s="31"/>
      <c r="F83" s="32"/>
      <c r="G83" s="32"/>
      <c r="H83" s="32"/>
      <c r="I83" s="32"/>
      <c r="J83" s="33"/>
      <c r="K83" s="33"/>
      <c r="L83" s="32" t="s">
        <v>75</v>
      </c>
      <c r="M83" s="32" t="s">
        <v>75</v>
      </c>
      <c r="N83" s="32" t="s">
        <v>75</v>
      </c>
      <c r="O83" s="89" t="s">
        <v>66</v>
      </c>
      <c r="P83" s="32" t="s">
        <v>75</v>
      </c>
      <c r="Q83" s="33" t="s">
        <v>66</v>
      </c>
      <c r="R83" s="33" t="s">
        <v>66</v>
      </c>
      <c r="S83" s="32" t="s">
        <v>75</v>
      </c>
      <c r="T83" s="32" t="s">
        <v>75</v>
      </c>
      <c r="U83" s="32"/>
      <c r="V83" s="32"/>
      <c r="W83" s="32"/>
      <c r="X83" s="33"/>
      <c r="Y83" s="33"/>
      <c r="Z83" s="32"/>
      <c r="AA83" s="32" t="s">
        <v>153</v>
      </c>
      <c r="AB83" s="32" t="s">
        <v>154</v>
      </c>
      <c r="AC83" s="32" t="s">
        <v>154</v>
      </c>
      <c r="AD83" s="32" t="s">
        <v>154</v>
      </c>
      <c r="AE83" s="33" t="s">
        <v>154</v>
      </c>
      <c r="AF83" s="33" t="s">
        <v>154</v>
      </c>
      <c r="AG83" s="32" t="s">
        <v>154</v>
      </c>
      <c r="AH83" s="32" t="s">
        <v>153</v>
      </c>
      <c r="AI83" s="34"/>
      <c r="AJ83" s="26" t="str">
        <f t="shared" si="18"/>
        <v>PIEŃKOWSKI Mirosław</v>
      </c>
      <c r="AK83" s="27" t="e">
        <f t="shared" si="17"/>
        <v>#REF!</v>
      </c>
      <c r="AL83" s="28">
        <f t="shared" si="19"/>
        <v>0</v>
      </c>
      <c r="AM83">
        <f t="shared" si="20"/>
        <v>168</v>
      </c>
      <c r="AN83" s="29">
        <f t="shared" si="21"/>
        <v>48</v>
      </c>
      <c r="AO83" s="1">
        <f t="shared" si="22"/>
        <v>0</v>
      </c>
    </row>
    <row r="84" spans="1:41" ht="15.9">
      <c r="A84" s="1" t="s">
        <v>152</v>
      </c>
      <c r="B84" s="1" t="s">
        <v>93</v>
      </c>
      <c r="C84" s="90" t="s">
        <v>37</v>
      </c>
      <c r="D84" s="86" t="e">
        <f>#REF!</f>
        <v>#REF!</v>
      </c>
      <c r="E84" s="31"/>
      <c r="F84" s="32"/>
      <c r="G84" s="32"/>
      <c r="H84" s="32"/>
      <c r="I84" s="32"/>
      <c r="J84" s="33"/>
      <c r="K84" s="33"/>
      <c r="L84" s="32"/>
      <c r="M84" s="32"/>
      <c r="N84" s="32"/>
      <c r="O84" s="89"/>
      <c r="P84" s="32"/>
      <c r="Q84" s="33"/>
      <c r="R84" s="33"/>
      <c r="S84" s="32"/>
      <c r="T84" s="32"/>
      <c r="U84" s="32"/>
      <c r="V84" s="32"/>
      <c r="W84" s="32"/>
      <c r="X84" s="33"/>
      <c r="Y84" s="33"/>
      <c r="Z84" s="32"/>
      <c r="AA84" s="32"/>
      <c r="AB84" s="32"/>
      <c r="AC84" s="32"/>
      <c r="AD84" s="32"/>
      <c r="AE84" s="33"/>
      <c r="AF84" s="33"/>
      <c r="AG84" s="32"/>
      <c r="AH84" s="32"/>
      <c r="AI84" s="34"/>
      <c r="AJ84" s="26" t="str">
        <f t="shared" si="18"/>
        <v>PUJANEK Sebastian</v>
      </c>
      <c r="AK84" s="27" t="e">
        <f t="shared" si="17"/>
        <v>#REF!</v>
      </c>
      <c r="AL84" s="28">
        <f t="shared" si="19"/>
        <v>0</v>
      </c>
      <c r="AM84">
        <f t="shared" si="20"/>
        <v>0</v>
      </c>
      <c r="AN84" s="29">
        <f t="shared" si="21"/>
        <v>0</v>
      </c>
      <c r="AO84" s="1">
        <f t="shared" si="22"/>
        <v>0</v>
      </c>
    </row>
    <row r="85" spans="1:41" ht="15.9">
      <c r="A85" s="1" t="s">
        <v>152</v>
      </c>
      <c r="B85" s="1" t="s">
        <v>64</v>
      </c>
      <c r="C85" s="90" t="s">
        <v>38</v>
      </c>
      <c r="D85" s="86" t="e">
        <f>#REF!</f>
        <v>#REF!</v>
      </c>
      <c r="E85" s="31"/>
      <c r="F85" s="32"/>
      <c r="G85" s="32"/>
      <c r="H85" s="32"/>
      <c r="I85" s="32"/>
      <c r="J85" s="33"/>
      <c r="K85" s="33"/>
      <c r="L85" s="32"/>
      <c r="M85" s="32"/>
      <c r="N85" s="32"/>
      <c r="O85" s="33"/>
      <c r="P85" s="32"/>
      <c r="Q85" s="33"/>
      <c r="R85" s="33"/>
      <c r="S85" s="32"/>
      <c r="T85" s="32"/>
      <c r="U85" s="32"/>
      <c r="V85" s="32"/>
      <c r="W85" s="32"/>
      <c r="X85" s="33"/>
      <c r="Y85" s="33"/>
      <c r="Z85" s="32"/>
      <c r="AA85" s="32"/>
      <c r="AB85" s="32"/>
      <c r="AC85" s="32"/>
      <c r="AD85" s="32"/>
      <c r="AE85" s="33"/>
      <c r="AF85" s="33"/>
      <c r="AG85" s="32"/>
      <c r="AH85" s="32"/>
      <c r="AI85" s="34"/>
      <c r="AJ85" s="26" t="str">
        <f t="shared" si="18"/>
        <v>REIMANN Daniel</v>
      </c>
      <c r="AK85" s="27" t="e">
        <f t="shared" si="17"/>
        <v>#REF!</v>
      </c>
      <c r="AL85" s="28">
        <f t="shared" si="19"/>
        <v>0</v>
      </c>
      <c r="AM85">
        <f t="shared" si="20"/>
        <v>0</v>
      </c>
      <c r="AN85" s="29">
        <f t="shared" si="21"/>
        <v>0</v>
      </c>
      <c r="AO85" s="1">
        <f t="shared" si="22"/>
        <v>0</v>
      </c>
    </row>
    <row r="86" spans="1:41" ht="15.9">
      <c r="A86" s="1" t="s">
        <v>58</v>
      </c>
      <c r="B86" s="1" t="s">
        <v>64</v>
      </c>
      <c r="C86" s="30" t="s">
        <v>161</v>
      </c>
      <c r="D86" s="86" t="e">
        <f>#REF!</f>
        <v>#REF!</v>
      </c>
      <c r="E86" s="31"/>
      <c r="F86" s="32" t="s">
        <v>75</v>
      </c>
      <c r="G86" s="32" t="s">
        <v>75</v>
      </c>
      <c r="H86" s="32" t="s">
        <v>75</v>
      </c>
      <c r="I86" s="32" t="s">
        <v>75</v>
      </c>
      <c r="J86" s="33"/>
      <c r="K86" s="33"/>
      <c r="L86" s="32"/>
      <c r="M86" s="32"/>
      <c r="N86" s="32"/>
      <c r="O86" s="33"/>
      <c r="P86" s="32"/>
      <c r="Q86" s="33"/>
      <c r="R86" s="33"/>
      <c r="S86" s="32"/>
      <c r="T86" s="32" t="s">
        <v>92</v>
      </c>
      <c r="U86" s="32" t="s">
        <v>95</v>
      </c>
      <c r="V86" s="32" t="s">
        <v>95</v>
      </c>
      <c r="W86" s="32" t="s">
        <v>92</v>
      </c>
      <c r="X86" s="33"/>
      <c r="Y86" s="33"/>
      <c r="Z86" s="32"/>
      <c r="AA86" s="32"/>
      <c r="AB86" s="32"/>
      <c r="AC86" s="32"/>
      <c r="AD86" s="32"/>
      <c r="AE86" s="33"/>
      <c r="AF86" s="33"/>
      <c r="AG86" s="32"/>
      <c r="AH86" s="32"/>
      <c r="AI86" s="34"/>
      <c r="AJ86" s="26" t="str">
        <f t="shared" si="18"/>
        <v>ROZMYTAŃSKA - PEŁECH Olga</v>
      </c>
      <c r="AK86" s="27" t="e">
        <f t="shared" si="17"/>
        <v>#REF!</v>
      </c>
      <c r="AL86" s="28">
        <f t="shared" si="19"/>
        <v>0</v>
      </c>
      <c r="AM86">
        <f t="shared" si="20"/>
        <v>72</v>
      </c>
      <c r="AN86" s="29">
        <f t="shared" si="21"/>
        <v>32</v>
      </c>
      <c r="AO86" s="1">
        <f t="shared" si="22"/>
        <v>0</v>
      </c>
    </row>
    <row r="87" spans="1:41" ht="15.9">
      <c r="A87" s="1" t="s">
        <v>155</v>
      </c>
      <c r="B87" s="1" t="s">
        <v>93</v>
      </c>
      <c r="C87" s="88" t="s">
        <v>39</v>
      </c>
      <c r="D87" s="86" t="e">
        <f>#REF!</f>
        <v>#REF!</v>
      </c>
      <c r="E87" s="31"/>
      <c r="F87" s="32"/>
      <c r="G87" s="32"/>
      <c r="H87" s="32"/>
      <c r="I87" s="32"/>
      <c r="J87" s="33"/>
      <c r="K87" s="33"/>
      <c r="L87" s="32"/>
      <c r="M87" s="32"/>
      <c r="N87" s="32"/>
      <c r="O87" s="89"/>
      <c r="P87" s="32"/>
      <c r="Q87" s="33"/>
      <c r="R87" s="33"/>
      <c r="S87" s="32"/>
      <c r="T87" s="32"/>
      <c r="U87" s="32"/>
      <c r="V87" s="32"/>
      <c r="W87" s="32"/>
      <c r="X87" s="33"/>
      <c r="Y87" s="33"/>
      <c r="Z87" s="32"/>
      <c r="AA87" s="32"/>
      <c r="AB87" s="32"/>
      <c r="AC87" s="32"/>
      <c r="AD87" s="32"/>
      <c r="AE87" s="33"/>
      <c r="AF87" s="33"/>
      <c r="AG87" s="32"/>
      <c r="AH87" s="32"/>
      <c r="AI87" s="32"/>
      <c r="AJ87" s="26" t="str">
        <f t="shared" si="18"/>
        <v>SCHEEL Magdalena</v>
      </c>
      <c r="AK87" s="27">
        <v>0</v>
      </c>
      <c r="AL87" s="28">
        <f t="shared" si="19"/>
        <v>0</v>
      </c>
      <c r="AM87">
        <f t="shared" si="20"/>
        <v>0</v>
      </c>
      <c r="AN87" s="29">
        <f t="shared" si="21"/>
        <v>0</v>
      </c>
      <c r="AO87" s="1">
        <f t="shared" si="22"/>
        <v>0</v>
      </c>
    </row>
    <row r="88" spans="1:41" ht="15.9">
      <c r="A88" s="1" t="s">
        <v>155</v>
      </c>
      <c r="B88" s="1" t="s">
        <v>64</v>
      </c>
      <c r="C88" s="88" t="s">
        <v>40</v>
      </c>
      <c r="D88" s="86" t="e">
        <f>#REF!</f>
        <v>#REF!</v>
      </c>
      <c r="E88" s="31" t="s">
        <v>95</v>
      </c>
      <c r="F88" s="32" t="s">
        <v>92</v>
      </c>
      <c r="G88" s="32"/>
      <c r="H88" s="32"/>
      <c r="I88" s="32"/>
      <c r="J88" s="33"/>
      <c r="K88" s="33"/>
      <c r="L88" s="32"/>
      <c r="M88" s="32"/>
      <c r="N88" s="32"/>
      <c r="O88" s="33"/>
      <c r="P88" s="32"/>
      <c r="Q88" s="33"/>
      <c r="R88" s="33"/>
      <c r="S88" s="32"/>
      <c r="T88" s="32"/>
      <c r="U88" s="32"/>
      <c r="V88" s="32"/>
      <c r="W88" s="32" t="s">
        <v>153</v>
      </c>
      <c r="X88" s="33" t="s">
        <v>154</v>
      </c>
      <c r="Y88" s="33" t="s">
        <v>154</v>
      </c>
      <c r="Z88" s="32" t="s">
        <v>153</v>
      </c>
      <c r="AA88" s="32"/>
      <c r="AB88" s="32"/>
      <c r="AC88" s="32"/>
      <c r="AD88" s="32"/>
      <c r="AE88" s="33"/>
      <c r="AF88" s="33"/>
      <c r="AG88" s="32" t="s">
        <v>75</v>
      </c>
      <c r="AH88" s="32" t="s">
        <v>75</v>
      </c>
      <c r="AI88" s="34"/>
      <c r="AJ88" s="26" t="str">
        <f t="shared" si="18"/>
        <v>SKALSKA Paulina</v>
      </c>
      <c r="AK88" s="27" t="e">
        <f t="shared" ref="AK88:AK100" si="23">D88+AL88+AM88+AN88-$AK$47+AO88+AP88</f>
        <v>#REF!</v>
      </c>
      <c r="AL88" s="28">
        <f t="shared" si="19"/>
        <v>0</v>
      </c>
      <c r="AM88">
        <f t="shared" si="20"/>
        <v>108</v>
      </c>
      <c r="AN88" s="29">
        <f t="shared" si="21"/>
        <v>16</v>
      </c>
      <c r="AO88" s="1">
        <f t="shared" si="22"/>
        <v>0</v>
      </c>
    </row>
    <row r="89" spans="1:41" ht="15.9">
      <c r="A89" s="1" t="s">
        <v>155</v>
      </c>
      <c r="B89" s="1" t="s">
        <v>93</v>
      </c>
      <c r="C89" s="88" t="s">
        <v>42</v>
      </c>
      <c r="D89" s="86" t="e">
        <f>#REF!</f>
        <v>#REF!</v>
      </c>
      <c r="E89" s="31"/>
      <c r="F89" s="32"/>
      <c r="G89" s="32"/>
      <c r="H89" s="32"/>
      <c r="I89" s="32"/>
      <c r="J89" s="33"/>
      <c r="K89" s="33"/>
      <c r="L89" s="32"/>
      <c r="M89" s="32" t="s">
        <v>92</v>
      </c>
      <c r="N89" s="32" t="s">
        <v>95</v>
      </c>
      <c r="O89" s="89" t="s">
        <v>95</v>
      </c>
      <c r="P89" s="32" t="s">
        <v>95</v>
      </c>
      <c r="Q89" s="33" t="s">
        <v>95</v>
      </c>
      <c r="R89" s="33" t="s">
        <v>95</v>
      </c>
      <c r="S89" s="32" t="s">
        <v>95</v>
      </c>
      <c r="T89" s="32" t="s">
        <v>92</v>
      </c>
      <c r="U89" s="32"/>
      <c r="V89" s="32"/>
      <c r="W89" s="32"/>
      <c r="X89" s="33"/>
      <c r="Y89" s="33"/>
      <c r="Z89" s="32"/>
      <c r="AA89" s="32"/>
      <c r="AB89" s="32"/>
      <c r="AC89" s="32"/>
      <c r="AD89" s="32"/>
      <c r="AE89" s="33"/>
      <c r="AF89" s="33"/>
      <c r="AG89" s="32" t="s">
        <v>75</v>
      </c>
      <c r="AH89" s="32" t="s">
        <v>75</v>
      </c>
      <c r="AI89" s="34"/>
      <c r="AJ89" s="26" t="str">
        <f t="shared" si="18"/>
        <v>STOPA Maciej</v>
      </c>
      <c r="AK89" s="27" t="e">
        <f t="shared" si="23"/>
        <v>#REF!</v>
      </c>
      <c r="AL89" s="28">
        <f t="shared" si="19"/>
        <v>0</v>
      </c>
      <c r="AM89">
        <f t="shared" si="20"/>
        <v>168</v>
      </c>
      <c r="AN89" s="29">
        <f t="shared" si="21"/>
        <v>16</v>
      </c>
      <c r="AO89" s="1">
        <f t="shared" si="22"/>
        <v>0</v>
      </c>
    </row>
    <row r="90" spans="1:41" ht="15.9">
      <c r="A90" s="1" t="s">
        <v>155</v>
      </c>
      <c r="B90" s="1" t="s">
        <v>73</v>
      </c>
      <c r="C90" s="88" t="s">
        <v>43</v>
      </c>
      <c r="D90" s="86" t="e">
        <f>#REF!</f>
        <v>#REF!</v>
      </c>
      <c r="E90" s="31"/>
      <c r="F90" s="32"/>
      <c r="G90" s="32" t="s">
        <v>75</v>
      </c>
      <c r="H90" s="32" t="s">
        <v>75</v>
      </c>
      <c r="I90" s="32" t="s">
        <v>75</v>
      </c>
      <c r="J90" s="33" t="s">
        <v>66</v>
      </c>
      <c r="K90" s="33" t="s">
        <v>66</v>
      </c>
      <c r="L90" s="32" t="s">
        <v>75</v>
      </c>
      <c r="M90" s="32" t="s">
        <v>75</v>
      </c>
      <c r="N90" s="32"/>
      <c r="O90" s="89"/>
      <c r="P90" s="32">
        <v>8</v>
      </c>
      <c r="Q90" s="33" t="s">
        <v>113</v>
      </c>
      <c r="R90" s="33"/>
      <c r="S90" s="32">
        <v>8</v>
      </c>
      <c r="T90" s="32"/>
      <c r="U90" s="32"/>
      <c r="V90" s="32"/>
      <c r="W90" s="32" t="s">
        <v>153</v>
      </c>
      <c r="X90" s="33" t="s">
        <v>95</v>
      </c>
      <c r="Y90" s="33" t="s">
        <v>95</v>
      </c>
      <c r="Z90" s="32" t="s">
        <v>95</v>
      </c>
      <c r="AA90" s="32" t="s">
        <v>92</v>
      </c>
      <c r="AB90" s="32">
        <v>8</v>
      </c>
      <c r="AC90" s="32"/>
      <c r="AD90" s="32"/>
      <c r="AE90" s="33"/>
      <c r="AF90" s="33"/>
      <c r="AG90" s="32"/>
      <c r="AH90" s="32"/>
      <c r="AI90" s="34"/>
      <c r="AJ90" s="26" t="str">
        <f t="shared" si="18"/>
        <v>SUSZEK Bartosz</v>
      </c>
      <c r="AK90" s="27" t="e">
        <f t="shared" si="23"/>
        <v>#REF!</v>
      </c>
      <c r="AL90" s="28">
        <f t="shared" si="19"/>
        <v>24</v>
      </c>
      <c r="AM90">
        <f t="shared" si="20"/>
        <v>96</v>
      </c>
      <c r="AN90" s="29">
        <f t="shared" si="21"/>
        <v>64</v>
      </c>
      <c r="AO90" s="1">
        <f t="shared" si="22"/>
        <v>0</v>
      </c>
    </row>
    <row r="91" spans="1:41" ht="15.9">
      <c r="A91" s="1" t="s">
        <v>152</v>
      </c>
      <c r="B91" s="1" t="s">
        <v>64</v>
      </c>
      <c r="C91" s="90" t="s">
        <v>44</v>
      </c>
      <c r="D91" s="86" t="e">
        <f>#REF!</f>
        <v>#REF!</v>
      </c>
      <c r="E91" s="31"/>
      <c r="F91" s="32"/>
      <c r="G91" s="32"/>
      <c r="H91" s="32"/>
      <c r="I91" s="32" t="s">
        <v>61</v>
      </c>
      <c r="J91" s="33" t="s">
        <v>62</v>
      </c>
      <c r="K91" s="33" t="s">
        <v>62</v>
      </c>
      <c r="L91" s="32" t="s">
        <v>61</v>
      </c>
      <c r="M91" s="32"/>
      <c r="N91" s="32"/>
      <c r="O91" s="33"/>
      <c r="P91" s="32"/>
      <c r="Q91" s="33"/>
      <c r="R91" s="33"/>
      <c r="S91" s="32"/>
      <c r="T91" s="32"/>
      <c r="U91" s="32"/>
      <c r="V91" s="32"/>
      <c r="W91" s="32"/>
      <c r="X91" s="33"/>
      <c r="Y91" s="33"/>
      <c r="Z91" s="32"/>
      <c r="AA91" s="32"/>
      <c r="AB91" s="32"/>
      <c r="AC91" s="32"/>
      <c r="AD91" s="32"/>
      <c r="AE91" s="33"/>
      <c r="AF91" s="33"/>
      <c r="AG91" s="32"/>
      <c r="AH91" s="32"/>
      <c r="AI91" s="34"/>
      <c r="AJ91" s="26" t="str">
        <f t="shared" si="18"/>
        <v>SZCZEPAŃSKI Tomasz Łukasz</v>
      </c>
      <c r="AK91" s="27" t="e">
        <f t="shared" si="23"/>
        <v>#REF!</v>
      </c>
      <c r="AL91" s="28">
        <f t="shared" si="19"/>
        <v>0</v>
      </c>
      <c r="AM91">
        <f t="shared" si="20"/>
        <v>72</v>
      </c>
      <c r="AN91" s="29">
        <f t="shared" si="21"/>
        <v>0</v>
      </c>
      <c r="AO91" s="1">
        <f t="shared" si="22"/>
        <v>0</v>
      </c>
    </row>
    <row r="92" spans="1:41" ht="15.9">
      <c r="A92" s="1" t="s">
        <v>152</v>
      </c>
      <c r="B92" s="1" t="s">
        <v>64</v>
      </c>
      <c r="C92" s="30" t="s">
        <v>162</v>
      </c>
      <c r="D92" s="86" t="e">
        <f>#REF!</f>
        <v>#REF!</v>
      </c>
      <c r="E92" s="31"/>
      <c r="F92" s="32"/>
      <c r="G92" s="32"/>
      <c r="H92" s="32"/>
      <c r="I92" s="32"/>
      <c r="J92" s="33"/>
      <c r="K92" s="33"/>
      <c r="L92" s="32"/>
      <c r="M92" s="32"/>
      <c r="N92" s="32"/>
      <c r="O92" s="33"/>
      <c r="P92" s="32"/>
      <c r="Q92" s="33"/>
      <c r="R92" s="33"/>
      <c r="S92" s="32"/>
      <c r="T92" s="32"/>
      <c r="U92" s="32"/>
      <c r="V92" s="32"/>
      <c r="W92" s="32"/>
      <c r="X92" s="33"/>
      <c r="Y92" s="33"/>
      <c r="Z92" s="32"/>
      <c r="AA92" s="32"/>
      <c r="AB92" s="32"/>
      <c r="AC92" s="32"/>
      <c r="AD92" s="32"/>
      <c r="AE92" s="33"/>
      <c r="AF92" s="33"/>
      <c r="AG92" s="32"/>
      <c r="AH92" s="32"/>
      <c r="AI92" s="34"/>
      <c r="AJ92" s="26" t="str">
        <f t="shared" si="18"/>
        <v>SZNAJDER Wiktor</v>
      </c>
      <c r="AK92" s="27" t="e">
        <f t="shared" si="23"/>
        <v>#REF!</v>
      </c>
      <c r="AL92" s="28">
        <f t="shared" si="19"/>
        <v>0</v>
      </c>
      <c r="AM92">
        <f t="shared" si="20"/>
        <v>0</v>
      </c>
      <c r="AN92" s="29">
        <f t="shared" si="21"/>
        <v>0</v>
      </c>
      <c r="AO92" s="1">
        <f t="shared" si="22"/>
        <v>0</v>
      </c>
    </row>
    <row r="93" spans="1:41" ht="15.9">
      <c r="A93" s="1" t="s">
        <v>152</v>
      </c>
      <c r="B93" s="1" t="s">
        <v>73</v>
      </c>
      <c r="C93" s="90" t="s">
        <v>163</v>
      </c>
      <c r="D93" s="86" t="e">
        <f>#REF!</f>
        <v>#REF!</v>
      </c>
      <c r="E93" s="31" t="s">
        <v>66</v>
      </c>
      <c r="F93" s="32" t="s">
        <v>75</v>
      </c>
      <c r="G93" s="32"/>
      <c r="H93" s="32"/>
      <c r="I93" s="32"/>
      <c r="J93" s="33"/>
      <c r="K93" s="33"/>
      <c r="L93" s="32"/>
      <c r="M93" s="32"/>
      <c r="N93" s="32"/>
      <c r="O93" s="89"/>
      <c r="P93" s="32"/>
      <c r="Q93" s="33"/>
      <c r="R93" s="33"/>
      <c r="S93" s="32"/>
      <c r="T93" s="32"/>
      <c r="U93" s="32"/>
      <c r="V93" s="32"/>
      <c r="W93" s="32"/>
      <c r="X93" s="33"/>
      <c r="Y93" s="33"/>
      <c r="Z93" s="32"/>
      <c r="AA93" s="32"/>
      <c r="AB93" s="32"/>
      <c r="AC93" s="32"/>
      <c r="AD93" s="32"/>
      <c r="AE93" s="33"/>
      <c r="AF93" s="33"/>
      <c r="AG93" s="32"/>
      <c r="AH93" s="32"/>
      <c r="AI93" s="34"/>
      <c r="AJ93" s="26" t="str">
        <f t="shared" si="18"/>
        <v>SZYMAŃSKI Tomasz</v>
      </c>
      <c r="AK93" s="27" t="e">
        <f t="shared" si="23"/>
        <v>#REF!</v>
      </c>
      <c r="AL93" s="28">
        <f t="shared" si="19"/>
        <v>0</v>
      </c>
      <c r="AM93">
        <f t="shared" si="20"/>
        <v>0</v>
      </c>
      <c r="AN93" s="29">
        <f t="shared" si="21"/>
        <v>8</v>
      </c>
      <c r="AO93" s="1">
        <f t="shared" si="22"/>
        <v>0</v>
      </c>
    </row>
    <row r="94" spans="1:41" ht="15.9">
      <c r="A94" s="1" t="s">
        <v>152</v>
      </c>
      <c r="B94" s="1" t="s">
        <v>64</v>
      </c>
      <c r="C94" s="90" t="s">
        <v>45</v>
      </c>
      <c r="D94" s="86" t="e">
        <f>#REF!</f>
        <v>#REF!</v>
      </c>
      <c r="E94" s="31"/>
      <c r="F94" s="32"/>
      <c r="G94" s="32"/>
      <c r="H94" s="32"/>
      <c r="I94" s="32"/>
      <c r="J94" s="33"/>
      <c r="K94" s="33"/>
      <c r="L94" s="32"/>
      <c r="M94" s="32"/>
      <c r="N94" s="32"/>
      <c r="O94" s="33"/>
      <c r="P94" s="32"/>
      <c r="Q94" s="33"/>
      <c r="R94" s="33"/>
      <c r="S94" s="32"/>
      <c r="T94" s="32"/>
      <c r="U94" s="32"/>
      <c r="V94" s="32"/>
      <c r="W94" s="32"/>
      <c r="X94" s="33"/>
      <c r="Y94" s="33"/>
      <c r="Z94" s="32"/>
      <c r="AA94" s="32"/>
      <c r="AB94" s="32"/>
      <c r="AC94" s="32"/>
      <c r="AD94" s="32"/>
      <c r="AE94" s="33"/>
      <c r="AF94" s="33"/>
      <c r="AG94" s="32"/>
      <c r="AH94" s="32"/>
      <c r="AI94" s="34"/>
      <c r="AJ94" s="26" t="str">
        <f t="shared" si="18"/>
        <v>ŚLIWIŃSKI Krzysztof</v>
      </c>
      <c r="AK94" s="27" t="e">
        <f t="shared" si="23"/>
        <v>#REF!</v>
      </c>
      <c r="AL94" s="28">
        <f t="shared" si="19"/>
        <v>0</v>
      </c>
      <c r="AM94">
        <f t="shared" si="20"/>
        <v>0</v>
      </c>
      <c r="AN94" s="29">
        <f t="shared" si="21"/>
        <v>0</v>
      </c>
      <c r="AO94" s="1">
        <f t="shared" si="22"/>
        <v>0</v>
      </c>
    </row>
    <row r="95" spans="1:41" ht="15.9">
      <c r="A95" s="1" t="s">
        <v>152</v>
      </c>
      <c r="B95" s="1" t="s">
        <v>93</v>
      </c>
      <c r="C95" s="90" t="s">
        <v>46</v>
      </c>
      <c r="D95" s="86" t="e">
        <f>#REF!</f>
        <v>#REF!</v>
      </c>
      <c r="E95" s="31"/>
      <c r="F95" s="32"/>
      <c r="G95" s="32"/>
      <c r="H95" s="32"/>
      <c r="I95" s="32"/>
      <c r="J95" s="33"/>
      <c r="K95" s="33"/>
      <c r="L95" s="32"/>
      <c r="M95" s="32"/>
      <c r="N95" s="32"/>
      <c r="O95" s="89"/>
      <c r="P95" s="32"/>
      <c r="Q95" s="33"/>
      <c r="R95" s="33"/>
      <c r="S95" s="32"/>
      <c r="T95" s="32"/>
      <c r="U95" s="32"/>
      <c r="V95" s="32"/>
      <c r="W95" s="32"/>
      <c r="X95" s="33"/>
      <c r="Y95" s="33"/>
      <c r="Z95" s="32"/>
      <c r="AA95" s="32"/>
      <c r="AB95" s="32"/>
      <c r="AC95" s="32"/>
      <c r="AD95" s="32"/>
      <c r="AE95" s="33"/>
      <c r="AF95" s="33"/>
      <c r="AG95" s="32"/>
      <c r="AH95" s="32"/>
      <c r="AI95" s="34"/>
      <c r="AJ95" s="26" t="str">
        <f t="shared" si="18"/>
        <v>TOCHOR Krzysztof</v>
      </c>
      <c r="AK95" s="27" t="e">
        <f t="shared" si="23"/>
        <v>#REF!</v>
      </c>
      <c r="AL95" s="28">
        <f t="shared" si="19"/>
        <v>0</v>
      </c>
      <c r="AM95">
        <f t="shared" si="20"/>
        <v>0</v>
      </c>
      <c r="AN95" s="29">
        <f t="shared" si="21"/>
        <v>0</v>
      </c>
      <c r="AO95" s="1">
        <f t="shared" si="22"/>
        <v>0</v>
      </c>
    </row>
    <row r="96" spans="1:41" ht="15.9">
      <c r="A96" s="1" t="s">
        <v>152</v>
      </c>
      <c r="B96" s="1" t="s">
        <v>64</v>
      </c>
      <c r="C96" s="90" t="s">
        <v>47</v>
      </c>
      <c r="D96" s="86" t="e">
        <f>#REF!</f>
        <v>#REF!</v>
      </c>
      <c r="E96" s="31"/>
      <c r="F96" s="32"/>
      <c r="G96" s="32" t="s">
        <v>92</v>
      </c>
      <c r="H96" s="32" t="s">
        <v>95</v>
      </c>
      <c r="I96" s="32" t="s">
        <v>95</v>
      </c>
      <c r="J96" s="33" t="s">
        <v>95</v>
      </c>
      <c r="K96" s="33" t="s">
        <v>95</v>
      </c>
      <c r="L96" s="32" t="s">
        <v>95</v>
      </c>
      <c r="M96" s="32" t="s">
        <v>92</v>
      </c>
      <c r="N96" s="32"/>
      <c r="O96" s="33"/>
      <c r="P96" s="32"/>
      <c r="Q96" s="33"/>
      <c r="R96" s="33"/>
      <c r="S96" s="32"/>
      <c r="T96" s="32"/>
      <c r="U96" s="32"/>
      <c r="V96" s="32"/>
      <c r="W96" s="32"/>
      <c r="X96" s="33"/>
      <c r="Y96" s="33"/>
      <c r="Z96" s="32"/>
      <c r="AA96" s="32"/>
      <c r="AB96" s="32"/>
      <c r="AC96" s="32"/>
      <c r="AD96" s="32"/>
      <c r="AE96" s="33"/>
      <c r="AF96" s="33"/>
      <c r="AG96" s="32"/>
      <c r="AH96" s="32"/>
      <c r="AI96" s="34"/>
      <c r="AJ96" s="26" t="str">
        <f t="shared" si="18"/>
        <v>WITCZAK Milena</v>
      </c>
      <c r="AK96" s="27" t="e">
        <f t="shared" si="23"/>
        <v>#REF!</v>
      </c>
      <c r="AL96" s="28">
        <f t="shared" si="19"/>
        <v>0</v>
      </c>
      <c r="AM96">
        <f t="shared" si="20"/>
        <v>144</v>
      </c>
      <c r="AN96" s="29">
        <f t="shared" si="21"/>
        <v>0</v>
      </c>
      <c r="AO96" s="1">
        <f t="shared" si="22"/>
        <v>0</v>
      </c>
    </row>
    <row r="97" spans="1:42" ht="15.9">
      <c r="A97" s="1" t="s">
        <v>152</v>
      </c>
      <c r="B97" s="1" t="s">
        <v>64</v>
      </c>
      <c r="C97" s="90" t="s">
        <v>48</v>
      </c>
      <c r="D97" s="86" t="e">
        <f>#REF!</f>
        <v>#REF!</v>
      </c>
      <c r="E97" s="31"/>
      <c r="F97" s="32"/>
      <c r="G97" s="32"/>
      <c r="H97" s="32"/>
      <c r="I97" s="32"/>
      <c r="J97" s="33"/>
      <c r="K97" s="33"/>
      <c r="L97" s="32"/>
      <c r="M97" s="32"/>
      <c r="N97" s="32"/>
      <c r="O97" s="33"/>
      <c r="P97" s="32"/>
      <c r="Q97" s="33"/>
      <c r="R97" s="33"/>
      <c r="S97" s="32"/>
      <c r="T97" s="32"/>
      <c r="U97" s="32"/>
      <c r="V97" s="32"/>
      <c r="W97" s="32" t="s">
        <v>61</v>
      </c>
      <c r="X97" s="33" t="s">
        <v>62</v>
      </c>
      <c r="Y97" s="33" t="s">
        <v>62</v>
      </c>
      <c r="Z97" s="32" t="s">
        <v>61</v>
      </c>
      <c r="AA97" s="32"/>
      <c r="AB97" s="32"/>
      <c r="AC97" s="32"/>
      <c r="AD97" s="32"/>
      <c r="AE97" s="33"/>
      <c r="AF97" s="33"/>
      <c r="AG97" s="32"/>
      <c r="AH97" s="32"/>
      <c r="AI97" s="34"/>
      <c r="AJ97" s="26" t="str">
        <f t="shared" si="18"/>
        <v>WOŹNIAK Szymon</v>
      </c>
      <c r="AK97" s="27" t="e">
        <f t="shared" si="23"/>
        <v>#REF!</v>
      </c>
      <c r="AL97" s="28">
        <f t="shared" si="19"/>
        <v>0</v>
      </c>
      <c r="AM97">
        <f t="shared" si="20"/>
        <v>72</v>
      </c>
      <c r="AN97" s="29">
        <f t="shared" si="21"/>
        <v>0</v>
      </c>
      <c r="AO97" s="1">
        <f t="shared" si="22"/>
        <v>0</v>
      </c>
    </row>
    <row r="98" spans="1:42" ht="15.9">
      <c r="A98" s="1" t="s">
        <v>58</v>
      </c>
      <c r="B98" s="1" t="s">
        <v>73</v>
      </c>
      <c r="C98" s="88" t="s">
        <v>49</v>
      </c>
      <c r="D98" s="86" t="e">
        <f>#REF!</f>
        <v>#REF!</v>
      </c>
      <c r="E98" s="31"/>
      <c r="F98" s="32" t="s">
        <v>153</v>
      </c>
      <c r="G98" s="32" t="s">
        <v>154</v>
      </c>
      <c r="H98" s="32" t="s">
        <v>154</v>
      </c>
      <c r="I98" s="32" t="s">
        <v>153</v>
      </c>
      <c r="J98" s="33"/>
      <c r="K98" s="33"/>
      <c r="L98" s="32"/>
      <c r="M98" s="32"/>
      <c r="N98" s="32"/>
      <c r="O98" s="89"/>
      <c r="P98" s="32"/>
      <c r="Q98" s="33"/>
      <c r="R98" s="33"/>
      <c r="S98" s="32"/>
      <c r="T98" s="32"/>
      <c r="U98" s="32"/>
      <c r="V98" s="32"/>
      <c r="W98" s="32"/>
      <c r="X98" s="33"/>
      <c r="Y98" s="33"/>
      <c r="Z98" s="32"/>
      <c r="AA98" s="32"/>
      <c r="AB98" s="32"/>
      <c r="AC98" s="32"/>
      <c r="AD98" s="32"/>
      <c r="AE98" s="33"/>
      <c r="AF98" s="33"/>
      <c r="AG98" s="32"/>
      <c r="AH98" s="32" t="s">
        <v>92</v>
      </c>
      <c r="AI98" s="34"/>
      <c r="AJ98" s="26" t="str">
        <f t="shared" si="18"/>
        <v>ZAWOLIK Adam</v>
      </c>
      <c r="AK98" s="27" t="e">
        <f t="shared" si="23"/>
        <v>#REF!</v>
      </c>
      <c r="AL98" s="28">
        <f t="shared" si="19"/>
        <v>0</v>
      </c>
      <c r="AM98">
        <f t="shared" si="20"/>
        <v>84</v>
      </c>
      <c r="AN98" s="29">
        <f t="shared" si="21"/>
        <v>0</v>
      </c>
      <c r="AO98" s="1">
        <f t="shared" si="22"/>
        <v>0</v>
      </c>
    </row>
    <row r="99" spans="1:42" ht="15.9">
      <c r="A99" s="1" t="s">
        <v>155</v>
      </c>
      <c r="B99" s="1" t="s">
        <v>73</v>
      </c>
      <c r="C99" s="88" t="s">
        <v>50</v>
      </c>
      <c r="D99" s="86" t="e">
        <f>#REF!</f>
        <v>#REF!</v>
      </c>
      <c r="E99" s="31"/>
      <c r="F99" s="32"/>
      <c r="G99" s="32"/>
      <c r="H99" s="32"/>
      <c r="I99" s="32"/>
      <c r="J99" s="33"/>
      <c r="K99" s="33"/>
      <c r="L99" s="32"/>
      <c r="M99" s="32"/>
      <c r="N99" s="32"/>
      <c r="O99" s="89"/>
      <c r="P99" s="32" t="s">
        <v>92</v>
      </c>
      <c r="Q99" s="33" t="s">
        <v>95</v>
      </c>
      <c r="R99" s="33" t="s">
        <v>95</v>
      </c>
      <c r="S99" s="32" t="s">
        <v>95</v>
      </c>
      <c r="T99" s="32" t="s">
        <v>92</v>
      </c>
      <c r="U99" s="32"/>
      <c r="V99" s="32"/>
      <c r="W99" s="32"/>
      <c r="X99" s="33"/>
      <c r="Y99" s="33"/>
      <c r="Z99" s="32"/>
      <c r="AA99" s="32"/>
      <c r="AB99" s="32"/>
      <c r="AC99" s="32"/>
      <c r="AD99" s="32"/>
      <c r="AE99" s="33"/>
      <c r="AF99" s="33"/>
      <c r="AG99" s="32"/>
      <c r="AH99" s="32"/>
      <c r="AI99" s="34"/>
      <c r="AJ99" s="26" t="str">
        <f t="shared" si="18"/>
        <v>ZIEMKOWSKI Witold</v>
      </c>
      <c r="AK99" s="27" t="e">
        <f t="shared" si="23"/>
        <v>#REF!</v>
      </c>
      <c r="AL99" s="28">
        <f t="shared" si="19"/>
        <v>0</v>
      </c>
      <c r="AM99">
        <f t="shared" si="20"/>
        <v>96</v>
      </c>
      <c r="AN99" s="29">
        <f t="shared" si="21"/>
        <v>0</v>
      </c>
      <c r="AO99" s="1">
        <f t="shared" si="22"/>
        <v>0</v>
      </c>
    </row>
    <row r="100" spans="1:42" ht="15.9">
      <c r="A100" s="1" t="s">
        <v>155</v>
      </c>
      <c r="B100" s="1" t="s">
        <v>59</v>
      </c>
      <c r="C100" s="93" t="s">
        <v>51</v>
      </c>
      <c r="D100" s="86" t="e">
        <f>#REF!</f>
        <v>#REF!</v>
      </c>
      <c r="E100" s="50" t="s">
        <v>95</v>
      </c>
      <c r="F100" s="51" t="s">
        <v>92</v>
      </c>
      <c r="G100" s="51"/>
      <c r="H100" s="51"/>
      <c r="I100" s="51" t="s">
        <v>75</v>
      </c>
      <c r="J100" s="52" t="s">
        <v>66</v>
      </c>
      <c r="K100" s="52" t="s">
        <v>66</v>
      </c>
      <c r="L100" s="51" t="s">
        <v>75</v>
      </c>
      <c r="M100" s="51" t="s">
        <v>75</v>
      </c>
      <c r="N100" s="51" t="s">
        <v>75</v>
      </c>
      <c r="O100" s="94" t="s">
        <v>75</v>
      </c>
      <c r="P100" s="51" t="s">
        <v>75</v>
      </c>
      <c r="Q100" s="52" t="s">
        <v>66</v>
      </c>
      <c r="R100" s="52" t="s">
        <v>66</v>
      </c>
      <c r="S100" s="51" t="s">
        <v>75</v>
      </c>
      <c r="T100" s="51" t="s">
        <v>75</v>
      </c>
      <c r="U100" s="51" t="s">
        <v>75</v>
      </c>
      <c r="V100" s="51" t="s">
        <v>75</v>
      </c>
      <c r="W100" s="51"/>
      <c r="X100" s="52"/>
      <c r="Y100" s="52"/>
      <c r="Z100" s="51"/>
      <c r="AA100" s="51"/>
      <c r="AB100" s="51" t="s">
        <v>75</v>
      </c>
      <c r="AC100" s="51" t="s">
        <v>75</v>
      </c>
      <c r="AD100" s="51" t="s">
        <v>75</v>
      </c>
      <c r="AE100" s="52" t="s">
        <v>66</v>
      </c>
      <c r="AF100" s="52" t="s">
        <v>66</v>
      </c>
      <c r="AG100" s="51" t="s">
        <v>75</v>
      </c>
      <c r="AH100" s="51" t="s">
        <v>75</v>
      </c>
      <c r="AI100" s="53"/>
      <c r="AJ100" s="26" t="str">
        <f t="shared" si="18"/>
        <v>ZWOLIŃSKI Krzysztof</v>
      </c>
      <c r="AK100" s="27" t="e">
        <f t="shared" si="23"/>
        <v>#REF!</v>
      </c>
      <c r="AL100" s="28">
        <f t="shared" si="19"/>
        <v>0</v>
      </c>
      <c r="AM100">
        <f t="shared" si="20"/>
        <v>36</v>
      </c>
      <c r="AN100" s="29">
        <f t="shared" si="21"/>
        <v>120</v>
      </c>
      <c r="AO100" s="1">
        <f t="shared" si="22"/>
        <v>0</v>
      </c>
    </row>
    <row r="101" spans="1:42" ht="15.9">
      <c r="C101" s="95"/>
      <c r="D101" s="57"/>
      <c r="E101" s="96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27"/>
      <c r="AJ101" s="60"/>
      <c r="AK101" s="27"/>
      <c r="AL101" s="28"/>
      <c r="AM101"/>
      <c r="AN101" s="29"/>
    </row>
    <row r="102" spans="1:42" ht="15.9">
      <c r="B102" s="61"/>
      <c r="C102" s="62" t="s">
        <v>120</v>
      </c>
      <c r="D102" s="63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/>
      <c r="AK102" s="27"/>
      <c r="AL102" s="28"/>
      <c r="AM102"/>
      <c r="AN102" s="29"/>
    </row>
    <row r="103" spans="1:42" ht="15.9">
      <c r="B103" s="61"/>
      <c r="C103" s="65" t="s">
        <v>121</v>
      </c>
      <c r="D103" s="66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/>
      <c r="AK103" s="27"/>
      <c r="AL103" s="28"/>
      <c r="AM103"/>
      <c r="AN103" s="29"/>
    </row>
    <row r="104" spans="1:42">
      <c r="C104" s="67" t="s">
        <v>122</v>
      </c>
      <c r="D104" s="68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/>
      <c r="AK104" s="27"/>
      <c r="AL104" s="28"/>
      <c r="AM104"/>
      <c r="AN104" s="29"/>
    </row>
    <row r="105" spans="1:42">
      <c r="C105" s="69" t="s">
        <v>123</v>
      </c>
      <c r="D105" s="70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/>
      <c r="AK105" s="27"/>
      <c r="AL105" s="28"/>
      <c r="AM105"/>
      <c r="AN105" s="29"/>
    </row>
    <row r="106" spans="1:42" ht="15.9">
      <c r="C106" s="56"/>
      <c r="D106" s="57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97"/>
      <c r="AH106" s="98"/>
      <c r="AI106" s="27"/>
      <c r="AJ106"/>
      <c r="AK106" s="27"/>
      <c r="AL106" s="28"/>
      <c r="AM106"/>
      <c r="AN106" s="29"/>
    </row>
    <row r="107" spans="1:42" s="73" customFormat="1">
      <c r="C107" s="660" t="s">
        <v>122</v>
      </c>
      <c r="D107" s="660"/>
      <c r="E107" s="99"/>
      <c r="F107" s="661"/>
      <c r="G107" s="661"/>
      <c r="H107" s="661"/>
      <c r="I107" s="100"/>
      <c r="J107" s="661"/>
      <c r="K107" s="661"/>
      <c r="L107" s="100"/>
      <c r="M107" s="661"/>
      <c r="N107" s="661"/>
      <c r="O107" s="661"/>
      <c r="P107" s="100"/>
      <c r="Q107" s="661"/>
      <c r="R107" s="661"/>
      <c r="S107" s="100"/>
      <c r="T107" s="661"/>
      <c r="U107" s="661"/>
      <c r="V107" s="661"/>
      <c r="W107" s="100"/>
      <c r="X107" s="661"/>
      <c r="Y107" s="661"/>
      <c r="Z107" s="100"/>
      <c r="AA107" s="661"/>
      <c r="AB107" s="661"/>
      <c r="AC107" s="661"/>
      <c r="AD107" s="100"/>
      <c r="AE107" s="658"/>
      <c r="AF107" s="658"/>
      <c r="AG107" s="101"/>
      <c r="AH107" s="658"/>
      <c r="AI107" s="658"/>
      <c r="AJ107" s="80"/>
      <c r="AK107" s="27"/>
      <c r="AL107" s="28"/>
      <c r="AM107"/>
      <c r="AN107" s="29"/>
      <c r="AO107" s="1"/>
      <c r="AP107" s="1"/>
    </row>
    <row r="108" spans="1:42" s="73" customFormat="1">
      <c r="C108" s="660"/>
      <c r="D108" s="660"/>
      <c r="E108" s="102"/>
      <c r="F108" s="653"/>
      <c r="G108" s="653"/>
      <c r="H108" s="653"/>
      <c r="I108" s="103"/>
      <c r="J108" s="653"/>
      <c r="K108" s="653"/>
      <c r="L108" s="103"/>
      <c r="M108" s="653"/>
      <c r="N108" s="653"/>
      <c r="O108" s="653"/>
      <c r="P108" s="103"/>
      <c r="Q108" s="653"/>
      <c r="R108" s="653"/>
      <c r="S108" s="103"/>
      <c r="T108" s="653"/>
      <c r="U108" s="653"/>
      <c r="V108" s="653"/>
      <c r="W108" s="103"/>
      <c r="X108" s="653"/>
      <c r="Y108" s="653"/>
      <c r="Z108" s="103"/>
      <c r="AA108" s="653"/>
      <c r="AB108" s="653"/>
      <c r="AC108" s="653"/>
      <c r="AD108" s="103"/>
      <c r="AE108" s="648"/>
      <c r="AF108" s="648"/>
      <c r="AG108" s="104"/>
      <c r="AH108" s="648"/>
      <c r="AI108" s="648"/>
      <c r="AJ108" s="80"/>
      <c r="AK108" s="27"/>
      <c r="AL108" s="28"/>
      <c r="AM108"/>
      <c r="AN108" s="29"/>
      <c r="AO108" s="1"/>
      <c r="AP108" s="1"/>
    </row>
    <row r="109" spans="1:42" s="73" customFormat="1">
      <c r="C109" s="660"/>
      <c r="D109" s="660"/>
      <c r="E109" s="102"/>
      <c r="F109" s="653"/>
      <c r="G109" s="653"/>
      <c r="H109" s="653"/>
      <c r="I109" s="103"/>
      <c r="J109" s="653"/>
      <c r="K109" s="653"/>
      <c r="L109" s="103"/>
      <c r="M109" s="653"/>
      <c r="N109" s="653"/>
      <c r="O109" s="653"/>
      <c r="P109" s="103"/>
      <c r="Q109" s="653"/>
      <c r="R109" s="653"/>
      <c r="S109" s="103"/>
      <c r="T109" s="653"/>
      <c r="U109" s="653"/>
      <c r="V109" s="653"/>
      <c r="W109" s="103"/>
      <c r="X109" s="653"/>
      <c r="Y109" s="653"/>
      <c r="Z109" s="103"/>
      <c r="AA109" s="653"/>
      <c r="AB109" s="653"/>
      <c r="AC109" s="653"/>
      <c r="AD109" s="103"/>
      <c r="AE109" s="648"/>
      <c r="AF109" s="648"/>
      <c r="AG109" s="105"/>
      <c r="AH109" s="648"/>
      <c r="AI109" s="648"/>
      <c r="AJ109" s="80"/>
      <c r="AK109" s="27"/>
      <c r="AL109" s="28"/>
      <c r="AM109"/>
      <c r="AN109" s="29"/>
      <c r="AO109" s="1"/>
      <c r="AP109" s="1"/>
    </row>
    <row r="110" spans="1:42" s="73" customFormat="1">
      <c r="C110" s="660"/>
      <c r="D110" s="660"/>
      <c r="E110" s="106"/>
      <c r="F110" s="649"/>
      <c r="G110" s="649"/>
      <c r="H110" s="649"/>
      <c r="I110" s="107"/>
      <c r="J110" s="649"/>
      <c r="K110" s="649"/>
      <c r="L110" s="107"/>
      <c r="M110" s="649"/>
      <c r="N110" s="649"/>
      <c r="O110" s="649"/>
      <c r="P110" s="107"/>
      <c r="Q110" s="649"/>
      <c r="R110" s="649"/>
      <c r="S110" s="107"/>
      <c r="T110" s="649"/>
      <c r="U110" s="649"/>
      <c r="V110" s="649"/>
      <c r="W110" s="107"/>
      <c r="X110" s="649"/>
      <c r="Y110" s="649"/>
      <c r="Z110" s="107"/>
      <c r="AA110" s="649"/>
      <c r="AB110" s="649"/>
      <c r="AC110" s="649"/>
      <c r="AD110" s="107"/>
      <c r="AE110" s="651"/>
      <c r="AF110" s="651"/>
      <c r="AG110" s="108"/>
      <c r="AH110" s="651"/>
      <c r="AI110" s="651"/>
      <c r="AJ110" s="80"/>
      <c r="AK110" s="27"/>
      <c r="AL110" s="28"/>
      <c r="AM110"/>
      <c r="AN110" s="29"/>
      <c r="AO110" s="1"/>
      <c r="AP110" s="1"/>
    </row>
    <row r="111" spans="1:42" s="73" customFormat="1">
      <c r="C111" s="77"/>
      <c r="D111" s="77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109"/>
      <c r="AH111" s="110"/>
      <c r="AI111" s="79"/>
      <c r="AJ111" s="80"/>
      <c r="AK111" s="27"/>
      <c r="AL111" s="28"/>
      <c r="AM111"/>
      <c r="AN111" s="29"/>
      <c r="AO111" s="1"/>
      <c r="AP111" s="1"/>
    </row>
    <row r="112" spans="1:42" s="73" customFormat="1" ht="11.25" customHeight="1">
      <c r="C112" s="655" t="s">
        <v>123</v>
      </c>
      <c r="D112" s="655"/>
      <c r="E112" s="99"/>
      <c r="F112" s="656"/>
      <c r="G112" s="656"/>
      <c r="H112" s="656"/>
      <c r="I112" s="100"/>
      <c r="J112" s="657"/>
      <c r="K112" s="657"/>
      <c r="L112" s="100"/>
      <c r="M112" s="656"/>
      <c r="N112" s="656"/>
      <c r="O112" s="656"/>
      <c r="P112" s="100"/>
      <c r="Q112" s="657"/>
      <c r="R112" s="657"/>
      <c r="S112" s="100"/>
      <c r="T112" s="656"/>
      <c r="U112" s="656"/>
      <c r="V112" s="656"/>
      <c r="W112" s="100"/>
      <c r="X112" s="656"/>
      <c r="Y112" s="656"/>
      <c r="Z112" s="100"/>
      <c r="AA112" s="656"/>
      <c r="AB112" s="656"/>
      <c r="AC112" s="656"/>
      <c r="AD112" s="100"/>
      <c r="AE112" s="652"/>
      <c r="AF112" s="652"/>
      <c r="AG112" s="113"/>
      <c r="AH112" s="652"/>
      <c r="AI112" s="652"/>
      <c r="AJ112" s="80"/>
      <c r="AK112" s="27"/>
      <c r="AL112" s="28"/>
      <c r="AM112"/>
      <c r="AN112" s="29"/>
      <c r="AO112" s="1"/>
      <c r="AP112" s="1"/>
    </row>
    <row r="113" spans="3:42" s="73" customFormat="1" ht="11.25" customHeight="1">
      <c r="C113" s="655"/>
      <c r="D113" s="655"/>
      <c r="E113" s="102"/>
      <c r="F113" s="653"/>
      <c r="G113" s="653"/>
      <c r="H113" s="653"/>
      <c r="I113" s="103"/>
      <c r="J113" s="654"/>
      <c r="K113" s="654"/>
      <c r="L113" s="103"/>
      <c r="M113" s="653"/>
      <c r="N113" s="653"/>
      <c r="O113" s="653"/>
      <c r="P113" s="103"/>
      <c r="Q113" s="654"/>
      <c r="R113" s="654"/>
      <c r="S113" s="103"/>
      <c r="T113" s="653"/>
      <c r="U113" s="653"/>
      <c r="V113" s="653"/>
      <c r="W113" s="103"/>
      <c r="X113" s="653"/>
      <c r="Y113" s="653"/>
      <c r="Z113" s="103"/>
      <c r="AA113" s="653"/>
      <c r="AB113" s="653"/>
      <c r="AC113" s="653"/>
      <c r="AD113" s="103"/>
      <c r="AE113" s="648"/>
      <c r="AF113" s="648"/>
      <c r="AG113" s="104"/>
      <c r="AH113" s="648"/>
      <c r="AI113" s="648"/>
      <c r="AJ113" s="80"/>
      <c r="AK113" s="27"/>
      <c r="AL113" s="28"/>
      <c r="AM113"/>
      <c r="AN113" s="29"/>
      <c r="AO113" s="1"/>
      <c r="AP113" s="1"/>
    </row>
    <row r="114" spans="3:42" s="73" customFormat="1" ht="11.25" customHeight="1">
      <c r="C114" s="655"/>
      <c r="D114" s="655"/>
      <c r="E114" s="102"/>
      <c r="F114" s="653"/>
      <c r="G114" s="653"/>
      <c r="H114" s="653"/>
      <c r="I114" s="103"/>
      <c r="J114" s="654"/>
      <c r="K114" s="654"/>
      <c r="L114" s="103"/>
      <c r="M114" s="653"/>
      <c r="N114" s="653"/>
      <c r="O114" s="653"/>
      <c r="P114" s="103"/>
      <c r="Q114" s="654"/>
      <c r="R114" s="654"/>
      <c r="S114" s="103"/>
      <c r="T114" s="653"/>
      <c r="U114" s="653"/>
      <c r="V114" s="653"/>
      <c r="W114" s="103"/>
      <c r="X114" s="653"/>
      <c r="Y114" s="653"/>
      <c r="Z114" s="103"/>
      <c r="AA114" s="653"/>
      <c r="AB114" s="653"/>
      <c r="AC114" s="653"/>
      <c r="AD114" s="103"/>
      <c r="AE114" s="648"/>
      <c r="AF114" s="648"/>
      <c r="AG114" s="104"/>
      <c r="AH114" s="648"/>
      <c r="AI114" s="648"/>
      <c r="AJ114" s="80"/>
      <c r="AK114" s="27"/>
      <c r="AL114" s="28"/>
      <c r="AM114"/>
      <c r="AN114" s="29"/>
      <c r="AO114" s="1"/>
      <c r="AP114" s="1"/>
    </row>
    <row r="115" spans="3:42" s="73" customFormat="1" ht="11.25" customHeight="1">
      <c r="C115" s="655"/>
      <c r="D115" s="655"/>
      <c r="E115" s="106"/>
      <c r="F115" s="649"/>
      <c r="G115" s="649"/>
      <c r="H115" s="649"/>
      <c r="I115" s="107"/>
      <c r="J115" s="650"/>
      <c r="K115" s="650"/>
      <c r="L115" s="107"/>
      <c r="M115" s="649"/>
      <c r="N115" s="649"/>
      <c r="O115" s="649"/>
      <c r="P115" s="107"/>
      <c r="Q115" s="650"/>
      <c r="R115" s="650"/>
      <c r="S115" s="107"/>
      <c r="T115" s="649"/>
      <c r="U115" s="649"/>
      <c r="V115" s="649"/>
      <c r="W115" s="107"/>
      <c r="X115" s="649"/>
      <c r="Y115" s="649"/>
      <c r="Z115" s="107"/>
      <c r="AA115" s="649"/>
      <c r="AB115" s="649"/>
      <c r="AC115" s="649"/>
      <c r="AD115" s="107"/>
      <c r="AE115" s="651"/>
      <c r="AF115" s="651"/>
      <c r="AG115" s="108"/>
      <c r="AH115" s="651"/>
      <c r="AI115" s="651"/>
      <c r="AJ115" s="80"/>
      <c r="AK115" s="27"/>
      <c r="AL115" s="28"/>
      <c r="AM115"/>
      <c r="AN115" s="29"/>
      <c r="AO115" s="1"/>
      <c r="AP115" s="1"/>
    </row>
    <row r="116" spans="3:42" ht="15.9">
      <c r="C116" s="61"/>
      <c r="D116" s="81"/>
      <c r="AK116" s="27"/>
      <c r="AL116" s="28"/>
      <c r="AM116"/>
      <c r="AN116" s="29"/>
    </row>
  </sheetData>
  <autoFilter ref="B47:AK100" xr:uid="{00000000-0009-0000-0000-000001000000}"/>
  <mergeCells count="157">
    <mergeCell ref="C36:D39"/>
    <mergeCell ref="F36:H36"/>
    <mergeCell ref="I36:I39"/>
    <mergeCell ref="J36:K36"/>
    <mergeCell ref="L36:L39"/>
    <mergeCell ref="M36:O36"/>
    <mergeCell ref="P36:P39"/>
    <mergeCell ref="Q36:R36"/>
    <mergeCell ref="S36:S39"/>
    <mergeCell ref="F37:H37"/>
    <mergeCell ref="J37:K37"/>
    <mergeCell ref="M37:O37"/>
    <mergeCell ref="Q37:R37"/>
    <mergeCell ref="F38:H38"/>
    <mergeCell ref="J38:K38"/>
    <mergeCell ref="M38:O38"/>
    <mergeCell ref="Q38:R38"/>
    <mergeCell ref="F39:H39"/>
    <mergeCell ref="J39:K39"/>
    <mergeCell ref="M39:O39"/>
    <mergeCell ref="Q39:R39"/>
    <mergeCell ref="T36:V36"/>
    <mergeCell ref="W36:W39"/>
    <mergeCell ref="X36:Y36"/>
    <mergeCell ref="Z36:Z39"/>
    <mergeCell ref="AA36:AC36"/>
    <mergeCell ref="AD36:AD39"/>
    <mergeCell ref="AE36:AF36"/>
    <mergeCell ref="AG36:AG39"/>
    <mergeCell ref="AH36:AK36"/>
    <mergeCell ref="T37:V37"/>
    <mergeCell ref="X37:Y37"/>
    <mergeCell ref="AA37:AC37"/>
    <mergeCell ref="AE37:AF37"/>
    <mergeCell ref="AH37:AK37"/>
    <mergeCell ref="T38:V38"/>
    <mergeCell ref="X38:Y38"/>
    <mergeCell ref="AA38:AC38"/>
    <mergeCell ref="AE38:AF38"/>
    <mergeCell ref="AH38:AK38"/>
    <mergeCell ref="T39:V39"/>
    <mergeCell ref="X39:Y39"/>
    <mergeCell ref="AA39:AC39"/>
    <mergeCell ref="AE39:AF39"/>
    <mergeCell ref="AH39:AK39"/>
    <mergeCell ref="C41:D44"/>
    <mergeCell ref="E41:G41"/>
    <mergeCell ref="H41:K41"/>
    <mergeCell ref="L41:N41"/>
    <mergeCell ref="O41:R41"/>
    <mergeCell ref="S41:U41"/>
    <mergeCell ref="V41:Y41"/>
    <mergeCell ref="Z41:AB41"/>
    <mergeCell ref="AC41:AF41"/>
    <mergeCell ref="E43:G43"/>
    <mergeCell ref="H43:K43"/>
    <mergeCell ref="L43:N43"/>
    <mergeCell ref="O43:R43"/>
    <mergeCell ref="S43:U43"/>
    <mergeCell ref="V43:Y43"/>
    <mergeCell ref="Z43:AB43"/>
    <mergeCell ref="AC43:AF43"/>
    <mergeCell ref="AG41:AI41"/>
    <mergeCell ref="E42:G42"/>
    <mergeCell ref="H42:K42"/>
    <mergeCell ref="L42:N42"/>
    <mergeCell ref="O42:R42"/>
    <mergeCell ref="S42:U42"/>
    <mergeCell ref="V42:Y42"/>
    <mergeCell ref="Z42:AB42"/>
    <mergeCell ref="AC42:AF42"/>
    <mergeCell ref="AG42:AI42"/>
    <mergeCell ref="AG43:AI43"/>
    <mergeCell ref="E44:G44"/>
    <mergeCell ref="H44:K44"/>
    <mergeCell ref="L44:N44"/>
    <mergeCell ref="O44:R44"/>
    <mergeCell ref="S44:U44"/>
    <mergeCell ref="V44:Y44"/>
    <mergeCell ref="Z44:AB44"/>
    <mergeCell ref="AC44:AF44"/>
    <mergeCell ref="AG44:AI44"/>
    <mergeCell ref="N45:O45"/>
    <mergeCell ref="C107:D110"/>
    <mergeCell ref="F107:H107"/>
    <mergeCell ref="J107:K107"/>
    <mergeCell ref="M107:O107"/>
    <mergeCell ref="Q107:R107"/>
    <mergeCell ref="T107:V107"/>
    <mergeCell ref="X107:Y107"/>
    <mergeCell ref="AA107:AC107"/>
    <mergeCell ref="F109:H109"/>
    <mergeCell ref="J109:K109"/>
    <mergeCell ref="M109:O109"/>
    <mergeCell ref="Q109:R109"/>
    <mergeCell ref="T109:V109"/>
    <mergeCell ref="X109:Y109"/>
    <mergeCell ref="AA109:AC109"/>
    <mergeCell ref="AE107:AF107"/>
    <mergeCell ref="AH107:AI107"/>
    <mergeCell ref="F108:H108"/>
    <mergeCell ref="J108:K108"/>
    <mergeCell ref="M108:O108"/>
    <mergeCell ref="Q108:R108"/>
    <mergeCell ref="T108:V108"/>
    <mergeCell ref="X108:Y108"/>
    <mergeCell ref="AA108:AC108"/>
    <mergeCell ref="AE108:AF108"/>
    <mergeCell ref="AH108:AI108"/>
    <mergeCell ref="AE109:AF109"/>
    <mergeCell ref="AH109:AI109"/>
    <mergeCell ref="F110:H110"/>
    <mergeCell ref="J110:K110"/>
    <mergeCell ref="M110:O110"/>
    <mergeCell ref="Q110:R110"/>
    <mergeCell ref="T110:V110"/>
    <mergeCell ref="X110:Y110"/>
    <mergeCell ref="AA110:AC110"/>
    <mergeCell ref="AE110:AF110"/>
    <mergeCell ref="AH110:AI110"/>
    <mergeCell ref="C112:D115"/>
    <mergeCell ref="F112:H112"/>
    <mergeCell ref="J112:K112"/>
    <mergeCell ref="M112:O112"/>
    <mergeCell ref="Q112:R112"/>
    <mergeCell ref="T112:V112"/>
    <mergeCell ref="X112:Y112"/>
    <mergeCell ref="AA112:AC112"/>
    <mergeCell ref="AE112:AF112"/>
    <mergeCell ref="F114:H114"/>
    <mergeCell ref="J114:K114"/>
    <mergeCell ref="M114:O114"/>
    <mergeCell ref="Q114:R114"/>
    <mergeCell ref="T114:V114"/>
    <mergeCell ref="X114:Y114"/>
    <mergeCell ref="AA114:AC114"/>
    <mergeCell ref="AE114:AF114"/>
    <mergeCell ref="AH112:AI112"/>
    <mergeCell ref="F113:H113"/>
    <mergeCell ref="J113:K113"/>
    <mergeCell ref="M113:O113"/>
    <mergeCell ref="Q113:R113"/>
    <mergeCell ref="T113:V113"/>
    <mergeCell ref="X113:Y113"/>
    <mergeCell ref="AA113:AC113"/>
    <mergeCell ref="AE113:AF113"/>
    <mergeCell ref="AH113:AI113"/>
    <mergeCell ref="AH114:AI114"/>
    <mergeCell ref="F115:H115"/>
    <mergeCell ref="J115:K115"/>
    <mergeCell ref="M115:O115"/>
    <mergeCell ref="Q115:R115"/>
    <mergeCell ref="T115:V115"/>
    <mergeCell ref="X115:Y115"/>
    <mergeCell ref="AA115:AC115"/>
    <mergeCell ref="AE115:AF115"/>
    <mergeCell ref="AH115:AI115"/>
  </mergeCells>
  <conditionalFormatting sqref="A2:A30 A86 A92">
    <cfRule type="containsText" dxfId="1491" priority="68" operator="containsText" text="SG068">
      <formula>NOT(ISERROR(SEARCH("SG068",A2)))</formula>
    </cfRule>
    <cfRule type="containsText" dxfId="1490" priority="70" operator="containsText" text="SG212">
      <formula>NOT(ISERROR(SEARCH("SG212",A2)))</formula>
    </cfRule>
    <cfRule type="containsText" dxfId="1489" priority="69" operator="containsText" text="SG214">
      <formula>NOT(ISERROR(SEARCH("SG214",A2)))</formula>
    </cfRule>
    <cfRule type="containsText" dxfId="1488" priority="67" operator="containsText" text="SG007">
      <formula>NOT(ISERROR(SEARCH("SG007",A2)))</formula>
    </cfRule>
  </conditionalFormatting>
  <conditionalFormatting sqref="A5:A30 A86 A92">
    <cfRule type="containsText" dxfId="1487" priority="71" operator="containsText" text="SG070">
      <formula>NOT(ISERROR(SEARCH("SG070",A5)))</formula>
    </cfRule>
  </conditionalFormatting>
  <conditionalFormatting sqref="A101">
    <cfRule type="containsText" dxfId="1486" priority="79" operator="containsText" text="SG214">
      <formula>NOT(ISERROR(SEARCH("SG214",A101)))</formula>
    </cfRule>
    <cfRule type="containsText" dxfId="1485" priority="78" operator="containsText" text="SG068">
      <formula>NOT(ISERROR(SEARCH("SG068",A101)))</formula>
    </cfRule>
    <cfRule type="containsText" dxfId="1484" priority="81" operator="containsText" text="SG070">
      <formula>NOT(ISERROR(SEARCH("SG070",A101)))</formula>
    </cfRule>
    <cfRule type="containsText" dxfId="1483" priority="77" operator="containsText" text="SG007">
      <formula>NOT(ISERROR(SEARCH("SG007",A101)))</formula>
    </cfRule>
    <cfRule type="containsText" dxfId="1482" priority="80" operator="containsText" text="SG212">
      <formula>NOT(ISERROR(SEARCH("SG212",A101)))</formula>
    </cfRule>
  </conditionalFormatting>
  <conditionalFormatting sqref="E30:I30 L30:P30 S30:W30 Z30:AD30">
    <cfRule type="cellIs" dxfId="1481" priority="58" operator="greaterThan">
      <formula>0</formula>
    </cfRule>
  </conditionalFormatting>
  <conditionalFormatting sqref="E30:AF30">
    <cfRule type="containsText" dxfId="1480" priority="18" operator="containsText" text="l4">
      <formula>NOT(ISERROR(SEARCH("l4",E30)))</formula>
    </cfRule>
    <cfRule type="containsText" dxfId="1479" priority="23" operator="containsText" text="u">
      <formula>NOT(ISERROR(SEARCH("u",E30)))</formula>
    </cfRule>
    <cfRule type="containsText" dxfId="1478" priority="24" operator="containsText" text="s">
      <formula>NOT(ISERROR(SEARCH("s",E30)))</formula>
    </cfRule>
    <cfRule type="containsText" dxfId="1477" priority="25" operator="containsText" text="d">
      <formula>NOT(ISERROR(SEARCH("d",E30)))</formula>
    </cfRule>
    <cfRule type="containsText" dxfId="1476" priority="19" operator="containsText" text="12g">
      <formula>NOT(ISERROR(SEARCH("12g",E30)))</formula>
    </cfRule>
    <cfRule type="containsText" dxfId="1474" priority="21" operator="containsText" text="wse">
      <formula>NOT(ISERROR(SEARCH("wse",E30)))</formula>
    </cfRule>
    <cfRule type="containsText" dxfId="1473" priority="22" operator="containsText" text="k">
      <formula>NOT(ISERROR(SEARCH("k",E30)))</formula>
    </cfRule>
  </conditionalFormatting>
  <conditionalFormatting sqref="E2:AH22 E24:AH29">
    <cfRule type="containsText" dxfId="1471" priority="95" operator="containsText" text="MOSG">
      <formula>NOT(ISERROR(SEARCH("MOSG",E2)))</formula>
    </cfRule>
  </conditionalFormatting>
  <conditionalFormatting sqref="E23:AH23">
    <cfRule type="containsText" dxfId="1470" priority="99" operator="containsText" text="UW">
      <formula>NOT(ISERROR(SEARCH("UW",E23)))</formula>
    </cfRule>
    <cfRule type="containsText" dxfId="1469" priority="98" operator="containsText" text="S">
      <formula>NOT(ISERROR(SEARCH("S",E23)))</formula>
    </cfRule>
    <cfRule type="containsText" dxfId="1468" priority="100" operator="containsText" text="D">
      <formula>NOT(ISERROR(SEARCH("D",E23)))</formula>
    </cfRule>
    <cfRule type="containsText" dxfId="1467" priority="101" operator="containsText" text="MOSG">
      <formula>NOT(ISERROR(SEARCH("MOSG",E23)))</formula>
    </cfRule>
  </conditionalFormatting>
  <conditionalFormatting sqref="E2:AI11 E12:L12 V12:AI12 O12:S22 E13:N22 T13:AI22 E23:AI29">
    <cfRule type="containsText" dxfId="1465" priority="91" operator="containsText" text="L4">
      <formula>NOT(ISERROR(SEARCH("L4",E2)))</formula>
    </cfRule>
  </conditionalFormatting>
  <conditionalFormatting sqref="E2:AI11 E12:L12 V12:AI12 O12:S22 E13:N22 T13:AI22 AI23 E24:AI29">
    <cfRule type="containsText" dxfId="1464" priority="94" operator="containsText" text="D">
      <formula>NOT(ISERROR(SEARCH("D",E2)))</formula>
    </cfRule>
    <cfRule type="containsText" dxfId="1463" priority="93" operator="containsText" text="UW">
      <formula>NOT(ISERROR(SEARCH("UW",E2)))</formula>
    </cfRule>
    <cfRule type="containsText" dxfId="1462" priority="92" operator="containsText" text="S">
      <formula>NOT(ISERROR(SEARCH("S",E2)))</formula>
    </cfRule>
  </conditionalFormatting>
  <conditionalFormatting sqref="E31:AI31">
    <cfRule type="cellIs" dxfId="1461" priority="106" operator="greaterThan">
      <formula>1.5</formula>
    </cfRule>
  </conditionalFormatting>
  <conditionalFormatting sqref="E31:AI32">
    <cfRule type="cellIs" dxfId="1460" priority="103" operator="between">
      <formula>0.5</formula>
      <formula>1.5</formula>
    </cfRule>
  </conditionalFormatting>
  <conditionalFormatting sqref="E31:AI34">
    <cfRule type="cellIs" dxfId="1459" priority="104" operator="equal">
      <formula>0</formula>
    </cfRule>
  </conditionalFormatting>
  <conditionalFormatting sqref="E32:AI32">
    <cfRule type="cellIs" dxfId="1458" priority="107" operator="greaterThan">
      <formula>1.5</formula>
    </cfRule>
  </conditionalFormatting>
  <conditionalFormatting sqref="E33:AI33">
    <cfRule type="cellIs" dxfId="1457" priority="108" operator="greaterThan">
      <formula>3.5</formula>
    </cfRule>
  </conditionalFormatting>
  <conditionalFormatting sqref="E48:AI100 E101:AH101">
    <cfRule type="containsText" dxfId="1455" priority="85" operator="containsText" text="wse">
      <formula>NOT(ISERROR(SEARCH("wse",E48)))</formula>
    </cfRule>
    <cfRule type="containsText" dxfId="1454" priority="86" operator="containsText" text="k">
      <formula>NOT(ISERROR(SEARCH("k",E48)))</formula>
    </cfRule>
    <cfRule type="containsText" dxfId="1453" priority="87" operator="containsText" text="u">
      <formula>NOT(ISERROR(SEARCH("u",E48)))</formula>
    </cfRule>
    <cfRule type="containsText" dxfId="1452" priority="88" operator="containsText" text="s">
      <formula>NOT(ISERROR(SEARCH("s",E48)))</formula>
    </cfRule>
    <cfRule type="containsText" dxfId="1451" priority="89" operator="containsText" text="d">
      <formula>NOT(ISERROR(SEARCH("d",E48)))</formula>
    </cfRule>
    <cfRule type="cellIs" dxfId="1450" priority="90" operator="greaterThan">
      <formula>0</formula>
    </cfRule>
    <cfRule type="containsText" dxfId="1449" priority="82" operator="containsText" text="l4">
      <formula>NOT(ISERROR(SEARCH("l4",E48)))</formula>
    </cfRule>
    <cfRule type="containsText" dxfId="1448" priority="83" operator="containsText" text="12g">
      <formula>NOT(ISERROR(SEARCH("12g",E48)))</formula>
    </cfRule>
  </conditionalFormatting>
  <conditionalFormatting sqref="E102:AI102">
    <cfRule type="cellIs" dxfId="1447" priority="64" operator="greaterThan">
      <formula>1.5</formula>
    </cfRule>
  </conditionalFormatting>
  <conditionalFormatting sqref="E102:AI103">
    <cfRule type="cellIs" dxfId="1446" priority="61" operator="between">
      <formula>0.5</formula>
      <formula>1.5</formula>
    </cfRule>
  </conditionalFormatting>
  <conditionalFormatting sqref="E102:AI105">
    <cfRule type="cellIs" dxfId="1445" priority="62" operator="equal">
      <formula>0</formula>
    </cfRule>
  </conditionalFormatting>
  <conditionalFormatting sqref="E103:AI103">
    <cfRule type="cellIs" dxfId="1444" priority="65" operator="greaterThan">
      <formula>1.5</formula>
    </cfRule>
  </conditionalFormatting>
  <conditionalFormatting sqref="E104:AI104">
    <cfRule type="cellIs" dxfId="1443" priority="66" operator="greaterThan">
      <formula>3.5</formula>
    </cfRule>
  </conditionalFormatting>
  <conditionalFormatting sqref="E105:AI105">
    <cfRule type="cellIs" dxfId="1442" priority="60" operator="greaterThan">
      <formula>3.5</formula>
    </cfRule>
  </conditionalFormatting>
  <conditionalFormatting sqref="E34:AJ34">
    <cfRule type="cellIs" dxfId="1441" priority="17" operator="greaterThan">
      <formula>3.5</formula>
    </cfRule>
  </conditionalFormatting>
  <conditionalFormatting sqref="AJ34">
    <cfRule type="cellIs" dxfId="1440" priority="59" operator="equal">
      <formula>0</formula>
    </cfRule>
  </conditionalFormatting>
  <conditionalFormatting sqref="AQ5:AQ14">
    <cfRule type="containsText" dxfId="1438" priority="4" operator="containsText" text="wse">
      <formula>NOT(ISERROR(SEARCH("wse",AQ5)))</formula>
    </cfRule>
    <cfRule type="containsText" dxfId="1437" priority="5" operator="containsText" text="k">
      <formula>NOT(ISERROR(SEARCH("k",AQ5)))</formula>
    </cfRule>
    <cfRule type="containsText" dxfId="1436" priority="6" operator="containsText" text="u">
      <formula>NOT(ISERROR(SEARCH("u",AQ5)))</formula>
    </cfRule>
    <cfRule type="containsText" dxfId="1435" priority="7" operator="containsText" text="s">
      <formula>NOT(ISERROR(SEARCH("s",AQ5)))</formula>
    </cfRule>
    <cfRule type="containsText" dxfId="1434" priority="2" operator="containsText" text="12g">
      <formula>NOT(ISERROR(SEARCH("12g",AQ5)))</formula>
    </cfRule>
    <cfRule type="containsText" dxfId="1433" priority="8" operator="containsText" text="d">
      <formula>NOT(ISERROR(SEARCH("d",AQ5)))</formula>
    </cfRule>
  </conditionalFormatting>
  <conditionalFormatting sqref="AQ15">
    <cfRule type="containsText" dxfId="1432" priority="9" operator="containsText" text="l4">
      <formula>NOT(ISERROR(SEARCH("l4",AQ15)))</formula>
    </cfRule>
    <cfRule type="containsText" dxfId="1430" priority="10" operator="containsText" text="12g">
      <formula>NOT(ISERROR(SEARCH("12g",AQ15)))</formula>
    </cfRule>
    <cfRule type="containsText" dxfId="1429" priority="16" operator="containsText" text="d">
      <formula>NOT(ISERROR(SEARCH("d",AQ15)))</formula>
    </cfRule>
    <cfRule type="containsText" dxfId="1428" priority="15" operator="containsText" text="s">
      <formula>NOT(ISERROR(SEARCH("s",AQ15)))</formula>
    </cfRule>
    <cfRule type="containsText" dxfId="1427" priority="14" operator="containsText" text="u">
      <formula>NOT(ISERROR(SEARCH("u",AQ15)))</formula>
    </cfRule>
    <cfRule type="containsText" dxfId="1426" priority="13" operator="containsText" text="k">
      <formula>NOT(ISERROR(SEARCH("k",AQ15)))</formula>
    </cfRule>
    <cfRule type="containsText" dxfId="1425" priority="12" operator="containsText" text="wse">
      <formula>NOT(ISERROR(SEARCH("wse",AQ15)))</formula>
    </cfRule>
  </conditionalFormatting>
  <pageMargins left="0" right="0" top="0" bottom="0" header="0.51180555555555496" footer="0.51180555555555496"/>
  <pageSetup paperSize="9" orientation="landscape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" operator="containsText" id="{7599877F-CB4A-41B7-9B7C-5F3F5F574E91}">
            <xm:f>NOT(ISERROR(SEARCH("-",E30)))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E30:AF30</xm:sqref>
        </x14:conditionalFormatting>
        <x14:conditionalFormatting xmlns:xm="http://schemas.microsoft.com/office/excel/2006/main">
          <x14:cfRule type="containsText" priority="109" operator="containsText" id="{E4175153-5D25-4EF4-9582-AA2015D77B90}">
            <xm:f>NOT(ISERROR(SEARCH("-",E2)))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E2:AH11 E12:L12 V12:AH12 O12:S22 E13:N22 T13:AH22</xm:sqref>
        </x14:conditionalFormatting>
        <x14:conditionalFormatting xmlns:xm="http://schemas.microsoft.com/office/excel/2006/main">
          <x14:cfRule type="containsText" priority="96" operator="containsText" id="{4A9F4AC9-9A70-4259-96DB-E66ADD2FDBAA}">
            <xm:f>NOT(ISERROR(SEARCH("-",E23)))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E23:AH29</xm:sqref>
        </x14:conditionalFormatting>
        <x14:conditionalFormatting xmlns:xm="http://schemas.microsoft.com/office/excel/2006/main">
          <x14:cfRule type="containsText" priority="84" operator="containsText" id="{AED64CD9-B4C9-46D8-819A-582CA78C7854}">
            <xm:f>NOT(ISERROR(SEARCH("-",E48)))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E48:AI100 E101:AH101</xm:sqref>
        </x14:conditionalFormatting>
        <x14:conditionalFormatting xmlns:xm="http://schemas.microsoft.com/office/excel/2006/main">
          <x14:cfRule type="containsText" priority="3" operator="containsText" id="{7B5A372C-4EC1-4EE6-931A-725FACD86ECA}">
            <xm:f>NOT(ISERROR(SEARCH("-",AQ5)))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AQ5:AQ14</xm:sqref>
        </x14:conditionalFormatting>
        <x14:conditionalFormatting xmlns:xm="http://schemas.microsoft.com/office/excel/2006/main">
          <x14:cfRule type="containsText" priority="11" operator="containsText" id="{4DCA30F9-12A7-4DE1-A530-CB6BD74781EE}">
            <xm:f>NOT(ISERROR(SEARCH("-",AQ15)))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AQ15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AD1A-D27A-4CA4-9FE9-A01AA0269E61}">
  <sheetPr>
    <tabColor rgb="FF00B0F0"/>
  </sheetPr>
  <dimension ref="A1:D604"/>
  <sheetViews>
    <sheetView workbookViewId="0">
      <selection activeCell="H10" sqref="H10"/>
    </sheetView>
  </sheetViews>
  <sheetFormatPr defaultColWidth="8.84375" defaultRowHeight="14.6"/>
  <cols>
    <col min="1" max="1" width="8.84375" style="1"/>
    <col min="2" max="2" width="13.765625" style="1" customWidth="1"/>
    <col min="3" max="3" width="16.15234375" style="1" customWidth="1"/>
    <col min="4" max="4" width="12.84375" style="1" customWidth="1"/>
    <col min="5" max="16384" width="8.84375" style="1"/>
  </cols>
  <sheetData>
    <row r="1" spans="1:4" ht="15" thickBot="1">
      <c r="A1" s="630" t="s">
        <v>505</v>
      </c>
      <c r="B1" s="631" t="s">
        <v>506</v>
      </c>
      <c r="C1" s="632" t="s">
        <v>507</v>
      </c>
      <c r="D1" s="633" t="s">
        <v>504</v>
      </c>
    </row>
    <row r="2" spans="1:4" ht="15" thickBot="1">
      <c r="A2" s="614">
        <v>1</v>
      </c>
      <c r="B2" s="611" t="s">
        <v>444</v>
      </c>
      <c r="C2" s="609" t="s">
        <v>512</v>
      </c>
      <c r="D2" s="610" t="s">
        <v>499</v>
      </c>
    </row>
    <row r="3" spans="1:4" ht="15" thickBot="1">
      <c r="A3" s="614">
        <v>1</v>
      </c>
      <c r="B3" s="611" t="s">
        <v>444</v>
      </c>
      <c r="C3" s="602" t="s">
        <v>513</v>
      </c>
      <c r="D3" s="618" t="s">
        <v>499</v>
      </c>
    </row>
    <row r="4" spans="1:4" ht="15" thickBot="1">
      <c r="A4" s="614">
        <v>1</v>
      </c>
      <c r="B4" s="611" t="s">
        <v>444</v>
      </c>
      <c r="C4" s="602" t="s">
        <v>486</v>
      </c>
      <c r="D4" s="618" t="s">
        <v>499</v>
      </c>
    </row>
    <row r="5" spans="1:4" ht="15" thickBot="1">
      <c r="A5" s="614">
        <v>1</v>
      </c>
      <c r="B5" s="611" t="s">
        <v>444</v>
      </c>
      <c r="C5" s="602" t="s">
        <v>486</v>
      </c>
      <c r="D5" s="618" t="s">
        <v>497</v>
      </c>
    </row>
    <row r="6" spans="1:4" ht="15" thickBot="1">
      <c r="A6" s="614">
        <v>1</v>
      </c>
      <c r="B6" s="611" t="s">
        <v>444</v>
      </c>
      <c r="C6" s="600" t="s">
        <v>486</v>
      </c>
      <c r="D6" s="619" t="s">
        <v>498</v>
      </c>
    </row>
    <row r="7" spans="1:4" ht="15" thickBot="1">
      <c r="A7" s="615">
        <v>2</v>
      </c>
      <c r="B7" s="604" t="s">
        <v>445</v>
      </c>
      <c r="C7" s="603" t="s">
        <v>512</v>
      </c>
      <c r="D7" s="610" t="s">
        <v>498</v>
      </c>
    </row>
    <row r="8" spans="1:4" ht="15" thickBot="1">
      <c r="A8" s="615">
        <v>2</v>
      </c>
      <c r="B8" s="604" t="s">
        <v>445</v>
      </c>
      <c r="C8" s="602" t="s">
        <v>484</v>
      </c>
      <c r="D8" s="618" t="s">
        <v>498</v>
      </c>
    </row>
    <row r="9" spans="1:4" ht="15" thickBot="1">
      <c r="A9" s="615">
        <v>2</v>
      </c>
      <c r="B9" s="604" t="s">
        <v>445</v>
      </c>
      <c r="C9" s="602" t="s">
        <v>512</v>
      </c>
      <c r="D9" s="618" t="s">
        <v>499</v>
      </c>
    </row>
    <row r="10" spans="1:4" ht="15" thickBot="1">
      <c r="A10" s="615">
        <v>2</v>
      </c>
      <c r="B10" s="604" t="s">
        <v>445</v>
      </c>
      <c r="C10" s="602" t="s">
        <v>512</v>
      </c>
      <c r="D10" s="618" t="s">
        <v>497</v>
      </c>
    </row>
    <row r="11" spans="1:4" ht="15" thickBot="1">
      <c r="A11" s="615">
        <v>2</v>
      </c>
      <c r="B11" s="604" t="s">
        <v>445</v>
      </c>
      <c r="C11" s="602" t="s">
        <v>502</v>
      </c>
      <c r="D11" s="618" t="s">
        <v>497</v>
      </c>
    </row>
    <row r="12" spans="1:4" ht="15" thickBot="1">
      <c r="A12" s="615">
        <v>2</v>
      </c>
      <c r="B12" s="604" t="s">
        <v>445</v>
      </c>
      <c r="C12" s="600" t="s">
        <v>486</v>
      </c>
      <c r="D12" s="619" t="s">
        <v>498</v>
      </c>
    </row>
    <row r="13" spans="1:4" ht="15" thickBot="1">
      <c r="A13" s="614">
        <v>3</v>
      </c>
      <c r="B13" s="604" t="s">
        <v>446</v>
      </c>
      <c r="C13" s="603" t="s">
        <v>512</v>
      </c>
      <c r="D13" s="610" t="s">
        <v>499</v>
      </c>
    </row>
    <row r="14" spans="1:4" ht="15" thickBot="1">
      <c r="A14" s="614">
        <v>3</v>
      </c>
      <c r="B14" s="604" t="s">
        <v>446</v>
      </c>
      <c r="C14" s="602" t="s">
        <v>512</v>
      </c>
      <c r="D14" s="618" t="s">
        <v>498</v>
      </c>
    </row>
    <row r="15" spans="1:4" ht="15" thickBot="1">
      <c r="A15" s="614">
        <v>3</v>
      </c>
      <c r="B15" s="604" t="s">
        <v>446</v>
      </c>
      <c r="C15" s="602" t="s">
        <v>512</v>
      </c>
      <c r="D15" s="618" t="s">
        <v>497</v>
      </c>
    </row>
    <row r="16" spans="1:4" ht="15" thickBot="1">
      <c r="A16" s="614">
        <v>3</v>
      </c>
      <c r="B16" s="604" t="s">
        <v>446</v>
      </c>
      <c r="C16" s="600" t="s">
        <v>502</v>
      </c>
      <c r="D16" s="619" t="s">
        <v>497</v>
      </c>
    </row>
    <row r="17" spans="1:4" ht="15" thickBot="1">
      <c r="A17" s="614">
        <v>4</v>
      </c>
      <c r="B17" s="604" t="s">
        <v>447</v>
      </c>
      <c r="C17" s="603" t="s">
        <v>485</v>
      </c>
      <c r="D17" s="610" t="s">
        <v>498</v>
      </c>
    </row>
    <row r="18" spans="1:4" ht="15" thickBot="1">
      <c r="A18" s="614">
        <v>4</v>
      </c>
      <c r="B18" s="604" t="s">
        <v>447</v>
      </c>
      <c r="C18" s="600" t="s">
        <v>512</v>
      </c>
      <c r="D18" s="619" t="s">
        <v>499</v>
      </c>
    </row>
    <row r="19" spans="1:4" ht="15" thickBot="1">
      <c r="A19" s="614">
        <v>5</v>
      </c>
      <c r="B19" s="604" t="s">
        <v>448</v>
      </c>
      <c r="C19" s="603" t="s">
        <v>501</v>
      </c>
      <c r="D19" s="610" t="s">
        <v>499</v>
      </c>
    </row>
    <row r="20" spans="1:4" ht="15" thickBot="1">
      <c r="A20" s="614">
        <v>5</v>
      </c>
      <c r="B20" s="604" t="s">
        <v>448</v>
      </c>
      <c r="C20" s="602" t="s">
        <v>500</v>
      </c>
      <c r="D20" s="618" t="s">
        <v>499</v>
      </c>
    </row>
    <row r="21" spans="1:4" ht="15" thickBot="1">
      <c r="A21" s="614">
        <v>5</v>
      </c>
      <c r="B21" s="604" t="s">
        <v>448</v>
      </c>
      <c r="C21" s="602" t="s">
        <v>484</v>
      </c>
      <c r="D21" s="618" t="s">
        <v>498</v>
      </c>
    </row>
    <row r="22" spans="1:4" ht="15" thickBot="1">
      <c r="A22" s="614">
        <v>5</v>
      </c>
      <c r="B22" s="604" t="s">
        <v>448</v>
      </c>
      <c r="C22" s="602" t="s">
        <v>485</v>
      </c>
      <c r="D22" s="618" t="s">
        <v>498</v>
      </c>
    </row>
    <row r="23" spans="1:4" ht="15" thickBot="1">
      <c r="A23" s="614">
        <v>5</v>
      </c>
      <c r="B23" s="604" t="s">
        <v>448</v>
      </c>
      <c r="C23" s="602" t="s">
        <v>492</v>
      </c>
      <c r="D23" s="618" t="s">
        <v>497</v>
      </c>
    </row>
    <row r="24" spans="1:4" ht="15" thickBot="1">
      <c r="A24" s="614">
        <v>5</v>
      </c>
      <c r="B24" s="604" t="s">
        <v>448</v>
      </c>
      <c r="C24" s="600" t="s">
        <v>491</v>
      </c>
      <c r="D24" s="619" t="s">
        <v>497</v>
      </c>
    </row>
    <row r="25" spans="1:4" ht="15" thickBot="1">
      <c r="A25" s="614">
        <v>6</v>
      </c>
      <c r="B25" s="604" t="s">
        <v>449</v>
      </c>
      <c r="C25" s="609" t="s">
        <v>501</v>
      </c>
      <c r="D25" s="610" t="s">
        <v>499</v>
      </c>
    </row>
    <row r="26" spans="1:4" ht="15" thickBot="1">
      <c r="A26" s="614">
        <v>6</v>
      </c>
      <c r="B26" s="604" t="s">
        <v>449</v>
      </c>
      <c r="C26" s="602" t="s">
        <v>514</v>
      </c>
      <c r="D26" s="618" t="s">
        <v>499</v>
      </c>
    </row>
    <row r="27" spans="1:4" ht="15" thickBot="1">
      <c r="A27" s="614">
        <v>6</v>
      </c>
      <c r="B27" s="604" t="s">
        <v>449</v>
      </c>
      <c r="C27" s="602" t="s">
        <v>486</v>
      </c>
      <c r="D27" s="618" t="s">
        <v>499</v>
      </c>
    </row>
    <row r="28" spans="1:4" ht="15" thickBot="1">
      <c r="A28" s="614">
        <v>6</v>
      </c>
      <c r="B28" s="604" t="s">
        <v>449</v>
      </c>
      <c r="C28" s="602" t="s">
        <v>486</v>
      </c>
      <c r="D28" s="618" t="s">
        <v>497</v>
      </c>
    </row>
    <row r="29" spans="1:4" ht="15" thickBot="1">
      <c r="A29" s="614">
        <v>6</v>
      </c>
      <c r="B29" s="604" t="s">
        <v>449</v>
      </c>
      <c r="C29" s="602" t="s">
        <v>486</v>
      </c>
      <c r="D29" s="618" t="s">
        <v>498</v>
      </c>
    </row>
    <row r="30" spans="1:4" ht="15" thickBot="1">
      <c r="A30" s="614">
        <v>6</v>
      </c>
      <c r="B30" s="604" t="s">
        <v>449</v>
      </c>
      <c r="C30" s="600" t="s">
        <v>514</v>
      </c>
      <c r="D30" s="619" t="s">
        <v>497</v>
      </c>
    </row>
    <row r="31" spans="1:4" ht="15" thickBot="1">
      <c r="A31" s="614">
        <v>7</v>
      </c>
      <c r="B31" s="604" t="s">
        <v>450</v>
      </c>
      <c r="C31" s="603" t="s">
        <v>501</v>
      </c>
      <c r="D31" s="620" t="s">
        <v>499</v>
      </c>
    </row>
    <row r="32" spans="1:4" ht="15" thickBot="1">
      <c r="A32" s="614">
        <v>7</v>
      </c>
      <c r="B32" s="604" t="s">
        <v>450</v>
      </c>
      <c r="C32" s="602" t="s">
        <v>486</v>
      </c>
      <c r="D32" s="620" t="s">
        <v>498</v>
      </c>
    </row>
    <row r="33" spans="1:4" ht="15" thickBot="1">
      <c r="A33" s="614">
        <v>7</v>
      </c>
      <c r="B33" s="604" t="s">
        <v>450</v>
      </c>
      <c r="C33" s="602" t="s">
        <v>513</v>
      </c>
      <c r="D33" s="620" t="s">
        <v>499</v>
      </c>
    </row>
    <row r="34" spans="1:4" ht="15" thickBot="1">
      <c r="A34" s="614">
        <v>7</v>
      </c>
      <c r="B34" s="604" t="s">
        <v>450</v>
      </c>
      <c r="C34" s="602" t="s">
        <v>486</v>
      </c>
      <c r="D34" s="620" t="s">
        <v>499</v>
      </c>
    </row>
    <row r="35" spans="1:4" ht="15" thickBot="1">
      <c r="A35" s="614">
        <v>7</v>
      </c>
      <c r="B35" s="604" t="s">
        <v>450</v>
      </c>
      <c r="C35" s="602" t="s">
        <v>486</v>
      </c>
      <c r="D35" s="620" t="s">
        <v>497</v>
      </c>
    </row>
    <row r="36" spans="1:4" ht="15" thickBot="1">
      <c r="A36" s="614">
        <v>7</v>
      </c>
      <c r="B36" s="604" t="s">
        <v>450</v>
      </c>
      <c r="C36" s="600" t="s">
        <v>514</v>
      </c>
      <c r="D36" s="621" t="s">
        <v>497</v>
      </c>
    </row>
    <row r="37" spans="1:4" ht="15" thickBot="1">
      <c r="A37" s="614">
        <v>8</v>
      </c>
      <c r="B37" s="604" t="s">
        <v>451</v>
      </c>
      <c r="C37" s="603" t="s">
        <v>514</v>
      </c>
      <c r="D37" s="622" t="s">
        <v>499</v>
      </c>
    </row>
    <row r="38" spans="1:4" ht="15" thickBot="1">
      <c r="A38" s="614">
        <v>8</v>
      </c>
      <c r="B38" s="604" t="s">
        <v>451</v>
      </c>
      <c r="C38" s="602" t="s">
        <v>486</v>
      </c>
      <c r="D38" s="620" t="s">
        <v>499</v>
      </c>
    </row>
    <row r="39" spans="1:4" ht="15" thickBot="1">
      <c r="A39" s="614">
        <v>8</v>
      </c>
      <c r="B39" s="604" t="s">
        <v>451</v>
      </c>
      <c r="C39" s="602" t="s">
        <v>486</v>
      </c>
      <c r="D39" s="620" t="s">
        <v>498</v>
      </c>
    </row>
    <row r="40" spans="1:4" ht="15" thickBot="1">
      <c r="A40" s="614">
        <v>8</v>
      </c>
      <c r="B40" s="604" t="s">
        <v>451</v>
      </c>
      <c r="C40" s="602" t="s">
        <v>486</v>
      </c>
      <c r="D40" s="623" t="s">
        <v>497</v>
      </c>
    </row>
    <row r="41" spans="1:4" ht="15" thickBot="1">
      <c r="A41" s="614">
        <v>8</v>
      </c>
      <c r="B41" s="604" t="s">
        <v>451</v>
      </c>
      <c r="C41" s="600" t="s">
        <v>514</v>
      </c>
      <c r="D41" s="624" t="s">
        <v>497</v>
      </c>
    </row>
    <row r="42" spans="1:4" ht="15" thickBot="1">
      <c r="A42" s="614">
        <v>9</v>
      </c>
      <c r="B42" s="604" t="s">
        <v>452</v>
      </c>
      <c r="C42" s="603" t="s">
        <v>484</v>
      </c>
      <c r="D42" s="622" t="s">
        <v>498</v>
      </c>
    </row>
    <row r="43" spans="1:4" ht="15" thickBot="1">
      <c r="A43" s="614">
        <v>9</v>
      </c>
      <c r="B43" s="604" t="s">
        <v>452</v>
      </c>
      <c r="C43" s="602" t="s">
        <v>500</v>
      </c>
      <c r="D43" s="620" t="s">
        <v>499</v>
      </c>
    </row>
    <row r="44" spans="1:4" ht="15" thickBot="1">
      <c r="A44" s="614">
        <v>9</v>
      </c>
      <c r="B44" s="604" t="s">
        <v>452</v>
      </c>
      <c r="C44" s="602" t="s">
        <v>492</v>
      </c>
      <c r="D44" s="623" t="s">
        <v>497</v>
      </c>
    </row>
    <row r="45" spans="1:4" ht="15" thickBot="1">
      <c r="A45" s="614">
        <v>9</v>
      </c>
      <c r="B45" s="604" t="s">
        <v>452</v>
      </c>
      <c r="C45" s="600" t="s">
        <v>491</v>
      </c>
      <c r="D45" s="624" t="s">
        <v>497</v>
      </c>
    </row>
    <row r="46" spans="1:4" ht="15" thickBot="1">
      <c r="A46" s="616">
        <v>10</v>
      </c>
      <c r="B46" s="604" t="s">
        <v>453</v>
      </c>
      <c r="C46" s="602" t="s">
        <v>512</v>
      </c>
      <c r="D46" s="623" t="s">
        <v>499</v>
      </c>
    </row>
    <row r="47" spans="1:4" ht="15" thickBot="1">
      <c r="A47" s="616">
        <v>10</v>
      </c>
      <c r="B47" s="604" t="s">
        <v>453</v>
      </c>
      <c r="C47" s="602" t="s">
        <v>500</v>
      </c>
      <c r="D47" s="623" t="s">
        <v>499</v>
      </c>
    </row>
    <row r="48" spans="1:4" ht="15" thickBot="1">
      <c r="A48" s="616">
        <v>10</v>
      </c>
      <c r="B48" s="604" t="s">
        <v>453</v>
      </c>
      <c r="C48" s="602" t="s">
        <v>485</v>
      </c>
      <c r="D48" s="623" t="s">
        <v>498</v>
      </c>
    </row>
    <row r="49" spans="1:4" ht="15" thickBot="1">
      <c r="A49" s="616">
        <v>10</v>
      </c>
      <c r="B49" s="604" t="s">
        <v>453</v>
      </c>
      <c r="C49" s="602" t="s">
        <v>484</v>
      </c>
      <c r="D49" s="623" t="s">
        <v>497</v>
      </c>
    </row>
    <row r="50" spans="1:4" ht="15" thickBot="1">
      <c r="A50" s="616">
        <v>10</v>
      </c>
      <c r="B50" s="604" t="s">
        <v>453</v>
      </c>
      <c r="C50" s="600" t="s">
        <v>491</v>
      </c>
      <c r="D50" s="624" t="s">
        <v>497</v>
      </c>
    </row>
    <row r="51" spans="1:4" ht="15" thickBot="1">
      <c r="A51" s="616">
        <v>11</v>
      </c>
      <c r="B51" s="604" t="s">
        <v>454</v>
      </c>
      <c r="C51" s="603" t="s">
        <v>512</v>
      </c>
      <c r="D51" s="625" t="s">
        <v>498</v>
      </c>
    </row>
    <row r="52" spans="1:4" ht="15" thickBot="1">
      <c r="A52" s="616">
        <v>11</v>
      </c>
      <c r="B52" s="604" t="s">
        <v>454</v>
      </c>
      <c r="C52" s="602" t="s">
        <v>484</v>
      </c>
      <c r="D52" s="623" t="s">
        <v>498</v>
      </c>
    </row>
    <row r="53" spans="1:4" ht="15" thickBot="1">
      <c r="A53" s="616">
        <v>11</v>
      </c>
      <c r="B53" s="604" t="s">
        <v>454</v>
      </c>
      <c r="C53" s="602" t="s">
        <v>512</v>
      </c>
      <c r="D53" s="623" t="s">
        <v>499</v>
      </c>
    </row>
    <row r="54" spans="1:4" ht="15" thickBot="1">
      <c r="A54" s="616">
        <v>11</v>
      </c>
      <c r="B54" s="604" t="s">
        <v>454</v>
      </c>
      <c r="C54" s="602" t="s">
        <v>512</v>
      </c>
      <c r="D54" s="623" t="s">
        <v>497</v>
      </c>
    </row>
    <row r="55" spans="1:4" ht="15" thickBot="1">
      <c r="A55" s="616">
        <v>11</v>
      </c>
      <c r="B55" s="604" t="s">
        <v>454</v>
      </c>
      <c r="C55" s="600" t="s">
        <v>502</v>
      </c>
      <c r="D55" s="624" t="s">
        <v>497</v>
      </c>
    </row>
    <row r="56" spans="1:4" ht="15" thickBot="1">
      <c r="A56" s="614">
        <v>12</v>
      </c>
      <c r="B56" s="604" t="s">
        <v>455</v>
      </c>
      <c r="C56" s="609" t="s">
        <v>501</v>
      </c>
      <c r="D56" s="625" t="s">
        <v>499</v>
      </c>
    </row>
    <row r="57" spans="1:4" ht="15" thickBot="1">
      <c r="A57" s="614">
        <v>12</v>
      </c>
      <c r="B57" s="604" t="s">
        <v>455</v>
      </c>
      <c r="C57" s="602" t="s">
        <v>514</v>
      </c>
      <c r="D57" s="623" t="s">
        <v>499</v>
      </c>
    </row>
    <row r="58" spans="1:4" ht="15" thickBot="1">
      <c r="A58" s="614">
        <v>12</v>
      </c>
      <c r="B58" s="604" t="s">
        <v>455</v>
      </c>
      <c r="C58" s="601" t="s">
        <v>486</v>
      </c>
      <c r="D58" s="623" t="s">
        <v>498</v>
      </c>
    </row>
    <row r="59" spans="1:4" ht="15" thickBot="1">
      <c r="A59" s="614">
        <v>12</v>
      </c>
      <c r="B59" s="604" t="s">
        <v>455</v>
      </c>
      <c r="C59" s="602" t="s">
        <v>486</v>
      </c>
      <c r="D59" s="623" t="s">
        <v>499</v>
      </c>
    </row>
    <row r="60" spans="1:4" ht="15" thickBot="1">
      <c r="A60" s="614">
        <v>12</v>
      </c>
      <c r="B60" s="604" t="s">
        <v>455</v>
      </c>
      <c r="C60" s="600" t="s">
        <v>500</v>
      </c>
      <c r="D60" s="624" t="s">
        <v>499</v>
      </c>
    </row>
    <row r="61" spans="1:4" ht="15" thickBot="1">
      <c r="A61" s="614">
        <v>13</v>
      </c>
      <c r="B61" s="610" t="s">
        <v>456</v>
      </c>
      <c r="C61" s="609" t="s">
        <v>501</v>
      </c>
      <c r="D61" s="626" t="s">
        <v>499</v>
      </c>
    </row>
    <row r="62" spans="1:4" ht="15" thickBot="1">
      <c r="A62" s="614">
        <v>13</v>
      </c>
      <c r="B62" s="610" t="s">
        <v>456</v>
      </c>
      <c r="C62" s="607" t="s">
        <v>501</v>
      </c>
      <c r="D62" s="627" t="s">
        <v>498</v>
      </c>
    </row>
    <row r="63" spans="1:4" ht="15" thickBot="1">
      <c r="A63" s="614">
        <v>13</v>
      </c>
      <c r="B63" s="610" t="s">
        <v>456</v>
      </c>
      <c r="C63" s="602" t="s">
        <v>484</v>
      </c>
      <c r="D63" s="627" t="s">
        <v>498</v>
      </c>
    </row>
    <row r="64" spans="1:4" ht="15" thickBot="1">
      <c r="A64" s="614">
        <v>13</v>
      </c>
      <c r="B64" s="610" t="s">
        <v>456</v>
      </c>
      <c r="C64" s="601" t="s">
        <v>486</v>
      </c>
      <c r="D64" s="627" t="s">
        <v>498</v>
      </c>
    </row>
    <row r="65" spans="1:4" ht="15" thickBot="1">
      <c r="A65" s="614">
        <v>13</v>
      </c>
      <c r="B65" s="610" t="s">
        <v>456</v>
      </c>
      <c r="C65" s="602" t="s">
        <v>514</v>
      </c>
      <c r="D65" s="627" t="s">
        <v>499</v>
      </c>
    </row>
    <row r="66" spans="1:4" ht="15" thickBot="1">
      <c r="A66" s="614">
        <v>13</v>
      </c>
      <c r="B66" s="610" t="s">
        <v>456</v>
      </c>
      <c r="C66" s="602" t="s">
        <v>512</v>
      </c>
      <c r="D66" s="627" t="s">
        <v>497</v>
      </c>
    </row>
    <row r="67" spans="1:4" ht="15" thickBot="1">
      <c r="A67" s="614">
        <v>13</v>
      </c>
      <c r="B67" s="610" t="s">
        <v>456</v>
      </c>
      <c r="C67" s="602" t="s">
        <v>502</v>
      </c>
      <c r="D67" s="627" t="s">
        <v>497</v>
      </c>
    </row>
    <row r="68" spans="1:4" ht="15" thickBot="1">
      <c r="A68" s="614">
        <v>13</v>
      </c>
      <c r="B68" s="610" t="s">
        <v>456</v>
      </c>
      <c r="C68" s="600" t="s">
        <v>514</v>
      </c>
      <c r="D68" s="628" t="s">
        <v>497</v>
      </c>
    </row>
    <row r="69" spans="1:4" ht="15" thickBot="1">
      <c r="A69" s="614">
        <v>14</v>
      </c>
      <c r="B69" s="604" t="s">
        <v>457</v>
      </c>
      <c r="C69" s="603" t="s">
        <v>501</v>
      </c>
      <c r="D69" s="625" t="s">
        <v>498</v>
      </c>
    </row>
    <row r="70" spans="1:4" ht="15" thickBot="1">
      <c r="A70" s="614">
        <v>14</v>
      </c>
      <c r="B70" s="604" t="s">
        <v>457</v>
      </c>
      <c r="C70" s="607" t="s">
        <v>501</v>
      </c>
      <c r="D70" s="623" t="s">
        <v>499</v>
      </c>
    </row>
    <row r="71" spans="1:4" ht="15" thickBot="1">
      <c r="A71" s="614">
        <v>14</v>
      </c>
      <c r="B71" s="604" t="s">
        <v>457</v>
      </c>
      <c r="C71" s="602" t="s">
        <v>486</v>
      </c>
      <c r="D71" s="623" t="s">
        <v>498</v>
      </c>
    </row>
    <row r="72" spans="1:4" ht="15" thickBot="1">
      <c r="A72" s="614">
        <v>14</v>
      </c>
      <c r="B72" s="604" t="s">
        <v>457</v>
      </c>
      <c r="C72" s="602" t="s">
        <v>514</v>
      </c>
      <c r="D72" s="623" t="s">
        <v>499</v>
      </c>
    </row>
    <row r="73" spans="1:4" ht="15" thickBot="1">
      <c r="A73" s="614">
        <v>14</v>
      </c>
      <c r="B73" s="604" t="s">
        <v>457</v>
      </c>
      <c r="C73" s="601" t="s">
        <v>486</v>
      </c>
      <c r="D73" s="623" t="s">
        <v>499</v>
      </c>
    </row>
    <row r="74" spans="1:4" ht="15" thickBot="1">
      <c r="A74" s="614">
        <v>14</v>
      </c>
      <c r="B74" s="604" t="s">
        <v>457</v>
      </c>
      <c r="C74" s="602" t="s">
        <v>486</v>
      </c>
      <c r="D74" s="623" t="s">
        <v>497</v>
      </c>
    </row>
    <row r="75" spans="1:4" ht="15" thickBot="1">
      <c r="A75" s="614">
        <v>14</v>
      </c>
      <c r="B75" s="604" t="s">
        <v>457</v>
      </c>
      <c r="C75" s="600" t="s">
        <v>514</v>
      </c>
      <c r="D75" s="624" t="s">
        <v>497</v>
      </c>
    </row>
    <row r="76" spans="1:4" ht="15" thickBot="1">
      <c r="A76" s="614">
        <v>15</v>
      </c>
      <c r="B76" s="604" t="s">
        <v>458</v>
      </c>
      <c r="C76" s="603" t="s">
        <v>484</v>
      </c>
      <c r="D76" s="625" t="s">
        <v>498</v>
      </c>
    </row>
    <row r="77" spans="1:4" ht="15" thickBot="1">
      <c r="A77" s="614">
        <v>15</v>
      </c>
      <c r="B77" s="604" t="s">
        <v>458</v>
      </c>
      <c r="C77" s="602" t="s">
        <v>512</v>
      </c>
      <c r="D77" s="623" t="s">
        <v>499</v>
      </c>
    </row>
    <row r="78" spans="1:4" ht="15" thickBot="1">
      <c r="A78" s="614">
        <v>15</v>
      </c>
      <c r="B78" s="604" t="s">
        <v>458</v>
      </c>
      <c r="C78" s="602" t="s">
        <v>512</v>
      </c>
      <c r="D78" s="623" t="s">
        <v>497</v>
      </c>
    </row>
    <row r="79" spans="1:4" ht="15" thickBot="1">
      <c r="A79" s="614">
        <v>15</v>
      </c>
      <c r="B79" s="604" t="s">
        <v>458</v>
      </c>
      <c r="C79" s="602" t="s">
        <v>502</v>
      </c>
      <c r="D79" s="623" t="s">
        <v>497</v>
      </c>
    </row>
    <row r="80" spans="1:4" ht="15" thickBot="1">
      <c r="A80" s="614">
        <v>15</v>
      </c>
      <c r="B80" s="604" t="s">
        <v>458</v>
      </c>
      <c r="C80" s="600" t="s">
        <v>512</v>
      </c>
      <c r="D80" s="624" t="s">
        <v>498</v>
      </c>
    </row>
    <row r="81" spans="1:4" ht="15" thickBot="1">
      <c r="A81" s="614">
        <v>16</v>
      </c>
      <c r="B81" s="604" t="s">
        <v>459</v>
      </c>
      <c r="C81" s="603" t="s">
        <v>512</v>
      </c>
      <c r="D81" s="625" t="s">
        <v>498</v>
      </c>
    </row>
    <row r="82" spans="1:4" ht="15" thickBot="1">
      <c r="A82" s="614">
        <v>16</v>
      </c>
      <c r="B82" s="604" t="s">
        <v>459</v>
      </c>
      <c r="C82" s="602" t="s">
        <v>484</v>
      </c>
      <c r="D82" s="623" t="s">
        <v>498</v>
      </c>
    </row>
    <row r="83" spans="1:4" ht="15" thickBot="1">
      <c r="A83" s="614">
        <v>16</v>
      </c>
      <c r="B83" s="604" t="s">
        <v>459</v>
      </c>
      <c r="C83" s="602" t="s">
        <v>512</v>
      </c>
      <c r="D83" s="623" t="s">
        <v>499</v>
      </c>
    </row>
    <row r="84" spans="1:4" ht="15" thickBot="1">
      <c r="A84" s="614">
        <v>16</v>
      </c>
      <c r="B84" s="604" t="s">
        <v>459</v>
      </c>
      <c r="C84" s="602" t="s">
        <v>512</v>
      </c>
      <c r="D84" s="623" t="s">
        <v>497</v>
      </c>
    </row>
    <row r="85" spans="1:4" ht="15" thickBot="1">
      <c r="A85" s="614">
        <v>16</v>
      </c>
      <c r="B85" s="604" t="s">
        <v>459</v>
      </c>
      <c r="C85" s="602" t="s">
        <v>502</v>
      </c>
      <c r="D85" s="623" t="s">
        <v>497</v>
      </c>
    </row>
    <row r="86" spans="1:4" ht="15" thickBot="1">
      <c r="A86" s="614">
        <v>16</v>
      </c>
      <c r="B86" s="604" t="s">
        <v>459</v>
      </c>
      <c r="C86" s="600" t="s">
        <v>486</v>
      </c>
      <c r="D86" s="624" t="s">
        <v>498</v>
      </c>
    </row>
    <row r="87" spans="1:4" ht="15" thickBot="1">
      <c r="A87" s="614">
        <v>17</v>
      </c>
      <c r="B87" s="604" t="s">
        <v>460</v>
      </c>
      <c r="C87" s="603" t="s">
        <v>512</v>
      </c>
      <c r="D87" s="625" t="s">
        <v>498</v>
      </c>
    </row>
    <row r="88" spans="1:4" ht="15" thickBot="1">
      <c r="A88" s="614">
        <v>17</v>
      </c>
      <c r="B88" s="604" t="s">
        <v>460</v>
      </c>
      <c r="C88" s="602" t="s">
        <v>484</v>
      </c>
      <c r="D88" s="623" t="s">
        <v>498</v>
      </c>
    </row>
    <row r="89" spans="1:4" ht="15" thickBot="1">
      <c r="A89" s="614">
        <v>17</v>
      </c>
      <c r="B89" s="604" t="s">
        <v>460</v>
      </c>
      <c r="C89" s="602" t="s">
        <v>512</v>
      </c>
      <c r="D89" s="623" t="s">
        <v>499</v>
      </c>
    </row>
    <row r="90" spans="1:4" ht="15" thickBot="1">
      <c r="A90" s="614">
        <v>17</v>
      </c>
      <c r="B90" s="604" t="s">
        <v>460</v>
      </c>
      <c r="C90" s="600" t="s">
        <v>491</v>
      </c>
      <c r="D90" s="624" t="s">
        <v>497</v>
      </c>
    </row>
    <row r="91" spans="1:4" ht="15" thickBot="1">
      <c r="A91" s="614">
        <v>18</v>
      </c>
      <c r="B91" s="604" t="s">
        <v>461</v>
      </c>
      <c r="C91" s="602" t="s">
        <v>500</v>
      </c>
      <c r="D91" s="623" t="s">
        <v>499</v>
      </c>
    </row>
    <row r="92" spans="1:4" ht="15" thickBot="1">
      <c r="A92" s="614">
        <v>18</v>
      </c>
      <c r="B92" s="604" t="s">
        <v>461</v>
      </c>
      <c r="C92" s="602" t="s">
        <v>484</v>
      </c>
      <c r="D92" s="623" t="s">
        <v>498</v>
      </c>
    </row>
    <row r="93" spans="1:4" ht="15" thickBot="1">
      <c r="A93" s="614">
        <v>18</v>
      </c>
      <c r="B93" s="604" t="s">
        <v>461</v>
      </c>
      <c r="C93" s="602" t="s">
        <v>485</v>
      </c>
      <c r="D93" s="623" t="s">
        <v>498</v>
      </c>
    </row>
    <row r="94" spans="1:4" ht="15" thickBot="1">
      <c r="A94" s="614">
        <v>18</v>
      </c>
      <c r="B94" s="604" t="s">
        <v>461</v>
      </c>
      <c r="C94" s="602" t="s">
        <v>492</v>
      </c>
      <c r="D94" s="623" t="s">
        <v>497</v>
      </c>
    </row>
    <row r="95" spans="1:4" ht="15" thickBot="1">
      <c r="A95" s="614">
        <v>18</v>
      </c>
      <c r="B95" s="604" t="s">
        <v>461</v>
      </c>
      <c r="C95" s="600" t="s">
        <v>491</v>
      </c>
      <c r="D95" s="624" t="s">
        <v>497</v>
      </c>
    </row>
    <row r="96" spans="1:4" ht="15" thickBot="1">
      <c r="A96" s="614">
        <v>19</v>
      </c>
      <c r="B96" s="604" t="s">
        <v>462</v>
      </c>
      <c r="C96" s="603" t="s">
        <v>501</v>
      </c>
      <c r="D96" s="625" t="s">
        <v>499</v>
      </c>
    </row>
    <row r="97" spans="1:4" ht="15" thickBot="1">
      <c r="A97" s="614">
        <v>19</v>
      </c>
      <c r="B97" s="604" t="s">
        <v>462</v>
      </c>
      <c r="C97" s="602" t="s">
        <v>486</v>
      </c>
      <c r="D97" s="623" t="s">
        <v>498</v>
      </c>
    </row>
    <row r="98" spans="1:4" ht="15" thickBot="1">
      <c r="A98" s="614">
        <v>19</v>
      </c>
      <c r="B98" s="604" t="s">
        <v>462</v>
      </c>
      <c r="C98" s="602" t="s">
        <v>486</v>
      </c>
      <c r="D98" s="623" t="s">
        <v>499</v>
      </c>
    </row>
    <row r="99" spans="1:4" ht="15" thickBot="1">
      <c r="A99" s="614">
        <v>19</v>
      </c>
      <c r="B99" s="604" t="s">
        <v>462</v>
      </c>
      <c r="C99" s="602" t="s">
        <v>514</v>
      </c>
      <c r="D99" s="623" t="s">
        <v>497</v>
      </c>
    </row>
    <row r="100" spans="1:4" ht="15" thickBot="1">
      <c r="A100" s="614">
        <v>19</v>
      </c>
      <c r="B100" s="604" t="s">
        <v>462</v>
      </c>
      <c r="C100" s="602" t="s">
        <v>514</v>
      </c>
      <c r="D100" s="623" t="s">
        <v>499</v>
      </c>
    </row>
    <row r="101" spans="1:4" ht="15" thickBot="1">
      <c r="A101" s="614">
        <v>19</v>
      </c>
      <c r="B101" s="604" t="s">
        <v>462</v>
      </c>
      <c r="C101" s="602" t="s">
        <v>512</v>
      </c>
      <c r="D101" s="623" t="s">
        <v>497</v>
      </c>
    </row>
    <row r="102" spans="1:4" ht="15" thickBot="1">
      <c r="A102" s="614">
        <v>19</v>
      </c>
      <c r="B102" s="604" t="s">
        <v>462</v>
      </c>
      <c r="C102" s="600" t="s">
        <v>502</v>
      </c>
      <c r="D102" s="624" t="s">
        <v>497</v>
      </c>
    </row>
    <row r="103" spans="1:4" ht="15" thickBot="1">
      <c r="A103" s="616">
        <v>20</v>
      </c>
      <c r="B103" s="604" t="s">
        <v>463</v>
      </c>
      <c r="C103" s="609" t="s">
        <v>514</v>
      </c>
      <c r="D103" s="625" t="s">
        <v>497</v>
      </c>
    </row>
    <row r="104" spans="1:4" ht="15" thickBot="1">
      <c r="A104" s="616">
        <v>20</v>
      </c>
      <c r="B104" s="604" t="s">
        <v>463</v>
      </c>
      <c r="C104" s="607" t="s">
        <v>486</v>
      </c>
      <c r="D104" s="623" t="s">
        <v>499</v>
      </c>
    </row>
    <row r="105" spans="1:4" ht="15" thickBot="1">
      <c r="A105" s="616">
        <v>20</v>
      </c>
      <c r="B105" s="604" t="s">
        <v>463</v>
      </c>
      <c r="C105" s="607" t="s">
        <v>486</v>
      </c>
      <c r="D105" s="623" t="s">
        <v>497</v>
      </c>
    </row>
    <row r="106" spans="1:4" ht="15" thickBot="1">
      <c r="A106" s="616">
        <v>20</v>
      </c>
      <c r="B106" s="604" t="s">
        <v>463</v>
      </c>
      <c r="C106" s="608" t="s">
        <v>486</v>
      </c>
      <c r="D106" s="624" t="s">
        <v>498</v>
      </c>
    </row>
    <row r="107" spans="1:4" ht="15" thickBot="1">
      <c r="A107" s="616">
        <v>21</v>
      </c>
      <c r="B107" s="604" t="s">
        <v>464</v>
      </c>
      <c r="C107" s="603" t="s">
        <v>512</v>
      </c>
      <c r="D107" s="625" t="s">
        <v>499</v>
      </c>
    </row>
    <row r="108" spans="1:4" ht="15" thickBot="1">
      <c r="A108" s="616">
        <v>21</v>
      </c>
      <c r="B108" s="604" t="s">
        <v>464</v>
      </c>
      <c r="C108" s="602" t="s">
        <v>512</v>
      </c>
      <c r="D108" s="623" t="s">
        <v>498</v>
      </c>
    </row>
    <row r="109" spans="1:4" ht="15" thickBot="1">
      <c r="A109" s="616">
        <v>21</v>
      </c>
      <c r="B109" s="604" t="s">
        <v>464</v>
      </c>
      <c r="C109" s="602" t="s">
        <v>503</v>
      </c>
      <c r="D109" s="623" t="s">
        <v>498</v>
      </c>
    </row>
    <row r="110" spans="1:4" ht="15" thickBot="1">
      <c r="A110" s="616">
        <v>21</v>
      </c>
      <c r="B110" s="604" t="s">
        <v>464</v>
      </c>
      <c r="C110" s="601" t="s">
        <v>486</v>
      </c>
      <c r="D110" s="623" t="s">
        <v>498</v>
      </c>
    </row>
    <row r="111" spans="1:4" ht="15" thickBot="1">
      <c r="A111" s="616">
        <v>21</v>
      </c>
      <c r="B111" s="604" t="s">
        <v>464</v>
      </c>
      <c r="C111" s="600" t="s">
        <v>514</v>
      </c>
      <c r="D111" s="624" t="s">
        <v>499</v>
      </c>
    </row>
    <row r="112" spans="1:4" ht="15" thickBot="1">
      <c r="A112" s="616">
        <v>22</v>
      </c>
      <c r="B112" s="604" t="s">
        <v>465</v>
      </c>
      <c r="C112" s="603" t="s">
        <v>501</v>
      </c>
      <c r="D112" s="625" t="s">
        <v>499</v>
      </c>
    </row>
    <row r="113" spans="1:4" ht="15" thickBot="1">
      <c r="A113" s="616">
        <v>22</v>
      </c>
      <c r="B113" s="604" t="s">
        <v>465</v>
      </c>
      <c r="C113" s="607" t="s">
        <v>514</v>
      </c>
      <c r="D113" s="623" t="s">
        <v>499</v>
      </c>
    </row>
    <row r="114" spans="1:4" ht="15" thickBot="1">
      <c r="A114" s="616">
        <v>22</v>
      </c>
      <c r="B114" s="604" t="s">
        <v>465</v>
      </c>
      <c r="C114" s="602" t="s">
        <v>486</v>
      </c>
      <c r="D114" s="623" t="s">
        <v>498</v>
      </c>
    </row>
    <row r="115" spans="1:4" ht="15" thickBot="1">
      <c r="A115" s="616">
        <v>22</v>
      </c>
      <c r="B115" s="604" t="s">
        <v>465</v>
      </c>
      <c r="C115" s="602" t="s">
        <v>486</v>
      </c>
      <c r="D115" s="623" t="s">
        <v>497</v>
      </c>
    </row>
    <row r="116" spans="1:4" ht="15" thickBot="1">
      <c r="A116" s="616">
        <v>22</v>
      </c>
      <c r="B116" s="604" t="s">
        <v>465</v>
      </c>
      <c r="C116" s="602" t="s">
        <v>514</v>
      </c>
      <c r="D116" s="623" t="s">
        <v>497</v>
      </c>
    </row>
    <row r="117" spans="1:4" ht="15" thickBot="1">
      <c r="A117" s="616">
        <v>22</v>
      </c>
      <c r="B117" s="604" t="s">
        <v>465</v>
      </c>
      <c r="C117" s="602" t="s">
        <v>512</v>
      </c>
      <c r="D117" s="623" t="s">
        <v>497</v>
      </c>
    </row>
    <row r="118" spans="1:4" ht="15" thickBot="1">
      <c r="A118" s="616">
        <v>22</v>
      </c>
      <c r="B118" s="604" t="s">
        <v>465</v>
      </c>
      <c r="C118" s="600" t="s">
        <v>502</v>
      </c>
      <c r="D118" s="624" t="s">
        <v>497</v>
      </c>
    </row>
    <row r="119" spans="1:4" ht="15" thickBot="1">
      <c r="A119" s="614">
        <v>23</v>
      </c>
      <c r="B119" s="604" t="s">
        <v>466</v>
      </c>
      <c r="C119" s="603" t="s">
        <v>514</v>
      </c>
      <c r="D119" s="625" t="s">
        <v>499</v>
      </c>
    </row>
    <row r="120" spans="1:4" ht="15" thickBot="1">
      <c r="A120" s="614">
        <v>23</v>
      </c>
      <c r="B120" s="604" t="s">
        <v>466</v>
      </c>
      <c r="C120" s="602" t="s">
        <v>486</v>
      </c>
      <c r="D120" s="623" t="s">
        <v>499</v>
      </c>
    </row>
    <row r="121" spans="1:4" ht="15" thickBot="1">
      <c r="A121" s="614">
        <v>23</v>
      </c>
      <c r="B121" s="604" t="s">
        <v>466</v>
      </c>
      <c r="C121" s="602" t="s">
        <v>486</v>
      </c>
      <c r="D121" s="623" t="s">
        <v>497</v>
      </c>
    </row>
    <row r="122" spans="1:4" ht="15" thickBot="1">
      <c r="A122" s="614">
        <v>23</v>
      </c>
      <c r="B122" s="604" t="s">
        <v>466</v>
      </c>
      <c r="C122" s="602" t="s">
        <v>486</v>
      </c>
      <c r="D122" s="623" t="s">
        <v>498</v>
      </c>
    </row>
    <row r="123" spans="1:4" ht="15" thickBot="1">
      <c r="A123" s="614">
        <v>23</v>
      </c>
      <c r="B123" s="604" t="s">
        <v>466</v>
      </c>
      <c r="C123" s="600" t="s">
        <v>514</v>
      </c>
      <c r="D123" s="624" t="s">
        <v>497</v>
      </c>
    </row>
    <row r="124" spans="1:4" ht="15" thickBot="1">
      <c r="A124" s="617">
        <v>24</v>
      </c>
      <c r="B124" s="606" t="s">
        <v>467</v>
      </c>
      <c r="C124" s="605" t="s">
        <v>501</v>
      </c>
      <c r="D124" s="629" t="s">
        <v>498</v>
      </c>
    </row>
    <row r="125" spans="1:4" ht="15" thickBot="1">
      <c r="A125" s="614">
        <v>25</v>
      </c>
      <c r="B125" s="604" t="s">
        <v>468</v>
      </c>
      <c r="C125" s="603" t="s">
        <v>501</v>
      </c>
      <c r="D125" s="625" t="s">
        <v>499</v>
      </c>
    </row>
    <row r="126" spans="1:4" ht="15" thickBot="1">
      <c r="A126" s="614">
        <v>25</v>
      </c>
      <c r="B126" s="604" t="s">
        <v>468</v>
      </c>
      <c r="C126" s="602" t="s">
        <v>500</v>
      </c>
      <c r="D126" s="623" t="s">
        <v>499</v>
      </c>
    </row>
    <row r="127" spans="1:4" ht="15" thickBot="1">
      <c r="A127" s="614">
        <v>25</v>
      </c>
      <c r="B127" s="604" t="s">
        <v>468</v>
      </c>
      <c r="C127" s="602" t="s">
        <v>486</v>
      </c>
      <c r="D127" s="623" t="s">
        <v>498</v>
      </c>
    </row>
    <row r="128" spans="1:4" ht="15" thickBot="1">
      <c r="A128" s="614">
        <v>25</v>
      </c>
      <c r="B128" s="604" t="s">
        <v>468</v>
      </c>
      <c r="C128" s="602" t="s">
        <v>514</v>
      </c>
      <c r="D128" s="623" t="s">
        <v>499</v>
      </c>
    </row>
    <row r="129" spans="1:4" ht="15" thickBot="1">
      <c r="A129" s="614">
        <v>25</v>
      </c>
      <c r="B129" s="604" t="s">
        <v>468</v>
      </c>
      <c r="C129" s="602" t="s">
        <v>486</v>
      </c>
      <c r="D129" s="623" t="s">
        <v>499</v>
      </c>
    </row>
    <row r="130" spans="1:4" ht="15" thickBot="1">
      <c r="A130" s="614">
        <v>25</v>
      </c>
      <c r="B130" s="604" t="s">
        <v>468</v>
      </c>
      <c r="C130" s="600" t="s">
        <v>486</v>
      </c>
      <c r="D130" s="624" t="s">
        <v>497</v>
      </c>
    </row>
    <row r="131" spans="1:4" ht="15" thickBot="1">
      <c r="A131" s="614">
        <v>26</v>
      </c>
      <c r="B131" s="604" t="s">
        <v>469</v>
      </c>
      <c r="C131" s="603" t="s">
        <v>486</v>
      </c>
      <c r="D131" s="625" t="s">
        <v>498</v>
      </c>
    </row>
    <row r="132" spans="1:4" ht="15" thickBot="1">
      <c r="A132" s="614">
        <v>26</v>
      </c>
      <c r="B132" s="604" t="s">
        <v>469</v>
      </c>
      <c r="C132" s="600" t="s">
        <v>514</v>
      </c>
      <c r="D132" s="624" t="s">
        <v>499</v>
      </c>
    </row>
    <row r="133" spans="1:4" ht="15" thickBot="1">
      <c r="A133" s="614">
        <v>27</v>
      </c>
      <c r="B133" s="604" t="s">
        <v>470</v>
      </c>
      <c r="C133" s="603" t="s">
        <v>486</v>
      </c>
      <c r="D133" s="625" t="s">
        <v>499</v>
      </c>
    </row>
    <row r="134" spans="1:4" ht="15" thickBot="1">
      <c r="A134" s="614">
        <v>27</v>
      </c>
      <c r="B134" s="604" t="s">
        <v>470</v>
      </c>
      <c r="C134" s="602" t="s">
        <v>486</v>
      </c>
      <c r="D134" s="623" t="s">
        <v>498</v>
      </c>
    </row>
    <row r="135" spans="1:4" ht="15" thickBot="1">
      <c r="A135" s="614">
        <v>27</v>
      </c>
      <c r="B135" s="604" t="s">
        <v>470</v>
      </c>
      <c r="C135" s="602" t="s">
        <v>486</v>
      </c>
      <c r="D135" s="623" t="s">
        <v>497</v>
      </c>
    </row>
    <row r="136" spans="1:4" ht="15" thickBot="1">
      <c r="A136" s="614">
        <v>27</v>
      </c>
      <c r="B136" s="604" t="s">
        <v>470</v>
      </c>
      <c r="C136" s="600" t="s">
        <v>514</v>
      </c>
      <c r="D136" s="624" t="s">
        <v>497</v>
      </c>
    </row>
    <row r="137" spans="1:4" ht="15" thickBot="1">
      <c r="A137" s="614">
        <v>28</v>
      </c>
      <c r="B137" s="604" t="s">
        <v>471</v>
      </c>
      <c r="C137" s="603" t="s">
        <v>501</v>
      </c>
      <c r="D137" s="625" t="s">
        <v>499</v>
      </c>
    </row>
    <row r="138" spans="1:4" ht="15" thickBot="1">
      <c r="A138" s="614">
        <v>28</v>
      </c>
      <c r="B138" s="604" t="s">
        <v>471</v>
      </c>
      <c r="C138" s="602" t="s">
        <v>484</v>
      </c>
      <c r="D138" s="623" t="s">
        <v>498</v>
      </c>
    </row>
    <row r="139" spans="1:4" ht="15" thickBot="1">
      <c r="A139" s="614">
        <v>28</v>
      </c>
      <c r="B139" s="604" t="s">
        <v>471</v>
      </c>
      <c r="C139" s="602" t="s">
        <v>485</v>
      </c>
      <c r="D139" s="623" t="s">
        <v>498</v>
      </c>
    </row>
    <row r="140" spans="1:4" ht="15" thickBot="1">
      <c r="A140" s="614">
        <v>28</v>
      </c>
      <c r="B140" s="604" t="s">
        <v>471</v>
      </c>
      <c r="C140" s="600" t="s">
        <v>500</v>
      </c>
      <c r="D140" s="624" t="s">
        <v>499</v>
      </c>
    </row>
    <row r="141" spans="1:4" ht="15" thickBot="1">
      <c r="A141" s="614">
        <v>29</v>
      </c>
      <c r="B141" s="604" t="s">
        <v>488</v>
      </c>
      <c r="C141" s="603" t="s">
        <v>514</v>
      </c>
      <c r="D141" s="625" t="s">
        <v>499</v>
      </c>
    </row>
    <row r="142" spans="1:4" ht="15" thickBot="1">
      <c r="A142" s="614">
        <v>29</v>
      </c>
      <c r="B142" s="604" t="s">
        <v>488</v>
      </c>
      <c r="C142" s="602" t="s">
        <v>486</v>
      </c>
      <c r="D142" s="623" t="s">
        <v>498</v>
      </c>
    </row>
    <row r="143" spans="1:4" ht="15" thickBot="1">
      <c r="A143" s="614">
        <v>29</v>
      </c>
      <c r="B143" s="604" t="s">
        <v>488</v>
      </c>
      <c r="C143" s="602" t="s">
        <v>486</v>
      </c>
      <c r="D143" s="623" t="s">
        <v>497</v>
      </c>
    </row>
    <row r="144" spans="1:4" ht="15" thickBot="1">
      <c r="A144" s="614">
        <v>29</v>
      </c>
      <c r="B144" s="604" t="s">
        <v>488</v>
      </c>
      <c r="C144" s="602" t="s">
        <v>514</v>
      </c>
      <c r="D144" s="623" t="s">
        <v>497</v>
      </c>
    </row>
    <row r="145" spans="1:4" ht="15" thickBot="1">
      <c r="A145" s="614">
        <v>29</v>
      </c>
      <c r="B145" s="604" t="s">
        <v>488</v>
      </c>
      <c r="C145" s="602" t="s">
        <v>501</v>
      </c>
      <c r="D145" s="623" t="s">
        <v>497</v>
      </c>
    </row>
    <row r="146" spans="1:4" ht="15" thickBot="1">
      <c r="A146" s="614">
        <v>29</v>
      </c>
      <c r="B146" s="604" t="s">
        <v>488</v>
      </c>
      <c r="C146" s="600" t="s">
        <v>502</v>
      </c>
      <c r="D146" s="624" t="s">
        <v>497</v>
      </c>
    </row>
    <row r="147" spans="1:4" ht="15" thickBot="1">
      <c r="A147" s="614">
        <v>30</v>
      </c>
      <c r="B147" s="604" t="s">
        <v>487</v>
      </c>
      <c r="C147" s="603" t="s">
        <v>501</v>
      </c>
      <c r="D147" s="625" t="s">
        <v>499</v>
      </c>
    </row>
    <row r="148" spans="1:4" ht="15" thickBot="1">
      <c r="A148" s="614">
        <v>30</v>
      </c>
      <c r="B148" s="604" t="s">
        <v>487</v>
      </c>
      <c r="C148" s="602" t="s">
        <v>501</v>
      </c>
      <c r="D148" s="623" t="s">
        <v>498</v>
      </c>
    </row>
    <row r="149" spans="1:4" ht="15" thickBot="1">
      <c r="A149" s="614">
        <v>30</v>
      </c>
      <c r="B149" s="604" t="s">
        <v>487</v>
      </c>
      <c r="C149" s="602" t="s">
        <v>484</v>
      </c>
      <c r="D149" s="623" t="s">
        <v>498</v>
      </c>
    </row>
    <row r="150" spans="1:4" ht="15" thickBot="1">
      <c r="A150" s="614">
        <v>30</v>
      </c>
      <c r="B150" s="604" t="s">
        <v>487</v>
      </c>
      <c r="C150" s="602" t="s">
        <v>514</v>
      </c>
      <c r="D150" s="623" t="s">
        <v>499</v>
      </c>
    </row>
    <row r="151" spans="1:4" ht="15" thickBot="1">
      <c r="A151" s="614">
        <v>30</v>
      </c>
      <c r="B151" s="604" t="s">
        <v>487</v>
      </c>
      <c r="C151" s="602" t="s">
        <v>486</v>
      </c>
      <c r="D151" s="623" t="s">
        <v>498</v>
      </c>
    </row>
    <row r="152" spans="1:4" ht="15" thickBot="1">
      <c r="A152" s="614">
        <v>30</v>
      </c>
      <c r="B152" s="604" t="s">
        <v>487</v>
      </c>
      <c r="C152" s="602" t="s">
        <v>492</v>
      </c>
      <c r="D152" s="623" t="s">
        <v>497</v>
      </c>
    </row>
    <row r="153" spans="1:4" ht="15" thickBot="1">
      <c r="A153" s="614">
        <v>30</v>
      </c>
      <c r="B153" s="604" t="s">
        <v>487</v>
      </c>
      <c r="C153" s="600" t="s">
        <v>491</v>
      </c>
      <c r="D153" s="624" t="s">
        <v>497</v>
      </c>
    </row>
    <row r="154" spans="1:4" ht="15" thickBot="1">
      <c r="A154" s="614">
        <v>31</v>
      </c>
      <c r="B154" s="604" t="s">
        <v>482</v>
      </c>
      <c r="C154" s="603" t="s">
        <v>500</v>
      </c>
      <c r="D154" s="625" t="s">
        <v>499</v>
      </c>
    </row>
    <row r="155" spans="1:4" ht="15" thickBot="1">
      <c r="A155" s="614">
        <v>31</v>
      </c>
      <c r="B155" s="604" t="s">
        <v>482</v>
      </c>
      <c r="C155" s="602" t="s">
        <v>485</v>
      </c>
      <c r="D155" s="623" t="s">
        <v>498</v>
      </c>
    </row>
    <row r="156" spans="1:4" ht="15" thickBot="1">
      <c r="A156" s="614">
        <v>31</v>
      </c>
      <c r="B156" s="604" t="s">
        <v>482</v>
      </c>
      <c r="C156" s="602" t="s">
        <v>492</v>
      </c>
      <c r="D156" s="623" t="s">
        <v>497</v>
      </c>
    </row>
    <row r="157" spans="1:4" ht="15" thickBot="1">
      <c r="A157" s="614">
        <v>31</v>
      </c>
      <c r="B157" s="604" t="s">
        <v>482</v>
      </c>
      <c r="C157" s="600" t="s">
        <v>491</v>
      </c>
      <c r="D157" s="624" t="s">
        <v>497</v>
      </c>
    </row>
    <row r="158" spans="1:4">
      <c r="A158" s="596"/>
      <c r="B158" s="596"/>
      <c r="C158" s="596"/>
      <c r="D158" s="596"/>
    </row>
    <row r="159" spans="1:4">
      <c r="A159" s="596"/>
      <c r="B159" s="596"/>
      <c r="C159" s="596"/>
      <c r="D159" s="596"/>
    </row>
    <row r="160" spans="1:4">
      <c r="A160" s="597"/>
      <c r="B160" s="599"/>
      <c r="C160" s="596"/>
      <c r="D160" s="596"/>
    </row>
    <row r="161" spans="1:4">
      <c r="A161" s="597"/>
      <c r="B161" s="597"/>
      <c r="C161" s="596"/>
      <c r="D161" s="596"/>
    </row>
    <row r="162" spans="1:4">
      <c r="A162" s="597"/>
      <c r="B162" s="597"/>
      <c r="C162" s="596"/>
      <c r="D162" s="596"/>
    </row>
    <row r="163" spans="1:4">
      <c r="A163" s="597"/>
      <c r="B163" s="597"/>
      <c r="C163" s="596"/>
      <c r="D163" s="596"/>
    </row>
    <row r="164" spans="1:4">
      <c r="A164" s="597"/>
      <c r="B164" s="597"/>
      <c r="C164" s="596"/>
      <c r="D164" s="596"/>
    </row>
    <row r="165" spans="1:4">
      <c r="A165" s="597"/>
      <c r="B165" s="597"/>
      <c r="C165" s="596"/>
      <c r="D165" s="596"/>
    </row>
    <row r="166" spans="1:4">
      <c r="A166" s="596"/>
      <c r="B166" s="596"/>
      <c r="C166" s="596"/>
      <c r="D166" s="596"/>
    </row>
    <row r="167" spans="1:4">
      <c r="A167" s="596"/>
      <c r="B167" s="596"/>
      <c r="C167" s="596"/>
      <c r="D167" s="596"/>
    </row>
    <row r="168" spans="1:4">
      <c r="A168" s="596"/>
      <c r="B168" s="596"/>
      <c r="C168" s="596"/>
      <c r="D168" s="596"/>
    </row>
    <row r="169" spans="1:4">
      <c r="A169" s="596"/>
      <c r="B169" s="596"/>
      <c r="C169" s="596"/>
      <c r="D169" s="596"/>
    </row>
    <row r="170" spans="1:4">
      <c r="A170" s="596"/>
      <c r="B170" s="596"/>
      <c r="C170" s="596"/>
      <c r="D170" s="596"/>
    </row>
    <row r="171" spans="1:4">
      <c r="A171" s="596"/>
      <c r="B171" s="596"/>
      <c r="C171" s="596"/>
      <c r="D171" s="596"/>
    </row>
    <row r="172" spans="1:4">
      <c r="A172" s="596"/>
      <c r="B172" s="596"/>
      <c r="C172" s="596"/>
      <c r="D172" s="596"/>
    </row>
    <row r="173" spans="1:4">
      <c r="A173" s="596"/>
      <c r="B173" s="596"/>
      <c r="C173" s="596"/>
      <c r="D173" s="596"/>
    </row>
    <row r="174" spans="1:4">
      <c r="A174" s="596"/>
      <c r="B174" s="596"/>
      <c r="C174" s="596"/>
      <c r="D174" s="596"/>
    </row>
    <row r="175" spans="1:4">
      <c r="A175" s="596"/>
      <c r="B175" s="596"/>
      <c r="C175" s="596"/>
      <c r="D175" s="596"/>
    </row>
    <row r="176" spans="1:4">
      <c r="A176" s="596"/>
      <c r="B176" s="596"/>
      <c r="C176" s="596"/>
      <c r="D176" s="596"/>
    </row>
    <row r="177" spans="1:4">
      <c r="A177" s="596"/>
      <c r="B177" s="596"/>
      <c r="C177" s="596"/>
      <c r="D177" s="596"/>
    </row>
    <row r="178" spans="1:4">
      <c r="A178" s="596"/>
      <c r="B178" s="596"/>
      <c r="C178" s="596"/>
      <c r="D178" s="596"/>
    </row>
    <row r="179" spans="1:4">
      <c r="A179" s="596"/>
      <c r="B179" s="596"/>
      <c r="C179" s="596"/>
      <c r="D179" s="596"/>
    </row>
    <row r="180" spans="1:4">
      <c r="A180" s="596"/>
      <c r="B180" s="596"/>
      <c r="C180" s="596"/>
      <c r="D180" s="596"/>
    </row>
    <row r="181" spans="1:4">
      <c r="A181" s="596"/>
      <c r="B181" s="596"/>
      <c r="C181" s="596"/>
      <c r="D181" s="596"/>
    </row>
    <row r="182" spans="1:4">
      <c r="A182" s="596"/>
      <c r="B182" s="596"/>
      <c r="C182" s="596"/>
      <c r="D182" s="596"/>
    </row>
    <row r="183" spans="1:4">
      <c r="A183" s="596"/>
      <c r="B183" s="596"/>
      <c r="C183" s="596"/>
      <c r="D183" s="596"/>
    </row>
    <row r="184" spans="1:4">
      <c r="A184" s="596"/>
      <c r="B184" s="596"/>
      <c r="C184" s="596"/>
      <c r="D184" s="596"/>
    </row>
    <row r="185" spans="1:4">
      <c r="A185" s="596"/>
      <c r="B185" s="596"/>
      <c r="C185" s="596"/>
      <c r="D185" s="596"/>
    </row>
    <row r="186" spans="1:4">
      <c r="A186" s="596"/>
      <c r="B186" s="596"/>
      <c r="C186" s="596"/>
      <c r="D186" s="596"/>
    </row>
    <row r="187" spans="1:4">
      <c r="A187" s="596"/>
      <c r="B187" s="596"/>
      <c r="C187" s="596"/>
      <c r="D187" s="596"/>
    </row>
    <row r="188" spans="1:4">
      <c r="A188" s="596"/>
      <c r="B188" s="596"/>
      <c r="C188" s="596"/>
      <c r="D188" s="596"/>
    </row>
    <row r="189" spans="1:4">
      <c r="A189" s="596"/>
      <c r="B189" s="596"/>
      <c r="C189" s="596"/>
      <c r="D189" s="596"/>
    </row>
    <row r="190" spans="1:4">
      <c r="A190" s="596"/>
      <c r="B190" s="596"/>
      <c r="C190" s="596"/>
      <c r="D190" s="596"/>
    </row>
    <row r="191" spans="1:4">
      <c r="A191" s="596"/>
      <c r="B191" s="596"/>
      <c r="C191" s="596"/>
      <c r="D191" s="596"/>
    </row>
    <row r="192" spans="1:4">
      <c r="A192" s="596"/>
      <c r="B192" s="596"/>
      <c r="C192" s="596"/>
      <c r="D192" s="596"/>
    </row>
    <row r="193" spans="1:4">
      <c r="A193" s="596"/>
      <c r="B193" s="596"/>
      <c r="C193" s="596"/>
      <c r="D193" s="596"/>
    </row>
    <row r="194" spans="1:4">
      <c r="A194" s="596"/>
      <c r="B194" s="596"/>
      <c r="C194" s="596"/>
      <c r="D194" s="596"/>
    </row>
    <row r="195" spans="1:4">
      <c r="A195" s="596"/>
      <c r="B195" s="596"/>
      <c r="C195" s="596"/>
      <c r="D195" s="596"/>
    </row>
    <row r="196" spans="1:4">
      <c r="A196" s="596"/>
      <c r="B196" s="596"/>
      <c r="C196" s="596"/>
      <c r="D196" s="596"/>
    </row>
    <row r="197" spans="1:4">
      <c r="A197" s="596"/>
      <c r="B197" s="596"/>
      <c r="C197" s="596"/>
      <c r="D197" s="596"/>
    </row>
    <row r="198" spans="1:4">
      <c r="A198" s="596"/>
      <c r="B198" s="596"/>
      <c r="C198" s="596"/>
      <c r="D198" s="596"/>
    </row>
    <row r="199" spans="1:4">
      <c r="A199" s="596"/>
      <c r="B199" s="596"/>
      <c r="C199" s="596"/>
      <c r="D199" s="596"/>
    </row>
    <row r="200" spans="1:4">
      <c r="A200" s="596"/>
      <c r="B200" s="596"/>
      <c r="C200" s="596"/>
      <c r="D200" s="596"/>
    </row>
    <row r="201" spans="1:4">
      <c r="A201" s="596"/>
      <c r="B201" s="596"/>
      <c r="C201" s="596"/>
      <c r="D201" s="596"/>
    </row>
    <row r="202" spans="1:4">
      <c r="A202" s="596"/>
      <c r="B202" s="596"/>
      <c r="C202" s="596"/>
      <c r="D202" s="596"/>
    </row>
    <row r="203" spans="1:4">
      <c r="A203" s="596"/>
      <c r="B203" s="596"/>
      <c r="C203" s="596"/>
      <c r="D203" s="596"/>
    </row>
    <row r="204" spans="1:4">
      <c r="A204" s="596"/>
      <c r="B204" s="596"/>
      <c r="C204" s="596"/>
      <c r="D204" s="596"/>
    </row>
    <row r="205" spans="1:4">
      <c r="A205" s="596"/>
      <c r="B205" s="596"/>
      <c r="C205" s="596"/>
      <c r="D205" s="596"/>
    </row>
    <row r="206" spans="1:4">
      <c r="A206" s="596"/>
      <c r="B206" s="596"/>
      <c r="C206" s="596"/>
      <c r="D206" s="596"/>
    </row>
    <row r="207" spans="1:4">
      <c r="A207" s="596"/>
      <c r="B207" s="596"/>
      <c r="C207" s="596"/>
      <c r="D207" s="596"/>
    </row>
    <row r="208" spans="1:4">
      <c r="A208" s="596"/>
      <c r="B208" s="596"/>
      <c r="C208" s="596"/>
      <c r="D208" s="596"/>
    </row>
    <row r="209" spans="1:4">
      <c r="A209" s="596"/>
      <c r="B209" s="596"/>
      <c r="C209" s="596"/>
      <c r="D209" s="596"/>
    </row>
    <row r="210" spans="1:4">
      <c r="A210" s="596"/>
      <c r="B210" s="596"/>
      <c r="C210" s="596"/>
      <c r="D210" s="596"/>
    </row>
    <row r="211" spans="1:4">
      <c r="A211" s="596"/>
      <c r="B211" s="596"/>
      <c r="C211" s="596"/>
      <c r="D211" s="596"/>
    </row>
    <row r="212" spans="1:4">
      <c r="A212" s="596"/>
      <c r="B212" s="596"/>
      <c r="C212" s="596"/>
      <c r="D212" s="596"/>
    </row>
    <row r="213" spans="1:4">
      <c r="A213" s="596"/>
      <c r="B213" s="596"/>
      <c r="C213" s="596"/>
      <c r="D213" s="596"/>
    </row>
    <row r="214" spans="1:4">
      <c r="A214" s="596"/>
      <c r="B214" s="596"/>
      <c r="C214" s="596"/>
      <c r="D214" s="596"/>
    </row>
    <row r="215" spans="1:4">
      <c r="A215" s="596"/>
      <c r="B215" s="596"/>
      <c r="C215" s="596"/>
      <c r="D215" s="596"/>
    </row>
    <row r="216" spans="1:4">
      <c r="A216" s="596"/>
      <c r="B216" s="596"/>
      <c r="C216" s="596"/>
      <c r="D216" s="596"/>
    </row>
    <row r="217" spans="1:4">
      <c r="A217" s="596"/>
      <c r="B217" s="596"/>
      <c r="C217" s="596"/>
      <c r="D217" s="596"/>
    </row>
    <row r="218" spans="1:4">
      <c r="A218" s="596"/>
      <c r="B218" s="596"/>
      <c r="C218" s="596"/>
      <c r="D218" s="596"/>
    </row>
    <row r="219" spans="1:4">
      <c r="A219" s="596"/>
      <c r="B219" s="596"/>
      <c r="C219" s="596"/>
      <c r="D219" s="596"/>
    </row>
    <row r="220" spans="1:4">
      <c r="A220" s="596"/>
      <c r="B220" s="596"/>
      <c r="C220" s="596"/>
      <c r="D220" s="596"/>
    </row>
    <row r="221" spans="1:4">
      <c r="A221" s="596"/>
      <c r="B221" s="596"/>
      <c r="C221" s="596"/>
      <c r="D221" s="596"/>
    </row>
    <row r="222" spans="1:4">
      <c r="A222" s="596"/>
      <c r="B222" s="596"/>
      <c r="C222" s="596"/>
      <c r="D222" s="596"/>
    </row>
    <row r="223" spans="1:4">
      <c r="A223" s="596"/>
      <c r="B223" s="596"/>
      <c r="C223" s="596"/>
      <c r="D223" s="596"/>
    </row>
    <row r="224" spans="1:4">
      <c r="A224" s="596"/>
      <c r="B224" s="596"/>
      <c r="C224" s="596"/>
      <c r="D224" s="596"/>
    </row>
    <row r="225" spans="1:4">
      <c r="A225" s="596"/>
      <c r="B225" s="596"/>
      <c r="C225" s="596"/>
      <c r="D225" s="596"/>
    </row>
    <row r="226" spans="1:4">
      <c r="A226" s="596"/>
      <c r="B226" s="596"/>
      <c r="C226" s="596"/>
      <c r="D226" s="596"/>
    </row>
    <row r="227" spans="1:4">
      <c r="A227" s="596"/>
      <c r="B227" s="596"/>
      <c r="C227" s="596"/>
      <c r="D227" s="596"/>
    </row>
    <row r="228" spans="1:4">
      <c r="A228" s="596"/>
      <c r="B228" s="596"/>
      <c r="C228" s="596"/>
      <c r="D228" s="596"/>
    </row>
    <row r="229" spans="1:4">
      <c r="A229" s="596"/>
      <c r="B229" s="596"/>
      <c r="C229" s="596"/>
      <c r="D229" s="596"/>
    </row>
    <row r="230" spans="1:4">
      <c r="A230" s="596"/>
      <c r="B230" s="596"/>
      <c r="C230" s="596"/>
      <c r="D230" s="596"/>
    </row>
    <row r="231" spans="1:4">
      <c r="A231" s="596"/>
      <c r="B231" s="596"/>
      <c r="C231" s="596"/>
      <c r="D231" s="596"/>
    </row>
    <row r="232" spans="1:4">
      <c r="A232" s="596"/>
      <c r="B232" s="596"/>
      <c r="C232" s="596"/>
      <c r="D232" s="596"/>
    </row>
    <row r="233" spans="1:4">
      <c r="A233" s="596"/>
      <c r="B233" s="596"/>
      <c r="C233" s="596"/>
      <c r="D233" s="596"/>
    </row>
    <row r="234" spans="1:4">
      <c r="A234" s="596"/>
      <c r="B234" s="596"/>
      <c r="C234" s="596"/>
      <c r="D234" s="596"/>
    </row>
    <row r="235" spans="1:4">
      <c r="A235" s="596"/>
      <c r="B235" s="596"/>
      <c r="C235" s="596"/>
      <c r="D235" s="596"/>
    </row>
    <row r="236" spans="1:4">
      <c r="A236" s="596"/>
      <c r="B236" s="596"/>
      <c r="C236" s="596"/>
      <c r="D236" s="596"/>
    </row>
    <row r="237" spans="1:4">
      <c r="A237" s="596"/>
      <c r="B237" s="596"/>
      <c r="C237" s="596"/>
      <c r="D237" s="596"/>
    </row>
    <row r="238" spans="1:4">
      <c r="A238" s="596"/>
      <c r="B238" s="596"/>
      <c r="C238" s="596"/>
      <c r="D238" s="596"/>
    </row>
    <row r="239" spans="1:4">
      <c r="A239" s="596"/>
      <c r="B239" s="596"/>
      <c r="C239" s="596"/>
      <c r="D239" s="596"/>
    </row>
    <row r="240" spans="1:4">
      <c r="A240" s="596"/>
      <c r="B240" s="596"/>
      <c r="C240" s="596"/>
      <c r="D240" s="596"/>
    </row>
    <row r="241" spans="1:4">
      <c r="A241" s="596"/>
      <c r="B241" s="596"/>
      <c r="C241" s="596"/>
      <c r="D241" s="596"/>
    </row>
    <row r="242" spans="1:4">
      <c r="A242" s="596"/>
      <c r="B242" s="596"/>
      <c r="C242" s="596"/>
      <c r="D242" s="596"/>
    </row>
    <row r="243" spans="1:4">
      <c r="A243" s="596"/>
      <c r="B243" s="596"/>
      <c r="C243" s="596"/>
      <c r="D243" s="596"/>
    </row>
    <row r="244" spans="1:4">
      <c r="A244" s="596"/>
      <c r="B244" s="596"/>
      <c r="C244" s="596"/>
      <c r="D244" s="596"/>
    </row>
    <row r="245" spans="1:4">
      <c r="A245" s="596"/>
      <c r="B245" s="596"/>
      <c r="C245" s="596"/>
      <c r="D245" s="596"/>
    </row>
    <row r="246" spans="1:4">
      <c r="A246" s="596"/>
      <c r="B246" s="596"/>
      <c r="C246" s="596"/>
      <c r="D246" s="596"/>
    </row>
    <row r="247" spans="1:4">
      <c r="A247" s="596"/>
      <c r="B247" s="596"/>
      <c r="C247" s="596"/>
      <c r="D247" s="596"/>
    </row>
    <row r="248" spans="1:4">
      <c r="A248" s="596"/>
      <c r="B248" s="596"/>
      <c r="C248" s="596"/>
      <c r="D248" s="596"/>
    </row>
    <row r="249" spans="1:4">
      <c r="A249" s="596"/>
      <c r="B249" s="596"/>
      <c r="C249" s="596"/>
      <c r="D249" s="596"/>
    </row>
    <row r="250" spans="1:4">
      <c r="A250" s="596"/>
      <c r="B250" s="596"/>
      <c r="C250" s="596"/>
      <c r="D250" s="596"/>
    </row>
    <row r="251" spans="1:4">
      <c r="A251" s="596"/>
      <c r="B251" s="596"/>
      <c r="C251" s="596"/>
      <c r="D251" s="596"/>
    </row>
    <row r="252" spans="1:4">
      <c r="A252" s="596"/>
      <c r="B252" s="596"/>
      <c r="C252" s="596"/>
      <c r="D252" s="596"/>
    </row>
    <row r="253" spans="1:4">
      <c r="A253" s="596"/>
      <c r="B253" s="596"/>
      <c r="C253" s="596"/>
      <c r="D253" s="596"/>
    </row>
    <row r="254" spans="1:4">
      <c r="A254" s="596"/>
      <c r="B254" s="596"/>
      <c r="C254" s="596"/>
      <c r="D254" s="596"/>
    </row>
    <row r="255" spans="1:4">
      <c r="A255" s="596"/>
      <c r="B255" s="596"/>
      <c r="C255" s="596"/>
      <c r="D255" s="596"/>
    </row>
    <row r="256" spans="1:4">
      <c r="A256" s="596"/>
      <c r="B256" s="596"/>
      <c r="C256" s="596"/>
      <c r="D256" s="596"/>
    </row>
    <row r="257" spans="1:4">
      <c r="A257" s="596"/>
      <c r="B257" s="596"/>
      <c r="C257" s="596"/>
      <c r="D257" s="596"/>
    </row>
    <row r="258" spans="1:4">
      <c r="A258" s="596"/>
      <c r="B258" s="596"/>
      <c r="C258" s="596"/>
      <c r="D258" s="596"/>
    </row>
    <row r="259" spans="1:4">
      <c r="A259" s="596"/>
      <c r="B259" s="596"/>
      <c r="C259" s="596"/>
      <c r="D259" s="596"/>
    </row>
    <row r="260" spans="1:4">
      <c r="A260" s="596"/>
      <c r="B260" s="596"/>
      <c r="C260" s="596"/>
      <c r="D260" s="596"/>
    </row>
    <row r="261" spans="1:4">
      <c r="A261" s="596"/>
      <c r="B261" s="596"/>
      <c r="C261" s="596"/>
      <c r="D261" s="596"/>
    </row>
    <row r="262" spans="1:4">
      <c r="A262" s="596"/>
      <c r="B262" s="596"/>
      <c r="C262" s="596"/>
      <c r="D262" s="596"/>
    </row>
    <row r="263" spans="1:4">
      <c r="A263" s="596"/>
      <c r="B263" s="596"/>
      <c r="C263" s="596"/>
      <c r="D263" s="596"/>
    </row>
    <row r="264" spans="1:4">
      <c r="A264" s="596"/>
      <c r="B264" s="596"/>
      <c r="C264" s="596"/>
      <c r="D264" s="596"/>
    </row>
    <row r="265" spans="1:4">
      <c r="A265" s="596"/>
      <c r="B265" s="596"/>
      <c r="C265" s="596"/>
      <c r="D265" s="596"/>
    </row>
    <row r="266" spans="1:4">
      <c r="A266" s="596"/>
      <c r="B266" s="596"/>
      <c r="C266" s="596"/>
      <c r="D266" s="596"/>
    </row>
    <row r="267" spans="1:4">
      <c r="A267" s="596"/>
      <c r="B267" s="596"/>
      <c r="C267" s="596"/>
      <c r="D267" s="596"/>
    </row>
    <row r="268" spans="1:4">
      <c r="A268" s="596"/>
      <c r="B268" s="596"/>
      <c r="C268" s="596"/>
      <c r="D268" s="596"/>
    </row>
    <row r="269" spans="1:4">
      <c r="A269" s="596"/>
      <c r="B269" s="596"/>
      <c r="C269" s="596"/>
      <c r="D269" s="596"/>
    </row>
    <row r="270" spans="1:4">
      <c r="A270" s="596"/>
      <c r="B270" s="596"/>
      <c r="C270" s="596"/>
      <c r="D270" s="596"/>
    </row>
    <row r="271" spans="1:4">
      <c r="A271" s="596"/>
      <c r="B271" s="596"/>
      <c r="C271" s="596"/>
      <c r="D271" s="596"/>
    </row>
    <row r="272" spans="1:4">
      <c r="A272" s="596"/>
      <c r="B272" s="596"/>
      <c r="C272" s="596"/>
      <c r="D272" s="596"/>
    </row>
    <row r="273" spans="1:4">
      <c r="A273" s="596"/>
      <c r="B273" s="596"/>
      <c r="C273" s="596"/>
      <c r="D273" s="596"/>
    </row>
    <row r="274" spans="1:4">
      <c r="A274" s="596"/>
      <c r="B274" s="596"/>
      <c r="C274" s="596"/>
      <c r="D274" s="596"/>
    </row>
    <row r="275" spans="1:4">
      <c r="A275" s="596"/>
      <c r="B275" s="596"/>
      <c r="C275" s="596"/>
      <c r="D275" s="596"/>
    </row>
    <row r="276" spans="1:4">
      <c r="A276" s="596"/>
      <c r="B276" s="596"/>
      <c r="C276" s="596"/>
      <c r="D276" s="596"/>
    </row>
    <row r="277" spans="1:4">
      <c r="A277" s="596"/>
      <c r="B277" s="596"/>
      <c r="C277" s="596"/>
      <c r="D277" s="596"/>
    </row>
    <row r="278" spans="1:4">
      <c r="A278" s="596"/>
      <c r="B278" s="596"/>
      <c r="C278" s="596"/>
      <c r="D278" s="596"/>
    </row>
    <row r="279" spans="1:4">
      <c r="A279" s="596"/>
      <c r="B279" s="596"/>
      <c r="C279" s="596"/>
      <c r="D279" s="596"/>
    </row>
    <row r="280" spans="1:4">
      <c r="A280" s="596"/>
      <c r="B280" s="596"/>
      <c r="C280" s="596"/>
      <c r="D280" s="596"/>
    </row>
    <row r="281" spans="1:4">
      <c r="A281" s="596"/>
      <c r="B281" s="596"/>
      <c r="C281" s="596"/>
      <c r="D281" s="596"/>
    </row>
    <row r="282" spans="1:4">
      <c r="A282" s="596"/>
      <c r="B282" s="596"/>
      <c r="C282" s="596"/>
      <c r="D282" s="596"/>
    </row>
    <row r="283" spans="1:4">
      <c r="A283" s="596"/>
      <c r="B283" s="596"/>
      <c r="C283" s="596"/>
      <c r="D283" s="596"/>
    </row>
    <row r="284" spans="1:4">
      <c r="A284" s="596"/>
      <c r="B284" s="596"/>
      <c r="C284" s="596"/>
      <c r="D284" s="596"/>
    </row>
    <row r="285" spans="1:4">
      <c r="A285" s="596"/>
      <c r="B285" s="596"/>
      <c r="C285" s="596"/>
      <c r="D285" s="596"/>
    </row>
    <row r="286" spans="1:4">
      <c r="A286" s="596"/>
      <c r="B286" s="596"/>
      <c r="C286" s="596"/>
      <c r="D286" s="596"/>
    </row>
    <row r="287" spans="1:4">
      <c r="A287" s="596"/>
      <c r="B287" s="596"/>
      <c r="C287" s="596"/>
      <c r="D287" s="596"/>
    </row>
    <row r="288" spans="1:4">
      <c r="A288" s="596"/>
      <c r="B288" s="596"/>
      <c r="C288" s="596"/>
      <c r="D288" s="596"/>
    </row>
    <row r="289" spans="1:4">
      <c r="A289" s="596"/>
      <c r="B289" s="596"/>
      <c r="C289" s="596"/>
      <c r="D289" s="596"/>
    </row>
    <row r="290" spans="1:4">
      <c r="A290" s="596"/>
      <c r="B290" s="596"/>
      <c r="C290" s="596"/>
      <c r="D290" s="596"/>
    </row>
    <row r="291" spans="1:4">
      <c r="A291" s="596"/>
      <c r="B291" s="596"/>
      <c r="C291" s="596"/>
      <c r="D291" s="596"/>
    </row>
    <row r="292" spans="1:4">
      <c r="A292" s="596"/>
      <c r="B292" s="596"/>
      <c r="C292" s="596"/>
      <c r="D292" s="596"/>
    </row>
    <row r="293" spans="1:4">
      <c r="A293" s="598"/>
      <c r="B293" s="596"/>
      <c r="C293" s="596"/>
      <c r="D293" s="596"/>
    </row>
    <row r="294" spans="1:4">
      <c r="A294" s="598"/>
      <c r="B294" s="596"/>
      <c r="C294" s="596"/>
      <c r="D294" s="596"/>
    </row>
    <row r="295" spans="1:4">
      <c r="A295" s="598"/>
      <c r="B295" s="596"/>
      <c r="C295" s="596"/>
      <c r="D295" s="596"/>
    </row>
    <row r="296" spans="1:4">
      <c r="A296" s="596"/>
      <c r="B296" s="596"/>
      <c r="C296" s="596"/>
      <c r="D296" s="596"/>
    </row>
    <row r="297" spans="1:4">
      <c r="A297" s="596"/>
      <c r="B297" s="596"/>
      <c r="C297" s="596"/>
      <c r="D297" s="596"/>
    </row>
    <row r="298" spans="1:4">
      <c r="A298" s="596"/>
      <c r="B298" s="596"/>
      <c r="C298" s="596"/>
      <c r="D298" s="596"/>
    </row>
    <row r="299" spans="1:4">
      <c r="A299" s="596"/>
      <c r="B299" s="596"/>
      <c r="C299" s="596"/>
      <c r="D299" s="596"/>
    </row>
    <row r="300" spans="1:4">
      <c r="A300" s="596"/>
      <c r="B300" s="596"/>
      <c r="C300" s="596"/>
      <c r="D300" s="596"/>
    </row>
    <row r="301" spans="1:4">
      <c r="A301" s="596"/>
      <c r="B301" s="596"/>
      <c r="C301" s="596"/>
      <c r="D301" s="596"/>
    </row>
    <row r="302" spans="1:4">
      <c r="A302" s="596"/>
      <c r="B302" s="596"/>
      <c r="C302" s="596"/>
      <c r="D302" s="596"/>
    </row>
    <row r="303" spans="1:4">
      <c r="A303" s="596"/>
      <c r="B303" s="596"/>
      <c r="C303" s="596"/>
      <c r="D303" s="596"/>
    </row>
    <row r="304" spans="1:4">
      <c r="A304" s="596"/>
      <c r="B304" s="596"/>
      <c r="C304" s="596"/>
      <c r="D304" s="596"/>
    </row>
    <row r="305" spans="1:4">
      <c r="A305" s="596"/>
      <c r="B305" s="596"/>
      <c r="C305" s="596"/>
      <c r="D305" s="596"/>
    </row>
    <row r="306" spans="1:4">
      <c r="A306" s="596"/>
      <c r="B306" s="596"/>
      <c r="C306" s="596"/>
      <c r="D306" s="596"/>
    </row>
    <row r="307" spans="1:4">
      <c r="A307" s="596"/>
      <c r="B307" s="596"/>
      <c r="C307" s="596"/>
      <c r="D307" s="596"/>
    </row>
    <row r="308" spans="1:4">
      <c r="A308" s="596"/>
      <c r="B308" s="596"/>
      <c r="C308" s="596"/>
      <c r="D308" s="596"/>
    </row>
    <row r="309" spans="1:4">
      <c r="A309" s="596"/>
      <c r="B309" s="596"/>
      <c r="C309" s="596"/>
      <c r="D309" s="596"/>
    </row>
    <row r="310" spans="1:4">
      <c r="A310" s="596"/>
      <c r="B310" s="596"/>
      <c r="C310" s="596"/>
      <c r="D310" s="596"/>
    </row>
    <row r="311" spans="1:4">
      <c r="A311" s="596"/>
      <c r="B311" s="596"/>
      <c r="C311" s="596"/>
      <c r="D311" s="596"/>
    </row>
    <row r="312" spans="1:4">
      <c r="A312" s="596"/>
      <c r="B312" s="596"/>
      <c r="C312" s="596"/>
      <c r="D312" s="596"/>
    </row>
    <row r="313" spans="1:4">
      <c r="A313" s="596"/>
      <c r="B313" s="596"/>
      <c r="C313" s="596"/>
      <c r="D313" s="596"/>
    </row>
    <row r="314" spans="1:4">
      <c r="A314" s="596"/>
      <c r="B314" s="596"/>
      <c r="C314" s="596"/>
      <c r="D314" s="596"/>
    </row>
    <row r="315" spans="1:4">
      <c r="A315" s="596"/>
      <c r="B315" s="596"/>
      <c r="C315" s="596"/>
      <c r="D315" s="596"/>
    </row>
    <row r="316" spans="1:4">
      <c r="A316" s="596"/>
      <c r="B316" s="596"/>
      <c r="C316" s="596"/>
      <c r="D316" s="596"/>
    </row>
    <row r="317" spans="1:4">
      <c r="A317" s="596"/>
      <c r="B317" s="596"/>
      <c r="C317" s="596"/>
      <c r="D317" s="596"/>
    </row>
    <row r="318" spans="1:4">
      <c r="A318" s="596"/>
      <c r="B318" s="596"/>
      <c r="C318" s="596"/>
      <c r="D318" s="596"/>
    </row>
    <row r="319" spans="1:4">
      <c r="A319" s="596"/>
      <c r="B319" s="596"/>
      <c r="C319" s="596"/>
      <c r="D319" s="596"/>
    </row>
    <row r="320" spans="1:4">
      <c r="A320" s="596"/>
      <c r="B320" s="596"/>
      <c r="C320" s="596"/>
      <c r="D320" s="596"/>
    </row>
    <row r="321" spans="1:4">
      <c r="A321" s="596"/>
      <c r="B321" s="596"/>
      <c r="C321" s="596"/>
      <c r="D321" s="596"/>
    </row>
    <row r="322" spans="1:4">
      <c r="A322" s="596"/>
      <c r="B322" s="596"/>
      <c r="C322" s="596"/>
      <c r="D322" s="596"/>
    </row>
    <row r="323" spans="1:4">
      <c r="A323" s="596"/>
      <c r="B323" s="596"/>
      <c r="C323" s="596"/>
      <c r="D323" s="596"/>
    </row>
    <row r="324" spans="1:4">
      <c r="A324" s="596"/>
      <c r="B324" s="596"/>
      <c r="C324" s="596"/>
      <c r="D324" s="596"/>
    </row>
    <row r="325" spans="1:4">
      <c r="A325" s="596"/>
      <c r="B325" s="596"/>
      <c r="C325" s="596"/>
      <c r="D325" s="596"/>
    </row>
    <row r="326" spans="1:4">
      <c r="A326" s="596"/>
      <c r="B326" s="596"/>
      <c r="C326" s="596"/>
      <c r="D326" s="596"/>
    </row>
    <row r="327" spans="1:4">
      <c r="A327" s="596"/>
      <c r="B327" s="596"/>
      <c r="C327" s="596"/>
      <c r="D327" s="596"/>
    </row>
    <row r="328" spans="1:4">
      <c r="A328" s="596"/>
      <c r="B328" s="596"/>
      <c r="C328" s="596"/>
      <c r="D328" s="596"/>
    </row>
    <row r="329" spans="1:4">
      <c r="A329" s="596"/>
      <c r="B329" s="596"/>
      <c r="C329" s="596"/>
      <c r="D329" s="596"/>
    </row>
    <row r="330" spans="1:4">
      <c r="A330" s="596"/>
      <c r="B330" s="596"/>
      <c r="C330" s="596"/>
      <c r="D330" s="596"/>
    </row>
    <row r="331" spans="1:4">
      <c r="A331" s="596"/>
      <c r="B331" s="596"/>
      <c r="C331" s="596"/>
      <c r="D331" s="596"/>
    </row>
    <row r="332" spans="1:4">
      <c r="A332" s="596"/>
      <c r="B332" s="596"/>
      <c r="C332" s="596"/>
      <c r="D332" s="596"/>
    </row>
    <row r="333" spans="1:4">
      <c r="A333" s="596"/>
      <c r="B333" s="596"/>
      <c r="C333" s="596"/>
      <c r="D333" s="596"/>
    </row>
    <row r="334" spans="1:4">
      <c r="A334" s="596"/>
      <c r="B334" s="596"/>
      <c r="C334" s="596"/>
      <c r="D334" s="596"/>
    </row>
    <row r="335" spans="1:4">
      <c r="A335" s="596"/>
      <c r="B335" s="596"/>
      <c r="C335" s="596"/>
      <c r="D335" s="596"/>
    </row>
    <row r="336" spans="1:4">
      <c r="A336" s="596"/>
      <c r="B336" s="596"/>
      <c r="C336" s="596"/>
      <c r="D336" s="596"/>
    </row>
    <row r="337" spans="1:4">
      <c r="A337" s="596"/>
      <c r="B337" s="596"/>
      <c r="C337" s="596"/>
      <c r="D337" s="596"/>
    </row>
    <row r="338" spans="1:4">
      <c r="A338" s="596"/>
      <c r="B338" s="596"/>
      <c r="C338" s="596"/>
      <c r="D338" s="596"/>
    </row>
    <row r="339" spans="1:4">
      <c r="A339" s="596"/>
      <c r="B339" s="596"/>
      <c r="C339" s="596"/>
      <c r="D339" s="596"/>
    </row>
    <row r="340" spans="1:4">
      <c r="A340" s="596"/>
      <c r="B340" s="596"/>
      <c r="C340" s="596"/>
      <c r="D340" s="596"/>
    </row>
    <row r="341" spans="1:4">
      <c r="A341" s="596"/>
      <c r="B341" s="596"/>
      <c r="C341" s="596"/>
      <c r="D341" s="596"/>
    </row>
    <row r="342" spans="1:4">
      <c r="A342" s="596"/>
      <c r="B342" s="596"/>
      <c r="C342" s="596"/>
      <c r="D342" s="596"/>
    </row>
    <row r="343" spans="1:4">
      <c r="A343" s="596"/>
      <c r="B343" s="596"/>
      <c r="C343" s="596"/>
      <c r="D343" s="596"/>
    </row>
    <row r="344" spans="1:4">
      <c r="A344" s="596"/>
      <c r="B344" s="596"/>
      <c r="C344" s="596"/>
      <c r="D344" s="596"/>
    </row>
    <row r="345" spans="1:4">
      <c r="A345" s="596"/>
      <c r="B345" s="596"/>
      <c r="C345" s="596"/>
      <c r="D345" s="596"/>
    </row>
    <row r="346" spans="1:4">
      <c r="A346" s="596"/>
      <c r="B346" s="596"/>
      <c r="C346" s="596"/>
      <c r="D346" s="596"/>
    </row>
    <row r="347" spans="1:4">
      <c r="A347" s="596"/>
      <c r="B347" s="596"/>
      <c r="C347" s="596"/>
      <c r="D347" s="596"/>
    </row>
    <row r="348" spans="1:4">
      <c r="A348" s="596"/>
      <c r="B348" s="596"/>
      <c r="C348" s="596"/>
      <c r="D348" s="596"/>
    </row>
    <row r="349" spans="1:4">
      <c r="A349" s="596"/>
      <c r="B349" s="596"/>
      <c r="C349" s="596"/>
      <c r="D349" s="596"/>
    </row>
    <row r="350" spans="1:4">
      <c r="A350" s="596"/>
      <c r="B350" s="596"/>
      <c r="C350" s="596"/>
      <c r="D350" s="596"/>
    </row>
    <row r="351" spans="1:4">
      <c r="A351" s="596"/>
      <c r="B351" s="596"/>
      <c r="C351" s="596"/>
      <c r="D351" s="596"/>
    </row>
    <row r="352" spans="1:4">
      <c r="A352" s="597"/>
      <c r="B352" s="596"/>
      <c r="C352" s="596"/>
      <c r="D352" s="596"/>
    </row>
    <row r="353" spans="1:4">
      <c r="A353" s="597"/>
      <c r="B353" s="596"/>
      <c r="C353" s="596"/>
      <c r="D353" s="596"/>
    </row>
    <row r="354" spans="1:4">
      <c r="A354" s="597"/>
      <c r="B354" s="596"/>
      <c r="C354" s="596"/>
      <c r="D354" s="596"/>
    </row>
    <row r="355" spans="1:4">
      <c r="A355" s="597"/>
      <c r="B355" s="596"/>
      <c r="C355" s="596"/>
      <c r="D355" s="596"/>
    </row>
    <row r="356" spans="1:4">
      <c r="A356" s="597"/>
      <c r="B356" s="596"/>
      <c r="C356" s="596"/>
      <c r="D356" s="596"/>
    </row>
    <row r="357" spans="1:4">
      <c r="A357" s="597"/>
      <c r="B357" s="596"/>
      <c r="C357" s="596"/>
      <c r="D357" s="596"/>
    </row>
    <row r="358" spans="1:4">
      <c r="A358" s="597"/>
      <c r="B358" s="596"/>
      <c r="C358" s="596"/>
      <c r="D358" s="596"/>
    </row>
    <row r="359" spans="1:4">
      <c r="A359" s="597"/>
      <c r="B359" s="596"/>
      <c r="C359" s="596"/>
      <c r="D359" s="596"/>
    </row>
    <row r="360" spans="1:4">
      <c r="A360" s="597"/>
      <c r="B360" s="596"/>
      <c r="C360" s="596"/>
      <c r="D360" s="596"/>
    </row>
    <row r="361" spans="1:4">
      <c r="A361" s="597"/>
      <c r="B361" s="596"/>
      <c r="C361" s="596"/>
      <c r="D361" s="596"/>
    </row>
    <row r="362" spans="1:4">
      <c r="A362" s="597"/>
      <c r="B362" s="596"/>
      <c r="C362" s="596"/>
      <c r="D362" s="596"/>
    </row>
    <row r="363" spans="1:4">
      <c r="A363" s="597"/>
      <c r="B363" s="596"/>
      <c r="C363" s="596"/>
      <c r="D363" s="596"/>
    </row>
    <row r="364" spans="1:4">
      <c r="A364" s="597"/>
      <c r="B364" s="596"/>
      <c r="C364" s="596"/>
      <c r="D364" s="596"/>
    </row>
    <row r="365" spans="1:4">
      <c r="A365" s="597"/>
      <c r="B365" s="596"/>
      <c r="C365" s="596"/>
      <c r="D365" s="596"/>
    </row>
    <row r="366" spans="1:4">
      <c r="A366" s="597"/>
      <c r="B366" s="596"/>
      <c r="C366" s="596"/>
      <c r="D366" s="596"/>
    </row>
    <row r="367" spans="1:4">
      <c r="A367" s="598" t="s">
        <v>496</v>
      </c>
      <c r="B367" s="596"/>
      <c r="C367" s="596"/>
      <c r="D367" s="596"/>
    </row>
    <row r="368" spans="1:4">
      <c r="A368" s="598"/>
      <c r="B368" s="596"/>
      <c r="C368" s="596"/>
      <c r="D368" s="596"/>
    </row>
    <row r="369" spans="1:4">
      <c r="A369" s="597"/>
      <c r="B369" s="596"/>
      <c r="C369" s="596"/>
      <c r="D369" s="596"/>
    </row>
    <row r="370" spans="1:4">
      <c r="A370" s="597"/>
      <c r="B370" s="596"/>
      <c r="C370" s="596"/>
      <c r="D370" s="596"/>
    </row>
    <row r="371" spans="1:4">
      <c r="A371" s="597"/>
      <c r="B371" s="596"/>
      <c r="C371" s="596"/>
      <c r="D371" s="596"/>
    </row>
    <row r="372" spans="1:4">
      <c r="A372" s="597"/>
      <c r="B372" s="596"/>
      <c r="C372" s="596"/>
      <c r="D372" s="596"/>
    </row>
    <row r="373" spans="1:4">
      <c r="A373" s="597"/>
      <c r="B373" s="596"/>
      <c r="C373" s="596"/>
      <c r="D373" s="596"/>
    </row>
    <row r="374" spans="1:4">
      <c r="A374" s="597"/>
      <c r="B374" s="596"/>
      <c r="C374" s="596"/>
      <c r="D374" s="596"/>
    </row>
    <row r="375" spans="1:4">
      <c r="A375" s="597"/>
      <c r="B375" s="596"/>
      <c r="C375" s="596"/>
      <c r="D375" s="596"/>
    </row>
    <row r="376" spans="1:4">
      <c r="A376" s="597"/>
      <c r="B376" s="596"/>
      <c r="C376" s="596"/>
      <c r="D376" s="596"/>
    </row>
    <row r="377" spans="1:4">
      <c r="A377" s="597"/>
      <c r="B377" s="596"/>
      <c r="C377" s="596"/>
      <c r="D377" s="596"/>
    </row>
    <row r="378" spans="1:4">
      <c r="A378" s="596"/>
      <c r="B378" s="596"/>
      <c r="C378" s="596"/>
      <c r="D378" s="596"/>
    </row>
    <row r="379" spans="1:4">
      <c r="A379" s="596"/>
      <c r="B379" s="596"/>
      <c r="C379" s="596"/>
      <c r="D379" s="596"/>
    </row>
    <row r="380" spans="1:4">
      <c r="A380" s="596"/>
      <c r="B380" s="596"/>
      <c r="C380" s="596"/>
      <c r="D380" s="596"/>
    </row>
    <row r="381" spans="1:4">
      <c r="A381" s="597" t="s">
        <v>495</v>
      </c>
      <c r="B381" s="596"/>
      <c r="C381" s="596"/>
      <c r="D381" s="596"/>
    </row>
    <row r="382" spans="1:4">
      <c r="A382" s="596"/>
      <c r="B382" s="596"/>
      <c r="C382" s="596"/>
      <c r="D382" s="596"/>
    </row>
    <row r="383" spans="1:4">
      <c r="A383" s="596"/>
      <c r="B383" s="596"/>
      <c r="C383" s="596"/>
      <c r="D383" s="596"/>
    </row>
    <row r="384" spans="1:4">
      <c r="A384" s="596"/>
      <c r="B384" s="596"/>
      <c r="C384" s="596"/>
      <c r="D384" s="596"/>
    </row>
    <row r="385" spans="1:4">
      <c r="A385" s="596"/>
      <c r="B385" s="596"/>
      <c r="C385" s="596"/>
      <c r="D385" s="596"/>
    </row>
    <row r="386" spans="1:4">
      <c r="A386" s="597"/>
      <c r="B386" s="596"/>
      <c r="C386" s="596"/>
      <c r="D386" s="596"/>
    </row>
    <row r="387" spans="1:4">
      <c r="A387" s="597"/>
      <c r="B387" s="596"/>
      <c r="C387" s="596"/>
      <c r="D387" s="596"/>
    </row>
    <row r="388" spans="1:4">
      <c r="A388" s="597"/>
      <c r="B388" s="596"/>
      <c r="C388" s="596"/>
      <c r="D388" s="596"/>
    </row>
    <row r="389" spans="1:4">
      <c r="A389" s="597"/>
      <c r="B389" s="596"/>
      <c r="C389" s="596"/>
      <c r="D389" s="596"/>
    </row>
    <row r="390" spans="1:4">
      <c r="A390" s="597"/>
      <c r="B390" s="596"/>
      <c r="C390" s="596"/>
      <c r="D390" s="596"/>
    </row>
    <row r="391" spans="1:4">
      <c r="A391" s="597"/>
      <c r="B391" s="596"/>
      <c r="C391" s="596"/>
      <c r="D391" s="596"/>
    </row>
    <row r="392" spans="1:4">
      <c r="A392" s="597"/>
      <c r="B392" s="596"/>
      <c r="C392" s="596"/>
      <c r="D392" s="596"/>
    </row>
    <row r="393" spans="1:4">
      <c r="A393" s="597"/>
      <c r="B393" s="596"/>
      <c r="C393" s="596"/>
      <c r="D393" s="596"/>
    </row>
    <row r="394" spans="1:4">
      <c r="A394" s="597"/>
      <c r="B394" s="596"/>
      <c r="C394" s="596"/>
      <c r="D394" s="596"/>
    </row>
    <row r="395" spans="1:4">
      <c r="A395" s="596"/>
      <c r="B395" s="596"/>
      <c r="C395" s="596"/>
      <c r="D395" s="596"/>
    </row>
    <row r="396" spans="1:4">
      <c r="A396" s="598"/>
      <c r="B396" s="598"/>
      <c r="C396" s="596"/>
      <c r="D396" s="596"/>
    </row>
    <row r="397" spans="1:4">
      <c r="A397" s="598" t="s">
        <v>496</v>
      </c>
      <c r="B397" s="598"/>
      <c r="C397" s="596"/>
      <c r="D397" s="596"/>
    </row>
    <row r="398" spans="1:4">
      <c r="A398" s="596"/>
      <c r="B398" s="596"/>
      <c r="C398" s="596"/>
      <c r="D398" s="596"/>
    </row>
    <row r="399" spans="1:4">
      <c r="A399" s="596"/>
      <c r="B399" s="596"/>
      <c r="C399" s="596"/>
      <c r="D399" s="596"/>
    </row>
    <row r="400" spans="1:4">
      <c r="A400" s="596"/>
      <c r="B400" s="596"/>
      <c r="C400" s="596"/>
      <c r="D400" s="596"/>
    </row>
    <row r="401" spans="1:4">
      <c r="A401" s="596"/>
      <c r="B401" s="596"/>
      <c r="C401" s="596"/>
      <c r="D401" s="596"/>
    </row>
    <row r="402" spans="1:4">
      <c r="A402" s="596"/>
      <c r="B402" s="596"/>
      <c r="C402" s="596"/>
      <c r="D402" s="596"/>
    </row>
    <row r="403" spans="1:4">
      <c r="A403" s="596"/>
      <c r="B403" s="596"/>
      <c r="C403" s="596"/>
      <c r="D403" s="596"/>
    </row>
    <row r="404" spans="1:4">
      <c r="A404" s="596"/>
      <c r="B404" s="596"/>
      <c r="C404" s="596"/>
      <c r="D404" s="596"/>
    </row>
    <row r="405" spans="1:4">
      <c r="A405" s="596"/>
      <c r="B405" s="596"/>
      <c r="C405" s="596"/>
      <c r="D405" s="596"/>
    </row>
    <row r="406" spans="1:4">
      <c r="A406" s="596"/>
      <c r="B406" s="596"/>
      <c r="C406" s="596"/>
      <c r="D406" s="596"/>
    </row>
    <row r="407" spans="1:4">
      <c r="A407" s="596"/>
      <c r="B407" s="596"/>
      <c r="C407" s="596"/>
      <c r="D407" s="596"/>
    </row>
    <row r="408" spans="1:4">
      <c r="A408" s="596"/>
      <c r="B408" s="596"/>
      <c r="C408" s="596"/>
      <c r="D408" s="596"/>
    </row>
    <row r="409" spans="1:4">
      <c r="A409" s="596"/>
      <c r="B409" s="596"/>
      <c r="C409" s="596"/>
      <c r="D409" s="596"/>
    </row>
    <row r="410" spans="1:4">
      <c r="A410" s="596"/>
      <c r="B410" s="596"/>
      <c r="C410" s="596"/>
      <c r="D410" s="596"/>
    </row>
    <row r="411" spans="1:4">
      <c r="A411" s="596"/>
      <c r="B411" s="596"/>
      <c r="C411" s="596"/>
      <c r="D411" s="596"/>
    </row>
    <row r="412" spans="1:4">
      <c r="A412" s="596"/>
      <c r="B412" s="596"/>
      <c r="C412" s="596"/>
      <c r="D412" s="596"/>
    </row>
    <row r="413" spans="1:4">
      <c r="A413" s="596"/>
      <c r="B413" s="596"/>
      <c r="C413" s="596"/>
      <c r="D413" s="596"/>
    </row>
    <row r="414" spans="1:4">
      <c r="A414" s="596"/>
      <c r="B414" s="596"/>
      <c r="C414" s="596"/>
      <c r="D414" s="596"/>
    </row>
    <row r="415" spans="1:4">
      <c r="A415" s="596"/>
      <c r="B415" s="596"/>
      <c r="C415" s="596"/>
      <c r="D415" s="596"/>
    </row>
    <row r="416" spans="1:4">
      <c r="A416" s="596"/>
      <c r="B416" s="596"/>
      <c r="C416" s="596"/>
      <c r="D416" s="596"/>
    </row>
    <row r="417" spans="1:4">
      <c r="A417" s="596"/>
      <c r="B417" s="596"/>
      <c r="C417" s="596"/>
      <c r="D417" s="596"/>
    </row>
    <row r="418" spans="1:4">
      <c r="A418" s="596"/>
      <c r="B418" s="596"/>
      <c r="C418" s="596"/>
      <c r="D418" s="596"/>
    </row>
    <row r="419" spans="1:4">
      <c r="A419" s="596"/>
      <c r="B419" s="596"/>
      <c r="C419" s="596"/>
      <c r="D419" s="596"/>
    </row>
    <row r="420" spans="1:4">
      <c r="A420" s="596"/>
      <c r="B420" s="596"/>
      <c r="C420" s="596"/>
      <c r="D420" s="596"/>
    </row>
    <row r="421" spans="1:4">
      <c r="A421" s="596"/>
      <c r="B421" s="596"/>
      <c r="C421" s="596"/>
      <c r="D421" s="596"/>
    </row>
    <row r="422" spans="1:4">
      <c r="A422" s="596"/>
      <c r="B422" s="596"/>
      <c r="C422" s="596"/>
      <c r="D422" s="596"/>
    </row>
    <row r="423" spans="1:4">
      <c r="A423" s="597" t="s">
        <v>495</v>
      </c>
      <c r="B423" s="596"/>
      <c r="C423" s="596"/>
      <c r="D423" s="596"/>
    </row>
    <row r="424" spans="1:4">
      <c r="A424" s="596"/>
      <c r="B424" s="596"/>
      <c r="C424" s="596"/>
      <c r="D424" s="596"/>
    </row>
    <row r="425" spans="1:4">
      <c r="A425" s="596"/>
      <c r="B425" s="596"/>
      <c r="C425" s="596"/>
      <c r="D425" s="596"/>
    </row>
    <row r="426" spans="1:4">
      <c r="A426" s="596"/>
      <c r="B426" s="596"/>
      <c r="C426" s="596"/>
      <c r="D426" s="596"/>
    </row>
    <row r="427" spans="1:4">
      <c r="A427" s="596"/>
      <c r="B427" s="596"/>
      <c r="C427" s="596"/>
      <c r="D427" s="596"/>
    </row>
    <row r="428" spans="1:4">
      <c r="A428" s="596"/>
      <c r="B428" s="596"/>
      <c r="C428" s="596"/>
      <c r="D428" s="596"/>
    </row>
    <row r="429" spans="1:4">
      <c r="A429" s="596"/>
      <c r="B429" s="596"/>
      <c r="C429" s="596"/>
      <c r="D429" s="596"/>
    </row>
    <row r="430" spans="1:4">
      <c r="A430" s="596"/>
      <c r="B430" s="596"/>
      <c r="C430" s="596"/>
      <c r="D430" s="596"/>
    </row>
    <row r="431" spans="1:4">
      <c r="A431" s="597"/>
      <c r="B431" s="596"/>
      <c r="C431" s="596"/>
      <c r="D431" s="596"/>
    </row>
    <row r="432" spans="1:4">
      <c r="A432" s="597"/>
      <c r="B432" s="596"/>
      <c r="C432" s="596"/>
      <c r="D432" s="596"/>
    </row>
    <row r="433" spans="1:4">
      <c r="A433" s="597"/>
      <c r="B433" s="596"/>
      <c r="C433" s="596"/>
      <c r="D433" s="596"/>
    </row>
    <row r="434" spans="1:4">
      <c r="A434" s="597"/>
      <c r="B434" s="596"/>
      <c r="C434" s="596"/>
      <c r="D434" s="596"/>
    </row>
    <row r="435" spans="1:4">
      <c r="A435" s="597"/>
      <c r="B435" s="596"/>
      <c r="C435" s="596"/>
      <c r="D435" s="596"/>
    </row>
    <row r="436" spans="1:4">
      <c r="A436" s="597"/>
      <c r="B436" s="596"/>
      <c r="C436" s="596"/>
      <c r="D436" s="596"/>
    </row>
    <row r="437" spans="1:4">
      <c r="A437" s="598"/>
      <c r="B437" s="596"/>
      <c r="C437" s="596"/>
      <c r="D437" s="596"/>
    </row>
    <row r="438" spans="1:4">
      <c r="A438" s="598"/>
      <c r="B438" s="596"/>
      <c r="C438" s="596"/>
      <c r="D438" s="596"/>
    </row>
    <row r="439" spans="1:4">
      <c r="A439" s="598"/>
      <c r="B439" s="596"/>
      <c r="C439" s="596"/>
      <c r="D439" s="596"/>
    </row>
    <row r="440" spans="1:4">
      <c r="A440" s="598"/>
      <c r="B440" s="596"/>
      <c r="C440" s="596"/>
      <c r="D440" s="596"/>
    </row>
    <row r="441" spans="1:4">
      <c r="A441" s="598"/>
      <c r="B441" s="596"/>
      <c r="C441" s="596"/>
      <c r="D441" s="596"/>
    </row>
    <row r="442" spans="1:4">
      <c r="A442" s="598"/>
      <c r="B442" s="596"/>
      <c r="C442" s="596"/>
      <c r="D442" s="596"/>
    </row>
    <row r="443" spans="1:4">
      <c r="A443" s="597"/>
      <c r="B443" s="596"/>
      <c r="C443" s="596"/>
      <c r="D443" s="596"/>
    </row>
    <row r="444" spans="1:4">
      <c r="A444" s="597"/>
      <c r="B444" s="596"/>
      <c r="C444" s="596"/>
      <c r="D444" s="596"/>
    </row>
    <row r="445" spans="1:4">
      <c r="A445" s="597"/>
      <c r="B445" s="596"/>
      <c r="C445" s="596"/>
      <c r="D445" s="596"/>
    </row>
    <row r="446" spans="1:4">
      <c r="A446" s="597"/>
      <c r="B446" s="596"/>
      <c r="C446" s="596"/>
      <c r="D446" s="596"/>
    </row>
    <row r="447" spans="1:4">
      <c r="A447" s="597"/>
      <c r="B447" s="596"/>
      <c r="C447" s="596"/>
      <c r="D447" s="596"/>
    </row>
    <row r="448" spans="1:4">
      <c r="A448" s="597"/>
      <c r="B448" s="596"/>
      <c r="C448" s="596"/>
      <c r="D448" s="596"/>
    </row>
    <row r="449" spans="1:4">
      <c r="A449" s="597"/>
      <c r="B449" s="596"/>
      <c r="C449" s="596"/>
      <c r="D449" s="596"/>
    </row>
    <row r="450" spans="1:4">
      <c r="A450" s="597"/>
      <c r="B450" s="596"/>
      <c r="C450" s="596"/>
      <c r="D450" s="596"/>
    </row>
    <row r="451" spans="1:4">
      <c r="A451" s="597"/>
      <c r="B451" s="596"/>
      <c r="C451" s="596"/>
      <c r="D451" s="596"/>
    </row>
    <row r="452" spans="1:4">
      <c r="A452" s="597"/>
      <c r="B452" s="596"/>
      <c r="C452" s="596"/>
      <c r="D452" s="596"/>
    </row>
    <row r="453" spans="1:4">
      <c r="A453" s="597"/>
      <c r="B453" s="596"/>
      <c r="C453" s="596"/>
      <c r="D453" s="596"/>
    </row>
    <row r="454" spans="1:4">
      <c r="A454" s="597"/>
      <c r="B454" s="596"/>
      <c r="C454" s="596"/>
      <c r="D454" s="596"/>
    </row>
    <row r="455" spans="1:4">
      <c r="A455" s="597"/>
      <c r="B455" s="596"/>
      <c r="C455" s="596"/>
      <c r="D455" s="596"/>
    </row>
    <row r="456" spans="1:4">
      <c r="A456" s="597"/>
      <c r="B456" s="596"/>
      <c r="C456" s="596"/>
      <c r="D456" s="596"/>
    </row>
    <row r="457" spans="1:4">
      <c r="A457" s="597"/>
      <c r="B457" s="596"/>
      <c r="C457" s="596"/>
      <c r="D457" s="596"/>
    </row>
    <row r="458" spans="1:4">
      <c r="A458" s="597"/>
      <c r="B458" s="596"/>
      <c r="C458" s="596"/>
      <c r="D458" s="596"/>
    </row>
    <row r="459" spans="1:4">
      <c r="A459" s="597"/>
      <c r="B459" s="596"/>
      <c r="C459" s="596"/>
      <c r="D459" s="596"/>
    </row>
    <row r="460" spans="1:4">
      <c r="A460" s="597"/>
      <c r="B460" s="596"/>
      <c r="C460" s="596"/>
      <c r="D460" s="596"/>
    </row>
    <row r="461" spans="1:4">
      <c r="A461" s="597"/>
      <c r="B461" s="596"/>
      <c r="C461" s="596"/>
      <c r="D461" s="596"/>
    </row>
    <row r="462" spans="1:4">
      <c r="A462" s="597"/>
      <c r="B462" s="596"/>
      <c r="C462" s="596"/>
      <c r="D462" s="596"/>
    </row>
    <row r="463" spans="1:4">
      <c r="A463" s="597"/>
      <c r="B463" s="596"/>
      <c r="C463" s="596"/>
      <c r="D463" s="596"/>
    </row>
    <row r="464" spans="1:4">
      <c r="A464" s="596"/>
      <c r="B464" s="596"/>
      <c r="C464" s="596"/>
      <c r="D464" s="596"/>
    </row>
    <row r="465" spans="1:4">
      <c r="A465" s="596"/>
      <c r="B465" s="596"/>
      <c r="C465" s="596"/>
      <c r="D465" s="596"/>
    </row>
    <row r="466" spans="1:4">
      <c r="A466" s="596"/>
      <c r="B466" s="596"/>
      <c r="C466" s="596"/>
      <c r="D466" s="596"/>
    </row>
    <row r="467" spans="1:4">
      <c r="A467" s="596"/>
      <c r="B467" s="596"/>
      <c r="C467" s="596"/>
      <c r="D467" s="596"/>
    </row>
    <row r="468" spans="1:4">
      <c r="A468" s="596"/>
      <c r="B468" s="596"/>
      <c r="C468" s="596"/>
      <c r="D468" s="596"/>
    </row>
    <row r="469" spans="1:4">
      <c r="A469" s="596"/>
      <c r="B469" s="596"/>
      <c r="C469" s="596"/>
      <c r="D469" s="596"/>
    </row>
    <row r="470" spans="1:4">
      <c r="A470" s="596"/>
      <c r="B470" s="596"/>
      <c r="C470" s="596"/>
      <c r="D470" s="596"/>
    </row>
    <row r="471" spans="1:4">
      <c r="A471" s="596"/>
      <c r="B471" s="596"/>
      <c r="C471" s="596"/>
      <c r="D471" s="596"/>
    </row>
    <row r="472" spans="1:4">
      <c r="A472" s="596"/>
      <c r="B472" s="596"/>
      <c r="C472" s="596"/>
      <c r="D472" s="596"/>
    </row>
    <row r="473" spans="1:4">
      <c r="A473" s="596"/>
      <c r="B473" s="596"/>
      <c r="C473" s="596"/>
      <c r="D473" s="596"/>
    </row>
    <row r="474" spans="1:4">
      <c r="A474" s="596"/>
      <c r="B474" s="596"/>
      <c r="C474" s="596"/>
      <c r="D474" s="596"/>
    </row>
    <row r="475" spans="1:4">
      <c r="A475" s="596"/>
      <c r="B475" s="596"/>
      <c r="C475" s="596"/>
      <c r="D475" s="596"/>
    </row>
    <row r="476" spans="1:4">
      <c r="A476" s="596"/>
      <c r="B476" s="596"/>
      <c r="C476" s="596"/>
      <c r="D476" s="596"/>
    </row>
    <row r="477" spans="1:4">
      <c r="A477" s="596"/>
      <c r="B477" s="596"/>
      <c r="C477" s="596"/>
      <c r="D477" s="596"/>
    </row>
    <row r="478" spans="1:4">
      <c r="A478" s="596"/>
      <c r="B478" s="596"/>
      <c r="C478" s="596"/>
      <c r="D478" s="596"/>
    </row>
    <row r="479" spans="1:4">
      <c r="A479" s="596"/>
      <c r="B479" s="596"/>
      <c r="C479" s="596"/>
      <c r="D479" s="596"/>
    </row>
    <row r="480" spans="1:4">
      <c r="A480" s="596"/>
      <c r="B480" s="596"/>
      <c r="C480" s="596"/>
      <c r="D480" s="596"/>
    </row>
    <row r="481" spans="1:4">
      <c r="A481" s="596"/>
      <c r="B481" s="596"/>
      <c r="C481" s="596"/>
      <c r="D481" s="596"/>
    </row>
    <row r="482" spans="1:4">
      <c r="A482" s="596"/>
      <c r="B482" s="596"/>
      <c r="C482" s="596"/>
      <c r="D482" s="596"/>
    </row>
    <row r="483" spans="1:4">
      <c r="A483" s="596"/>
      <c r="B483" s="596"/>
      <c r="C483" s="596"/>
      <c r="D483" s="596"/>
    </row>
    <row r="484" spans="1:4">
      <c r="A484" s="596"/>
      <c r="B484" s="596"/>
      <c r="C484" s="596"/>
      <c r="D484" s="596"/>
    </row>
    <row r="485" spans="1:4">
      <c r="A485" s="596"/>
      <c r="B485" s="596"/>
      <c r="C485" s="596"/>
      <c r="D485" s="596"/>
    </row>
    <row r="486" spans="1:4">
      <c r="A486" s="596"/>
      <c r="B486" s="596"/>
      <c r="C486" s="596"/>
      <c r="D486" s="596"/>
    </row>
    <row r="487" spans="1:4">
      <c r="A487" s="596"/>
      <c r="B487" s="596"/>
      <c r="C487" s="596"/>
      <c r="D487" s="596"/>
    </row>
    <row r="488" spans="1:4">
      <c r="A488" s="596"/>
      <c r="B488" s="596"/>
      <c r="C488" s="596"/>
      <c r="D488" s="596"/>
    </row>
    <row r="489" spans="1:4">
      <c r="A489" s="596"/>
      <c r="B489" s="596"/>
      <c r="C489" s="596"/>
      <c r="D489" s="596"/>
    </row>
    <row r="490" spans="1:4">
      <c r="A490" s="596"/>
      <c r="B490" s="596"/>
      <c r="C490" s="596"/>
      <c r="D490" s="596"/>
    </row>
    <row r="491" spans="1:4">
      <c r="A491" s="596"/>
      <c r="B491" s="596"/>
      <c r="C491" s="596"/>
      <c r="D491" s="596"/>
    </row>
    <row r="492" spans="1:4">
      <c r="A492" s="596"/>
      <c r="B492" s="596"/>
      <c r="C492" s="596"/>
      <c r="D492" s="596"/>
    </row>
    <row r="493" spans="1:4">
      <c r="A493" s="596"/>
      <c r="B493" s="596"/>
      <c r="C493" s="596"/>
      <c r="D493" s="596"/>
    </row>
    <row r="494" spans="1:4">
      <c r="A494" s="596"/>
      <c r="B494" s="596"/>
      <c r="C494" s="596"/>
      <c r="D494" s="596"/>
    </row>
    <row r="495" spans="1:4">
      <c r="A495" s="596"/>
      <c r="B495" s="596"/>
      <c r="C495" s="596"/>
      <c r="D495" s="596"/>
    </row>
    <row r="496" spans="1:4">
      <c r="A496" s="596"/>
      <c r="B496" s="596"/>
      <c r="C496" s="596"/>
      <c r="D496" s="596"/>
    </row>
    <row r="497" spans="1:4">
      <c r="A497" s="596"/>
      <c r="B497" s="596"/>
      <c r="C497" s="596"/>
      <c r="D497" s="596"/>
    </row>
    <row r="498" spans="1:4">
      <c r="A498" s="596"/>
      <c r="B498" s="596"/>
      <c r="C498" s="596"/>
      <c r="D498" s="596"/>
    </row>
    <row r="499" spans="1:4">
      <c r="A499" s="596"/>
      <c r="B499" s="596"/>
      <c r="C499" s="596"/>
      <c r="D499" s="596"/>
    </row>
    <row r="500" spans="1:4">
      <c r="A500" s="596"/>
      <c r="B500" s="596"/>
      <c r="C500" s="596"/>
      <c r="D500" s="596"/>
    </row>
    <row r="501" spans="1:4">
      <c r="A501" s="596"/>
      <c r="B501" s="596"/>
      <c r="C501" s="596"/>
      <c r="D501" s="596"/>
    </row>
    <row r="502" spans="1:4">
      <c r="A502" s="598"/>
      <c r="B502" s="598"/>
      <c r="C502" s="596"/>
      <c r="D502" s="596"/>
    </row>
    <row r="503" spans="1:4">
      <c r="A503" s="596"/>
      <c r="B503" s="596"/>
      <c r="C503" s="596"/>
      <c r="D503" s="596"/>
    </row>
    <row r="504" spans="1:4">
      <c r="A504" s="596"/>
      <c r="B504" s="596"/>
      <c r="C504" s="596"/>
      <c r="D504" s="596"/>
    </row>
    <row r="505" spans="1:4">
      <c r="A505" s="596"/>
      <c r="B505" s="596"/>
      <c r="C505" s="596"/>
      <c r="D505" s="596"/>
    </row>
    <row r="506" spans="1:4">
      <c r="A506" s="596"/>
      <c r="B506" s="596"/>
      <c r="C506" s="596"/>
      <c r="D506" s="596"/>
    </row>
    <row r="507" spans="1:4">
      <c r="A507" s="596"/>
      <c r="B507" s="596"/>
      <c r="C507" s="596"/>
      <c r="D507" s="596"/>
    </row>
    <row r="508" spans="1:4">
      <c r="A508" s="596"/>
      <c r="B508" s="596"/>
      <c r="C508" s="596"/>
      <c r="D508" s="596"/>
    </row>
    <row r="509" spans="1:4">
      <c r="A509" s="596"/>
      <c r="B509" s="596"/>
      <c r="C509" s="596"/>
      <c r="D509" s="596"/>
    </row>
    <row r="510" spans="1:4">
      <c r="A510" s="596"/>
      <c r="B510" s="596"/>
      <c r="C510" s="596"/>
      <c r="D510" s="596"/>
    </row>
    <row r="511" spans="1:4">
      <c r="A511" s="596"/>
      <c r="B511" s="596"/>
      <c r="C511" s="596"/>
      <c r="D511" s="596"/>
    </row>
    <row r="512" spans="1:4">
      <c r="A512" s="596"/>
      <c r="B512" s="596"/>
      <c r="C512" s="596"/>
      <c r="D512" s="596"/>
    </row>
    <row r="513" spans="1:4">
      <c r="A513" s="596"/>
      <c r="B513" s="596"/>
      <c r="C513" s="596"/>
      <c r="D513" s="596"/>
    </row>
    <row r="514" spans="1:4">
      <c r="A514" s="596"/>
      <c r="B514" s="596"/>
      <c r="C514" s="596"/>
      <c r="D514" s="596"/>
    </row>
    <row r="515" spans="1:4">
      <c r="A515" s="596"/>
      <c r="B515" s="596"/>
      <c r="C515" s="596"/>
      <c r="D515" s="596"/>
    </row>
    <row r="516" spans="1:4">
      <c r="A516" s="596"/>
      <c r="B516" s="596"/>
      <c r="C516" s="596"/>
      <c r="D516" s="596"/>
    </row>
    <row r="517" spans="1:4">
      <c r="A517" s="596"/>
      <c r="B517" s="596"/>
      <c r="C517" s="596"/>
      <c r="D517" s="596"/>
    </row>
    <row r="518" spans="1:4">
      <c r="A518" s="596"/>
      <c r="B518" s="596"/>
      <c r="C518" s="596"/>
      <c r="D518" s="596"/>
    </row>
    <row r="519" spans="1:4">
      <c r="A519" s="596"/>
      <c r="B519" s="596"/>
      <c r="C519" s="596"/>
      <c r="D519" s="596"/>
    </row>
    <row r="520" spans="1:4">
      <c r="A520" s="596"/>
      <c r="B520" s="596"/>
      <c r="C520" s="596"/>
      <c r="D520" s="596"/>
    </row>
    <row r="521" spans="1:4">
      <c r="A521" s="596"/>
      <c r="B521" s="596"/>
      <c r="C521" s="596"/>
      <c r="D521" s="596"/>
    </row>
    <row r="522" spans="1:4">
      <c r="A522" s="596"/>
      <c r="B522" s="596"/>
      <c r="C522" s="596"/>
      <c r="D522" s="596"/>
    </row>
    <row r="523" spans="1:4">
      <c r="A523" s="596"/>
      <c r="B523" s="596"/>
      <c r="C523" s="596"/>
      <c r="D523" s="596"/>
    </row>
    <row r="524" spans="1:4">
      <c r="A524" s="596"/>
      <c r="B524" s="596"/>
      <c r="C524" s="596"/>
      <c r="D524" s="596"/>
    </row>
    <row r="525" spans="1:4">
      <c r="A525" s="596"/>
      <c r="B525" s="596"/>
      <c r="C525" s="596"/>
      <c r="D525" s="596"/>
    </row>
    <row r="526" spans="1:4">
      <c r="A526" s="596"/>
      <c r="B526" s="596"/>
      <c r="C526" s="596"/>
      <c r="D526" s="596"/>
    </row>
    <row r="527" spans="1:4">
      <c r="A527" s="596"/>
      <c r="B527" s="596"/>
      <c r="C527" s="596"/>
      <c r="D527" s="596"/>
    </row>
    <row r="528" spans="1:4">
      <c r="A528" s="596"/>
      <c r="B528" s="596"/>
      <c r="C528" s="596"/>
      <c r="D528" s="596"/>
    </row>
    <row r="529" spans="1:4">
      <c r="A529" s="596"/>
      <c r="B529" s="596"/>
      <c r="C529" s="596"/>
      <c r="D529" s="596"/>
    </row>
    <row r="530" spans="1:4">
      <c r="A530" s="596"/>
      <c r="B530" s="596"/>
      <c r="C530" s="596"/>
      <c r="D530" s="596"/>
    </row>
    <row r="531" spans="1:4">
      <c r="A531" s="596"/>
      <c r="B531" s="596"/>
      <c r="C531" s="596"/>
      <c r="D531" s="596"/>
    </row>
    <row r="532" spans="1:4">
      <c r="A532" s="596"/>
      <c r="B532" s="596"/>
      <c r="C532" s="596"/>
      <c r="D532" s="596"/>
    </row>
    <row r="533" spans="1:4">
      <c r="A533" s="596"/>
      <c r="B533" s="596"/>
      <c r="C533" s="596"/>
      <c r="D533" s="596"/>
    </row>
    <row r="534" spans="1:4">
      <c r="A534" s="596"/>
      <c r="B534" s="596"/>
      <c r="C534" s="596"/>
      <c r="D534" s="596"/>
    </row>
    <row r="535" spans="1:4">
      <c r="A535" s="596"/>
      <c r="B535" s="596"/>
      <c r="C535" s="596"/>
      <c r="D535" s="596"/>
    </row>
    <row r="536" spans="1:4">
      <c r="A536" s="596"/>
      <c r="B536" s="596"/>
      <c r="C536" s="596"/>
      <c r="D536" s="596"/>
    </row>
    <row r="537" spans="1:4">
      <c r="A537" s="596"/>
      <c r="B537" s="596"/>
      <c r="C537" s="596"/>
      <c r="D537" s="596"/>
    </row>
    <row r="538" spans="1:4">
      <c r="A538" s="596"/>
      <c r="B538" s="596"/>
      <c r="C538" s="596"/>
      <c r="D538" s="596"/>
    </row>
    <row r="539" spans="1:4">
      <c r="A539" s="596"/>
      <c r="B539" s="596"/>
      <c r="C539" s="596"/>
      <c r="D539" s="596"/>
    </row>
    <row r="540" spans="1:4">
      <c r="A540" s="596"/>
      <c r="B540" s="596"/>
      <c r="C540" s="596"/>
      <c r="D540" s="596"/>
    </row>
    <row r="541" spans="1:4">
      <c r="A541" s="596"/>
      <c r="B541" s="596"/>
      <c r="C541" s="596"/>
      <c r="D541" s="596"/>
    </row>
    <row r="542" spans="1:4">
      <c r="A542" s="596"/>
      <c r="B542" s="596"/>
      <c r="C542" s="596"/>
      <c r="D542" s="596"/>
    </row>
    <row r="543" spans="1:4">
      <c r="A543" s="596"/>
      <c r="B543" s="596"/>
      <c r="C543" s="596"/>
      <c r="D543" s="596"/>
    </row>
    <row r="544" spans="1:4">
      <c r="A544" s="596"/>
      <c r="B544" s="596"/>
      <c r="C544" s="596"/>
      <c r="D544" s="596"/>
    </row>
    <row r="545" spans="1:4">
      <c r="A545" s="596"/>
      <c r="B545" s="596"/>
      <c r="C545" s="596"/>
      <c r="D545" s="596"/>
    </row>
    <row r="546" spans="1:4">
      <c r="A546" s="596"/>
      <c r="B546" s="596"/>
      <c r="C546" s="596"/>
      <c r="D546" s="596"/>
    </row>
    <row r="547" spans="1:4">
      <c r="A547" s="596"/>
      <c r="B547" s="596"/>
      <c r="C547" s="596"/>
      <c r="D547" s="596"/>
    </row>
    <row r="548" spans="1:4">
      <c r="A548" s="596"/>
      <c r="B548" s="596"/>
      <c r="C548" s="596"/>
      <c r="D548" s="596"/>
    </row>
    <row r="549" spans="1:4">
      <c r="A549" s="596"/>
      <c r="B549" s="596"/>
      <c r="C549" s="596"/>
      <c r="D549" s="596"/>
    </row>
    <row r="550" spans="1:4">
      <c r="A550" s="596"/>
      <c r="B550" s="596"/>
      <c r="C550" s="596"/>
      <c r="D550" s="596"/>
    </row>
    <row r="551" spans="1:4">
      <c r="A551" s="596"/>
      <c r="B551" s="596"/>
      <c r="C551" s="596"/>
      <c r="D551" s="596"/>
    </row>
    <row r="552" spans="1:4">
      <c r="A552" s="596"/>
      <c r="B552" s="596"/>
      <c r="C552" s="596"/>
      <c r="D552" s="596"/>
    </row>
    <row r="553" spans="1:4">
      <c r="A553" s="596"/>
      <c r="B553" s="596"/>
      <c r="C553" s="596"/>
      <c r="D553" s="596"/>
    </row>
    <row r="554" spans="1:4">
      <c r="A554" s="596"/>
      <c r="B554" s="596"/>
      <c r="C554" s="596"/>
      <c r="D554" s="596"/>
    </row>
    <row r="555" spans="1:4">
      <c r="A555" s="596"/>
      <c r="B555" s="596"/>
      <c r="C555" s="596"/>
      <c r="D555" s="596"/>
    </row>
    <row r="556" spans="1:4">
      <c r="A556" s="596"/>
      <c r="B556" s="596"/>
      <c r="C556" s="596"/>
      <c r="D556" s="596"/>
    </row>
    <row r="557" spans="1:4">
      <c r="A557" s="596"/>
      <c r="B557" s="596"/>
      <c r="C557" s="596"/>
      <c r="D557" s="596"/>
    </row>
    <row r="558" spans="1:4">
      <c r="A558" s="596"/>
      <c r="B558" s="596"/>
      <c r="C558" s="596"/>
      <c r="D558" s="596"/>
    </row>
    <row r="559" spans="1:4">
      <c r="A559" s="596"/>
      <c r="B559" s="596"/>
      <c r="C559" s="596"/>
      <c r="D559" s="596"/>
    </row>
    <row r="560" spans="1:4">
      <c r="A560" s="596"/>
      <c r="B560" s="596"/>
      <c r="C560" s="596"/>
      <c r="D560" s="596"/>
    </row>
    <row r="561" spans="1:4">
      <c r="A561" s="596"/>
      <c r="B561" s="596"/>
      <c r="C561" s="596"/>
      <c r="D561" s="596"/>
    </row>
    <row r="562" spans="1:4">
      <c r="A562" s="596"/>
      <c r="B562" s="596"/>
      <c r="C562" s="596"/>
      <c r="D562" s="596"/>
    </row>
    <row r="563" spans="1:4">
      <c r="A563" s="596"/>
      <c r="B563" s="596"/>
      <c r="C563" s="596"/>
      <c r="D563" s="596"/>
    </row>
    <row r="564" spans="1:4">
      <c r="A564" s="598"/>
      <c r="B564" s="596"/>
      <c r="C564" s="596"/>
      <c r="D564" s="596"/>
    </row>
    <row r="565" spans="1:4">
      <c r="A565" s="598"/>
      <c r="B565" s="596"/>
      <c r="C565" s="596"/>
      <c r="D565" s="596"/>
    </row>
    <row r="566" spans="1:4">
      <c r="A566" s="598"/>
      <c r="B566" s="596"/>
      <c r="C566" s="596"/>
      <c r="D566" s="596"/>
    </row>
    <row r="567" spans="1:4">
      <c r="A567" s="596"/>
      <c r="B567" s="596"/>
      <c r="C567" s="596"/>
      <c r="D567" s="596"/>
    </row>
    <row r="568" spans="1:4">
      <c r="A568" s="596"/>
      <c r="B568" s="596"/>
      <c r="C568" s="596"/>
      <c r="D568" s="596"/>
    </row>
    <row r="569" spans="1:4">
      <c r="A569" s="596"/>
      <c r="B569" s="596"/>
      <c r="C569" s="596"/>
      <c r="D569" s="596"/>
    </row>
    <row r="570" spans="1:4">
      <c r="A570" s="596"/>
      <c r="B570" s="596"/>
      <c r="C570" s="596"/>
      <c r="D570" s="596"/>
    </row>
    <row r="571" spans="1:4">
      <c r="A571" s="596"/>
      <c r="B571" s="596"/>
      <c r="C571" s="596"/>
      <c r="D571" s="596"/>
    </row>
    <row r="572" spans="1:4">
      <c r="A572" s="596"/>
      <c r="B572" s="596"/>
      <c r="C572" s="596"/>
      <c r="D572" s="596"/>
    </row>
    <row r="573" spans="1:4">
      <c r="A573" s="596"/>
      <c r="B573" s="596"/>
      <c r="C573" s="596"/>
      <c r="D573" s="596"/>
    </row>
    <row r="574" spans="1:4">
      <c r="A574" s="596"/>
      <c r="B574" s="596"/>
      <c r="C574" s="596"/>
      <c r="D574" s="596"/>
    </row>
    <row r="575" spans="1:4">
      <c r="A575" s="596"/>
      <c r="B575" s="596"/>
      <c r="C575" s="596"/>
      <c r="D575" s="596"/>
    </row>
    <row r="576" spans="1:4">
      <c r="A576" s="596"/>
      <c r="B576" s="596"/>
      <c r="C576" s="596"/>
      <c r="D576" s="596"/>
    </row>
    <row r="577" spans="1:4">
      <c r="A577" s="596"/>
      <c r="B577" s="596"/>
      <c r="C577" s="596"/>
      <c r="D577" s="596"/>
    </row>
    <row r="578" spans="1:4">
      <c r="A578" s="596"/>
      <c r="B578" s="596"/>
      <c r="C578" s="596"/>
      <c r="D578" s="596"/>
    </row>
    <row r="579" spans="1:4">
      <c r="A579" s="596"/>
      <c r="B579" s="596"/>
      <c r="C579" s="596"/>
      <c r="D579" s="596"/>
    </row>
    <row r="580" spans="1:4">
      <c r="A580" s="596"/>
      <c r="B580" s="596"/>
      <c r="C580" s="596"/>
      <c r="D580" s="596"/>
    </row>
    <row r="581" spans="1:4">
      <c r="A581" s="597"/>
      <c r="B581" s="596"/>
      <c r="C581" s="596"/>
      <c r="D581" s="596"/>
    </row>
    <row r="582" spans="1:4">
      <c r="A582" s="597"/>
      <c r="B582" s="596"/>
      <c r="C582" s="596"/>
      <c r="D582" s="596"/>
    </row>
    <row r="583" spans="1:4">
      <c r="A583" s="597"/>
      <c r="B583" s="596"/>
      <c r="C583" s="596"/>
      <c r="D583" s="596"/>
    </row>
    <row r="584" spans="1:4">
      <c r="A584" s="597"/>
      <c r="B584" s="596"/>
      <c r="C584" s="596"/>
      <c r="D584" s="596"/>
    </row>
    <row r="585" spans="1:4">
      <c r="A585" s="596"/>
      <c r="B585" s="596"/>
      <c r="C585" s="596"/>
      <c r="D585" s="596"/>
    </row>
    <row r="586" spans="1:4">
      <c r="A586" s="596"/>
      <c r="B586" s="596"/>
      <c r="C586" s="596"/>
      <c r="D586" s="596"/>
    </row>
    <row r="587" spans="1:4">
      <c r="A587" s="596"/>
      <c r="B587" s="596"/>
      <c r="C587" s="596"/>
      <c r="D587" s="596"/>
    </row>
    <row r="588" spans="1:4">
      <c r="A588" s="596"/>
      <c r="B588" s="596"/>
      <c r="C588" s="596"/>
      <c r="D588" s="596"/>
    </row>
    <row r="589" spans="1:4">
      <c r="A589" s="596"/>
      <c r="B589" s="596"/>
      <c r="C589" s="596"/>
      <c r="D589" s="596"/>
    </row>
    <row r="590" spans="1:4">
      <c r="A590" s="596"/>
      <c r="B590" s="596"/>
      <c r="C590" s="596"/>
      <c r="D590" s="596"/>
    </row>
    <row r="591" spans="1:4">
      <c r="A591" s="596"/>
      <c r="B591" s="596"/>
      <c r="C591" s="596"/>
      <c r="D591" s="596"/>
    </row>
    <row r="592" spans="1:4">
      <c r="A592" s="596"/>
      <c r="B592" s="596"/>
      <c r="C592" s="596"/>
      <c r="D592" s="596"/>
    </row>
    <row r="593" spans="1:4">
      <c r="A593" s="596"/>
      <c r="B593" s="596"/>
      <c r="C593" s="596"/>
      <c r="D593" s="596"/>
    </row>
    <row r="594" spans="1:4">
      <c r="A594" s="596"/>
      <c r="B594" s="596"/>
      <c r="C594" s="596"/>
      <c r="D594" s="596"/>
    </row>
    <row r="595" spans="1:4">
      <c r="A595" s="596"/>
      <c r="B595" s="596"/>
      <c r="C595" s="596"/>
      <c r="D595" s="596"/>
    </row>
    <row r="596" spans="1:4">
      <c r="A596" s="597"/>
      <c r="B596" s="596"/>
      <c r="C596" s="596"/>
      <c r="D596" s="596"/>
    </row>
    <row r="597" spans="1:4">
      <c r="A597" s="597"/>
      <c r="B597" s="596"/>
      <c r="C597" s="596"/>
      <c r="D597" s="596"/>
    </row>
    <row r="598" spans="1:4">
      <c r="A598" s="596"/>
      <c r="B598" s="596"/>
      <c r="C598" s="596"/>
      <c r="D598" s="596"/>
    </row>
    <row r="599" spans="1:4">
      <c r="A599" s="596"/>
      <c r="B599" s="596"/>
      <c r="C599" s="596"/>
      <c r="D599" s="596"/>
    </row>
    <row r="600" spans="1:4">
      <c r="A600" s="596"/>
      <c r="B600" s="596"/>
      <c r="C600" s="596"/>
      <c r="D600" s="596"/>
    </row>
    <row r="601" spans="1:4">
      <c r="A601" s="596"/>
      <c r="B601" s="596"/>
      <c r="C601" s="596"/>
      <c r="D601" s="596"/>
    </row>
    <row r="602" spans="1:4">
      <c r="A602" s="596"/>
      <c r="B602" s="596"/>
      <c r="C602" s="596"/>
      <c r="D602" s="596"/>
    </row>
    <row r="603" spans="1:4">
      <c r="A603" s="596"/>
      <c r="B603" s="596"/>
      <c r="C603" s="596"/>
      <c r="D603" s="596"/>
    </row>
    <row r="604" spans="1:4">
      <c r="A604" s="596"/>
      <c r="B604" s="596"/>
      <c r="C604" s="596"/>
      <c r="D604" s="596"/>
    </row>
  </sheetData>
  <phoneticPr fontId="2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F907-063F-48A5-BFCC-4C0347B97F6F}">
  <sheetPr>
    <tabColor rgb="FF00B0F0"/>
  </sheetPr>
  <dimension ref="A1:C6"/>
  <sheetViews>
    <sheetView workbookViewId="0">
      <selection activeCell="K12" sqref="K12"/>
    </sheetView>
  </sheetViews>
  <sheetFormatPr defaultRowHeight="14.6"/>
  <sheetData>
    <row r="1" spans="1:3">
      <c r="A1" t="s">
        <v>499</v>
      </c>
      <c r="B1" t="s">
        <v>497</v>
      </c>
      <c r="C1" t="s">
        <v>498</v>
      </c>
    </row>
    <row r="2" spans="1:3">
      <c r="A2" t="s">
        <v>58</v>
      </c>
      <c r="B2" t="s">
        <v>508</v>
      </c>
      <c r="C2" t="s">
        <v>157</v>
      </c>
    </row>
    <row r="3" spans="1:3">
      <c r="A3" t="s">
        <v>67</v>
      </c>
      <c r="C3" t="s">
        <v>105</v>
      </c>
    </row>
    <row r="4" spans="1:3">
      <c r="C4" t="s">
        <v>156</v>
      </c>
    </row>
    <row r="5" spans="1:3">
      <c r="C5" t="s">
        <v>63</v>
      </c>
    </row>
    <row r="6" spans="1:3">
      <c r="C6" t="s">
        <v>90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C23E-10E6-4D6E-B536-FFED4BEA4323}">
  <sheetPr>
    <tabColor rgb="FF00B0F0"/>
  </sheetPr>
  <dimension ref="A1:C7"/>
  <sheetViews>
    <sheetView workbookViewId="0">
      <selection activeCell="G13" sqref="G13"/>
    </sheetView>
  </sheetViews>
  <sheetFormatPr defaultRowHeight="14.6"/>
  <cols>
    <col min="1" max="1" width="18.23046875" style="612" bestFit="1" customWidth="1"/>
    <col min="2" max="3" width="18.23046875" bestFit="1" customWidth="1"/>
  </cols>
  <sheetData>
    <row r="1" spans="1:3">
      <c r="A1" t="s">
        <v>499</v>
      </c>
      <c r="B1" t="s">
        <v>497</v>
      </c>
      <c r="C1" t="s">
        <v>498</v>
      </c>
    </row>
    <row r="2" spans="1:3">
      <c r="A2" s="612" t="s">
        <v>486</v>
      </c>
      <c r="B2" t="s">
        <v>486</v>
      </c>
      <c r="C2" t="s">
        <v>486</v>
      </c>
    </row>
    <row r="3" spans="1:3">
      <c r="A3" s="613" t="s">
        <v>510</v>
      </c>
      <c r="B3" s="613" t="s">
        <v>510</v>
      </c>
      <c r="C3" t="s">
        <v>485</v>
      </c>
    </row>
    <row r="4" spans="1:3">
      <c r="A4" s="612" t="s">
        <v>492</v>
      </c>
      <c r="B4" t="s">
        <v>492</v>
      </c>
      <c r="C4" t="s">
        <v>484</v>
      </c>
    </row>
    <row r="5" spans="1:3">
      <c r="A5" s="612" t="s">
        <v>511</v>
      </c>
      <c r="B5" t="s">
        <v>491</v>
      </c>
      <c r="C5" t="s">
        <v>511</v>
      </c>
    </row>
    <row r="6" spans="1:3">
      <c r="B6" t="s">
        <v>511</v>
      </c>
    </row>
    <row r="7" spans="1:3">
      <c r="B7" t="s">
        <v>502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LP29"/>
  <sheetViews>
    <sheetView topLeftCell="A6" zoomScale="140" zoomScaleNormal="140" workbookViewId="0">
      <selection activeCell="M21" sqref="M21"/>
    </sheetView>
  </sheetViews>
  <sheetFormatPr defaultColWidth="9" defaultRowHeight="14.6"/>
  <cols>
    <col min="1" max="1" width="9" style="1"/>
    <col min="2" max="2" width="9" style="3"/>
    <col min="3" max="3" width="9" style="1"/>
    <col min="4" max="4" width="8.53515625" style="1" bestFit="1" customWidth="1"/>
    <col min="5" max="5" width="11" style="1" bestFit="1" customWidth="1"/>
    <col min="6" max="6" width="9" style="1"/>
    <col min="7" max="7" width="9" style="2"/>
    <col min="8" max="1004" width="9" style="1"/>
  </cols>
  <sheetData>
    <row r="1" spans="1:7">
      <c r="A1" s="116"/>
      <c r="B1" s="5" t="s">
        <v>1</v>
      </c>
      <c r="C1" s="1" t="s">
        <v>474</v>
      </c>
      <c r="D1" s="1" t="s">
        <v>475</v>
      </c>
      <c r="E1" s="1" t="s">
        <v>476</v>
      </c>
      <c r="G1" s="4" t="s">
        <v>0</v>
      </c>
    </row>
    <row r="2" spans="1:7">
      <c r="A2" s="117">
        <v>1</v>
      </c>
      <c r="B2" s="115" t="s">
        <v>444</v>
      </c>
      <c r="C2" s="1">
        <f>LISTOPAD!AK2</f>
        <v>-80.5</v>
      </c>
      <c r="D2" s="1">
        <f>GRUDZIEŃ!D2</f>
        <v>-80.5</v>
      </c>
      <c r="E2" s="1">
        <f>GRUDZIEŃ!AK2</f>
        <v>-132.5</v>
      </c>
      <c r="G2" s="114" t="s">
        <v>477</v>
      </c>
    </row>
    <row r="3" spans="1:7">
      <c r="A3" s="118">
        <v>2</v>
      </c>
      <c r="B3" s="115" t="s">
        <v>445</v>
      </c>
      <c r="C3" s="1">
        <f>LISTOPAD!AK3</f>
        <v>-67</v>
      </c>
      <c r="D3" s="1">
        <f>GRUDZIEŃ!D3</f>
        <v>-67</v>
      </c>
      <c r="E3" s="1">
        <f>GRUDZIEŃ!AK3</f>
        <v>-59</v>
      </c>
      <c r="G3" s="114" t="s">
        <v>165</v>
      </c>
    </row>
    <row r="4" spans="1:7">
      <c r="A4" s="118">
        <v>3</v>
      </c>
      <c r="B4" s="115" t="s">
        <v>446</v>
      </c>
      <c r="C4" s="1">
        <f>LISTOPAD!AK4</f>
        <v>-69</v>
      </c>
      <c r="D4" s="1">
        <f>GRUDZIEŃ!D4</f>
        <v>-69</v>
      </c>
      <c r="E4" s="1">
        <f>GRUDZIEŃ!AK4</f>
        <v>-85</v>
      </c>
      <c r="G4" s="114" t="s">
        <v>166</v>
      </c>
    </row>
    <row r="5" spans="1:7">
      <c r="A5" s="118">
        <v>4</v>
      </c>
      <c r="B5" s="115" t="s">
        <v>447</v>
      </c>
      <c r="C5" s="1">
        <f>LISTOPAD!AK5</f>
        <v>-46</v>
      </c>
      <c r="D5" s="1">
        <f>GRUDZIEŃ!D5</f>
        <v>-46</v>
      </c>
      <c r="E5" s="1">
        <f>GRUDZIEŃ!AK5</f>
        <v>-50</v>
      </c>
      <c r="G5" s="119" t="s">
        <v>478</v>
      </c>
    </row>
    <row r="6" spans="1:7">
      <c r="A6" s="118">
        <v>5</v>
      </c>
      <c r="B6" s="115" t="s">
        <v>448</v>
      </c>
      <c r="C6" s="1">
        <f>LISTOPAD!AK6</f>
        <v>-29.5</v>
      </c>
      <c r="D6" s="1">
        <f>GRUDZIEŃ!D6</f>
        <v>-29.5</v>
      </c>
      <c r="E6" s="1">
        <f>GRUDZIEŃ!AK6</f>
        <v>-13.5</v>
      </c>
      <c r="G6" s="114" t="s">
        <v>479</v>
      </c>
    </row>
    <row r="7" spans="1:7">
      <c r="A7" s="118">
        <v>6</v>
      </c>
      <c r="B7" s="115" t="s">
        <v>449</v>
      </c>
      <c r="C7" s="1">
        <f>LISTOPAD!AK7</f>
        <v>-22</v>
      </c>
      <c r="D7" s="1">
        <f>GRUDZIEŃ!D7</f>
        <v>-22</v>
      </c>
      <c r="E7" s="1">
        <f>GRUDZIEŃ!AK7</f>
        <v>-62</v>
      </c>
      <c r="G7" s="114" t="s">
        <v>477</v>
      </c>
    </row>
    <row r="8" spans="1:7">
      <c r="A8" s="118">
        <v>7</v>
      </c>
      <c r="B8" s="115" t="s">
        <v>450</v>
      </c>
      <c r="C8" s="1">
        <f>LISTOPAD!AK8</f>
        <v>174</v>
      </c>
      <c r="D8" s="1">
        <f>GRUDZIEŃ!D8</f>
        <v>174</v>
      </c>
      <c r="E8" s="1">
        <f>GRUDZIEŃ!AK8</f>
        <v>-10</v>
      </c>
      <c r="G8" s="114" t="s">
        <v>477</v>
      </c>
    </row>
    <row r="9" spans="1:7">
      <c r="A9" s="118">
        <v>8</v>
      </c>
      <c r="B9" s="115" t="s">
        <v>451</v>
      </c>
      <c r="C9" s="1">
        <f>LISTOPAD!AK9</f>
        <v>-8</v>
      </c>
      <c r="D9" s="1">
        <f>GRUDZIEŃ!D9</f>
        <v>-8</v>
      </c>
      <c r="E9" s="1">
        <f>GRUDZIEŃ!AK9</f>
        <v>-36</v>
      </c>
      <c r="G9" s="114" t="s">
        <v>167</v>
      </c>
    </row>
    <row r="10" spans="1:7">
      <c r="A10" s="118">
        <v>9</v>
      </c>
      <c r="B10" s="115" t="s">
        <v>452</v>
      </c>
      <c r="C10" s="1">
        <f>LISTOPAD!AK10</f>
        <v>115</v>
      </c>
      <c r="D10" s="1">
        <f>GRUDZIEŃ!D10</f>
        <v>115</v>
      </c>
      <c r="E10" s="1">
        <f>GRUDZIEŃ!AK10</f>
        <v>39</v>
      </c>
      <c r="G10" s="114" t="s">
        <v>477</v>
      </c>
    </row>
    <row r="11" spans="1:7">
      <c r="A11" s="118">
        <v>10</v>
      </c>
      <c r="B11" s="115" t="s">
        <v>453</v>
      </c>
      <c r="C11" s="1">
        <f>LISTOPAD!AK11</f>
        <v>84.5</v>
      </c>
      <c r="D11" s="1">
        <f>GRUDZIEŃ!D11</f>
        <v>84.5</v>
      </c>
      <c r="E11" s="1">
        <f>GRUDZIEŃ!AK11</f>
        <v>68.5</v>
      </c>
      <c r="G11" s="114" t="s">
        <v>477</v>
      </c>
    </row>
    <row r="12" spans="1:7">
      <c r="A12" s="118">
        <v>11</v>
      </c>
      <c r="B12" s="115" t="s">
        <v>454</v>
      </c>
      <c r="C12" s="1">
        <f>LISTOPAD!AK12</f>
        <v>122</v>
      </c>
      <c r="D12" s="1">
        <f>GRUDZIEŃ!D12</f>
        <v>122</v>
      </c>
      <c r="E12" s="1">
        <f>GRUDZIEŃ!AK12</f>
        <v>-62</v>
      </c>
      <c r="G12" s="114" t="s">
        <v>165</v>
      </c>
    </row>
    <row r="13" spans="1:7">
      <c r="A13" s="118">
        <v>12</v>
      </c>
      <c r="B13" s="115" t="s">
        <v>455</v>
      </c>
      <c r="C13" s="1">
        <f>LISTOPAD!AK13</f>
        <v>71</v>
      </c>
      <c r="D13" s="1">
        <f>GRUDZIEŃ!D13</f>
        <v>71</v>
      </c>
      <c r="E13" s="1">
        <f>GRUDZIEŃ!AK13</f>
        <v>55</v>
      </c>
      <c r="G13" s="114" t="s">
        <v>477</v>
      </c>
    </row>
    <row r="14" spans="1:7">
      <c r="A14" s="118">
        <v>13</v>
      </c>
      <c r="B14" s="115" t="s">
        <v>456</v>
      </c>
      <c r="C14" s="1">
        <f>LISTOPAD!AK14</f>
        <v>-15</v>
      </c>
      <c r="D14" s="1">
        <f>GRUDZIEŃ!D14</f>
        <v>-15</v>
      </c>
      <c r="E14" s="1">
        <f>GRUDZIEŃ!AK14</f>
        <v>-55</v>
      </c>
      <c r="G14" s="114" t="s">
        <v>478</v>
      </c>
    </row>
    <row r="15" spans="1:7">
      <c r="A15" s="118">
        <v>14</v>
      </c>
      <c r="B15" s="115" t="s">
        <v>457</v>
      </c>
      <c r="C15" s="1">
        <f>LISTOPAD!AK15</f>
        <v>161.5</v>
      </c>
      <c r="D15" s="1">
        <f>GRUDZIEŃ!D15</f>
        <v>161.5</v>
      </c>
      <c r="E15" s="1">
        <f>GRUDZIEŃ!AK15</f>
        <v>49.5</v>
      </c>
      <c r="G15" s="114" t="s">
        <v>477</v>
      </c>
    </row>
    <row r="16" spans="1:7">
      <c r="A16" s="118">
        <v>15</v>
      </c>
      <c r="B16" s="115" t="s">
        <v>458</v>
      </c>
      <c r="C16" s="1">
        <f>LISTOPAD!AK16</f>
        <v>85</v>
      </c>
      <c r="D16" s="1">
        <f>GRUDZIEŃ!D16</f>
        <v>85</v>
      </c>
      <c r="E16" s="1">
        <f>GRUDZIEŃ!AK16</f>
        <v>-3</v>
      </c>
      <c r="G16" s="114" t="s">
        <v>165</v>
      </c>
    </row>
    <row r="17" spans="1:7">
      <c r="A17" s="118">
        <v>16</v>
      </c>
      <c r="B17" s="115" t="s">
        <v>459</v>
      </c>
      <c r="C17" s="1">
        <f>LISTOPAD!AK17</f>
        <v>18</v>
      </c>
      <c r="D17" s="1">
        <f>GRUDZIEŃ!D17</f>
        <v>18</v>
      </c>
      <c r="E17" s="1">
        <f>GRUDZIEŃ!AK17</f>
        <v>-58</v>
      </c>
      <c r="G17" s="114" t="s">
        <v>480</v>
      </c>
    </row>
    <row r="18" spans="1:7">
      <c r="A18" s="118">
        <v>17</v>
      </c>
      <c r="B18" s="115" t="s">
        <v>460</v>
      </c>
      <c r="C18" s="1">
        <f>LISTOPAD!AK18</f>
        <v>-51</v>
      </c>
      <c r="D18" s="1">
        <f>GRUDZIEŃ!D18</f>
        <v>-51</v>
      </c>
      <c r="E18" s="1">
        <f>GRUDZIEŃ!AK18</f>
        <v>-103</v>
      </c>
      <c r="G18" s="114" t="s">
        <v>477</v>
      </c>
    </row>
    <row r="19" spans="1:7">
      <c r="A19" s="118">
        <v>18</v>
      </c>
      <c r="B19" s="115" t="s">
        <v>461</v>
      </c>
      <c r="C19" s="1">
        <f>LISTOPAD!AK19</f>
        <v>-86</v>
      </c>
      <c r="D19" s="1">
        <f>GRUDZIEŃ!D19</f>
        <v>-86</v>
      </c>
      <c r="E19" s="1">
        <f>GRUDZIEŃ!AK19</f>
        <v>-78</v>
      </c>
      <c r="G19" s="114" t="s">
        <v>477</v>
      </c>
    </row>
    <row r="20" spans="1:7">
      <c r="A20" s="118">
        <v>19</v>
      </c>
      <c r="B20" s="115" t="s">
        <v>462</v>
      </c>
      <c r="C20" s="1">
        <f>LISTOPAD!AK20</f>
        <v>-99</v>
      </c>
      <c r="D20" s="1">
        <f>GRUDZIEŃ!D20</f>
        <v>-99</v>
      </c>
      <c r="E20" s="1">
        <f>GRUDZIEŃ!AK20</f>
        <v>-43</v>
      </c>
      <c r="G20" s="114" t="s">
        <v>477</v>
      </c>
    </row>
    <row r="21" spans="1:7">
      <c r="A21" s="118">
        <v>20</v>
      </c>
      <c r="B21" s="115" t="s">
        <v>463</v>
      </c>
      <c r="C21" s="1">
        <f>LISTOPAD!AK21</f>
        <v>118</v>
      </c>
      <c r="D21" s="1">
        <f>GRUDZIEŃ!D21</f>
        <v>118</v>
      </c>
      <c r="E21" s="1">
        <f>GRUDZIEŃ!AK21</f>
        <v>102</v>
      </c>
      <c r="G21" s="114" t="s">
        <v>479</v>
      </c>
    </row>
    <row r="22" spans="1:7">
      <c r="A22" s="118">
        <v>21</v>
      </c>
      <c r="B22" s="115" t="s">
        <v>464</v>
      </c>
      <c r="C22" s="1">
        <f>LISTOPAD!AK22</f>
        <v>5.5</v>
      </c>
      <c r="D22" s="1">
        <f>GRUDZIEŃ!D22</f>
        <v>5.5</v>
      </c>
      <c r="E22" s="1">
        <f>GRUDZIEŃ!AK22</f>
        <v>-10.5</v>
      </c>
      <c r="G22" s="114" t="s">
        <v>167</v>
      </c>
    </row>
    <row r="23" spans="1:7">
      <c r="A23" s="118">
        <v>22</v>
      </c>
      <c r="B23" s="115" t="s">
        <v>465</v>
      </c>
      <c r="C23" s="1">
        <f>LISTOPAD!AK23</f>
        <v>-22</v>
      </c>
      <c r="D23" s="1">
        <f>GRUDZIEŃ!D23</f>
        <v>-22</v>
      </c>
      <c r="E23" s="1">
        <f>GRUDZIEŃ!AK23</f>
        <v>-38</v>
      </c>
      <c r="G23" s="119" t="s">
        <v>481</v>
      </c>
    </row>
    <row r="24" spans="1:7">
      <c r="A24" s="118">
        <v>23</v>
      </c>
      <c r="B24" s="115" t="s">
        <v>466</v>
      </c>
      <c r="C24" s="1">
        <f>LISTOPAD!AK24</f>
        <v>44</v>
      </c>
      <c r="D24" s="1">
        <f>GRUDZIEŃ!D24</f>
        <v>44</v>
      </c>
      <c r="E24" s="1">
        <f>GRUDZIEŃ!AK24</f>
        <v>8</v>
      </c>
      <c r="G24" s="114" t="s">
        <v>477</v>
      </c>
    </row>
    <row r="25" spans="1:7">
      <c r="A25" s="118">
        <v>24</v>
      </c>
      <c r="B25" s="115" t="s">
        <v>467</v>
      </c>
      <c r="C25" s="1">
        <f>LISTOPAD!AK25</f>
        <v>38</v>
      </c>
      <c r="D25" s="1">
        <f>GRUDZIEŃ!D25</f>
        <v>38</v>
      </c>
      <c r="E25" s="1">
        <f>GRUDZIEŃ!AK25</f>
        <v>-50</v>
      </c>
      <c r="G25" s="114" t="s">
        <v>478</v>
      </c>
    </row>
    <row r="26" spans="1:7">
      <c r="A26" s="118">
        <v>26</v>
      </c>
      <c r="B26" s="115" t="s">
        <v>468</v>
      </c>
      <c r="C26" s="1">
        <f>LISTOPAD!AK26</f>
        <v>85.5</v>
      </c>
      <c r="D26" s="1">
        <f>GRUDZIEŃ!D26</f>
        <v>85.5</v>
      </c>
      <c r="E26" s="1">
        <f>GRUDZIEŃ!AK26</f>
        <v>-98.5</v>
      </c>
      <c r="G26" s="114" t="s">
        <v>478</v>
      </c>
    </row>
    <row r="27" spans="1:7">
      <c r="A27" s="118">
        <v>27</v>
      </c>
      <c r="B27" s="115" t="s">
        <v>469</v>
      </c>
      <c r="C27" s="1">
        <f>LISTOPAD!AK27</f>
        <v>-82</v>
      </c>
      <c r="D27" s="1">
        <f>GRUDZIEŃ!D27</f>
        <v>-82</v>
      </c>
      <c r="E27" s="1">
        <f>GRUDZIEŃ!AK27</f>
        <v>-34</v>
      </c>
      <c r="G27" s="114" t="s">
        <v>477</v>
      </c>
    </row>
    <row r="28" spans="1:7">
      <c r="A28" s="118">
        <v>28</v>
      </c>
      <c r="B28" s="115" t="s">
        <v>470</v>
      </c>
      <c r="C28" s="1">
        <f>LISTOPAD!AK28</f>
        <v>-1</v>
      </c>
      <c r="D28" s="1">
        <f>GRUDZIEŃ!D28</f>
        <v>-1</v>
      </c>
      <c r="E28" s="1">
        <f>GRUDZIEŃ!AK28</f>
        <v>-29</v>
      </c>
      <c r="G28" s="114" t="s">
        <v>478</v>
      </c>
    </row>
    <row r="29" spans="1:7">
      <c r="A29" s="118">
        <v>29</v>
      </c>
      <c r="B29" s="115" t="s">
        <v>471</v>
      </c>
      <c r="C29" s="1">
        <f>LISTOPAD!AK29</f>
        <v>42.5</v>
      </c>
      <c r="D29" s="1">
        <f>GRUDZIEŃ!D29</f>
        <v>42.5</v>
      </c>
      <c r="E29" s="1">
        <f>GRUDZIEŃ!AK29</f>
        <v>26.5</v>
      </c>
      <c r="G29" s="114" t="s">
        <v>477</v>
      </c>
    </row>
  </sheetData>
  <phoneticPr fontId="22" type="noConversion"/>
  <pageMargins left="0.7" right="0.7" top="0.75" bottom="0.75" header="0.51180555555555496" footer="0.51180555555555496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5650-82AD-476A-9BEB-07FFAD2BBBF1}">
  <sheetPr>
    <tabColor rgb="FF0070C0"/>
  </sheetPr>
  <dimension ref="B1:E19"/>
  <sheetViews>
    <sheetView workbookViewId="0">
      <selection activeCell="B1" sqref="B1:E19"/>
    </sheetView>
  </sheetViews>
  <sheetFormatPr defaultColWidth="8.84375" defaultRowHeight="14.6"/>
  <cols>
    <col min="1" max="1" width="8.84375" style="1"/>
    <col min="2" max="5" width="23.84375" style="1" customWidth="1"/>
    <col min="6" max="16384" width="8.84375" style="1"/>
  </cols>
  <sheetData>
    <row r="1" spans="2:5">
      <c r="B1" s="595" t="s">
        <v>486</v>
      </c>
      <c r="C1" s="595" t="s">
        <v>494</v>
      </c>
      <c r="D1" s="595" t="s">
        <v>509</v>
      </c>
      <c r="E1" s="595" t="s">
        <v>483</v>
      </c>
    </row>
    <row r="2" spans="2:5">
      <c r="B2" s="1" t="s">
        <v>444</v>
      </c>
      <c r="C2" s="1" t="s">
        <v>444</v>
      </c>
      <c r="D2" s="1" t="s">
        <v>448</v>
      </c>
      <c r="E2" s="1" t="s">
        <v>444</v>
      </c>
    </row>
    <row r="3" spans="2:5">
      <c r="B3" s="1" t="s">
        <v>449</v>
      </c>
      <c r="C3" s="1" t="s">
        <v>449</v>
      </c>
      <c r="D3" s="1" t="s">
        <v>453</v>
      </c>
      <c r="E3" s="1" t="s">
        <v>445</v>
      </c>
    </row>
    <row r="4" spans="2:5">
      <c r="B4" s="1" t="s">
        <v>450</v>
      </c>
      <c r="C4" s="1" t="s">
        <v>450</v>
      </c>
      <c r="D4" s="1" t="s">
        <v>456</v>
      </c>
      <c r="E4" s="1" t="s">
        <v>446</v>
      </c>
    </row>
    <row r="5" spans="2:5">
      <c r="B5" s="1" t="s">
        <v>452</v>
      </c>
      <c r="C5" s="1" t="s">
        <v>452</v>
      </c>
      <c r="D5" s="1" t="s">
        <v>458</v>
      </c>
      <c r="E5" s="1" t="s">
        <v>448</v>
      </c>
    </row>
    <row r="6" spans="2:5">
      <c r="B6" s="1" t="s">
        <v>458</v>
      </c>
      <c r="C6" s="1" t="s">
        <v>458</v>
      </c>
      <c r="D6" s="1" t="s">
        <v>463</v>
      </c>
      <c r="E6" s="1" t="s">
        <v>449</v>
      </c>
    </row>
    <row r="7" spans="2:5">
      <c r="B7" s="1" t="s">
        <v>460</v>
      </c>
      <c r="C7" s="1" t="s">
        <v>459</v>
      </c>
      <c r="D7" s="1" t="s">
        <v>471</v>
      </c>
      <c r="E7" s="1" t="s">
        <v>450</v>
      </c>
    </row>
    <row r="8" spans="2:5">
      <c r="B8" s="1" t="s">
        <v>465</v>
      </c>
      <c r="C8" s="1" t="s">
        <v>460</v>
      </c>
      <c r="D8" s="1" t="s">
        <v>482</v>
      </c>
      <c r="E8" s="1" t="s">
        <v>456</v>
      </c>
    </row>
    <row r="9" spans="2:5">
      <c r="B9" s="1" t="s">
        <v>467</v>
      </c>
      <c r="C9" s="1" t="s">
        <v>464</v>
      </c>
      <c r="E9" s="1" t="s">
        <v>457</v>
      </c>
    </row>
    <row r="10" spans="2:5">
      <c r="B10" s="1" t="s">
        <v>469</v>
      </c>
      <c r="C10" s="1" t="s">
        <v>465</v>
      </c>
      <c r="E10" s="1" t="s">
        <v>458</v>
      </c>
    </row>
    <row r="11" spans="2:5">
      <c r="C11" s="1" t="s">
        <v>466</v>
      </c>
      <c r="E11" s="1" t="s">
        <v>459</v>
      </c>
    </row>
    <row r="12" spans="2:5">
      <c r="C12" s="1" t="s">
        <v>467</v>
      </c>
      <c r="E12" s="1" t="s">
        <v>460</v>
      </c>
    </row>
    <row r="13" spans="2:5">
      <c r="C13" s="1" t="s">
        <v>469</v>
      </c>
      <c r="E13" s="1" t="s">
        <v>461</v>
      </c>
    </row>
    <row r="14" spans="2:5">
      <c r="C14" s="1" t="s">
        <v>470</v>
      </c>
      <c r="E14" s="1" t="s">
        <v>462</v>
      </c>
    </row>
    <row r="15" spans="2:5">
      <c r="C15" s="1" t="s">
        <v>488</v>
      </c>
      <c r="E15" s="1" t="s">
        <v>464</v>
      </c>
    </row>
    <row r="16" spans="2:5">
      <c r="C16" s="1" t="s">
        <v>482</v>
      </c>
      <c r="E16" s="1" t="s">
        <v>466</v>
      </c>
    </row>
    <row r="17" spans="5:5">
      <c r="E17" s="1" t="s">
        <v>469</v>
      </c>
    </row>
    <row r="18" spans="5:5">
      <c r="E18" s="1" t="s">
        <v>471</v>
      </c>
    </row>
    <row r="19" spans="5:5">
      <c r="E19" s="1" t="s">
        <v>482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6191-0BE1-4F87-8585-A81A819FCB76}">
  <sheetPr>
    <tabColor rgb="FF0070C0"/>
  </sheetPr>
  <dimension ref="A1:F10"/>
  <sheetViews>
    <sheetView workbookViewId="0">
      <selection activeCell="H1" sqref="H1:I1048576"/>
    </sheetView>
  </sheetViews>
  <sheetFormatPr defaultColWidth="8.84375" defaultRowHeight="14.6"/>
  <cols>
    <col min="1" max="2" width="12.53515625" style="1" bestFit="1" customWidth="1"/>
    <col min="3" max="4" width="13.69140625" style="1" bestFit="1" customWidth="1"/>
    <col min="5" max="6" width="16.4609375" style="1" bestFit="1" customWidth="1"/>
    <col min="7" max="16384" width="8.84375" style="1"/>
  </cols>
  <sheetData>
    <row r="1" spans="1:6">
      <c r="A1" s="1" t="s">
        <v>486</v>
      </c>
      <c r="B1" s="1" t="s">
        <v>493</v>
      </c>
      <c r="C1" s="1" t="s">
        <v>492</v>
      </c>
      <c r="D1" s="1" t="s">
        <v>491</v>
      </c>
      <c r="E1" s="1" t="s">
        <v>490</v>
      </c>
      <c r="F1" s="1" t="s">
        <v>489</v>
      </c>
    </row>
    <row r="2" spans="1:6">
      <c r="A2" s="1" t="s">
        <v>449</v>
      </c>
      <c r="B2" s="1" t="s">
        <v>449</v>
      </c>
      <c r="C2" s="1" t="s">
        <v>448</v>
      </c>
      <c r="D2" s="1" t="s">
        <v>448</v>
      </c>
      <c r="E2" s="1" t="s">
        <v>445</v>
      </c>
      <c r="F2" s="1" t="s">
        <v>445</v>
      </c>
    </row>
    <row r="3" spans="1:6">
      <c r="A3" s="1" t="s">
        <v>450</v>
      </c>
      <c r="B3" s="1" t="s">
        <v>450</v>
      </c>
      <c r="C3" s="1" t="s">
        <v>453</v>
      </c>
      <c r="D3" s="1" t="s">
        <v>453</v>
      </c>
      <c r="E3" s="1" t="s">
        <v>446</v>
      </c>
      <c r="F3" s="1" t="s">
        <v>446</v>
      </c>
    </row>
    <row r="4" spans="1:6">
      <c r="A4" s="1" t="s">
        <v>452</v>
      </c>
      <c r="B4" s="1" t="s">
        <v>452</v>
      </c>
      <c r="C4" s="1" t="s">
        <v>456</v>
      </c>
      <c r="D4" s="1" t="s">
        <v>456</v>
      </c>
      <c r="E4" s="1" t="s">
        <v>457</v>
      </c>
      <c r="F4" s="1" t="s">
        <v>457</v>
      </c>
    </row>
    <row r="5" spans="1:6">
      <c r="A5" s="1" t="s">
        <v>460</v>
      </c>
      <c r="B5" s="1" t="s">
        <v>460</v>
      </c>
      <c r="C5" s="1" t="s">
        <v>463</v>
      </c>
      <c r="D5" s="1" t="s">
        <v>463</v>
      </c>
      <c r="E5" s="1" t="s">
        <v>461</v>
      </c>
      <c r="F5" s="1" t="s">
        <v>461</v>
      </c>
    </row>
    <row r="6" spans="1:6">
      <c r="A6" s="1" t="s">
        <v>466</v>
      </c>
      <c r="B6" s="1" t="s">
        <v>464</v>
      </c>
      <c r="C6" s="1" t="s">
        <v>482</v>
      </c>
      <c r="D6" s="1" t="s">
        <v>482</v>
      </c>
      <c r="E6" s="1" t="s">
        <v>464</v>
      </c>
      <c r="F6" s="1" t="s">
        <v>464</v>
      </c>
    </row>
    <row r="7" spans="1:6">
      <c r="A7" s="1" t="s">
        <v>467</v>
      </c>
      <c r="B7" s="1" t="s">
        <v>466</v>
      </c>
      <c r="D7" s="1" t="s">
        <v>447</v>
      </c>
      <c r="E7" s="1" t="s">
        <v>466</v>
      </c>
      <c r="F7" s="1" t="s">
        <v>466</v>
      </c>
    </row>
    <row r="8" spans="1:6">
      <c r="A8" s="1" t="s">
        <v>488</v>
      </c>
      <c r="B8" s="1" t="s">
        <v>467</v>
      </c>
      <c r="D8" s="1" t="s">
        <v>462</v>
      </c>
      <c r="E8" s="1" t="s">
        <v>488</v>
      </c>
      <c r="F8" s="1" t="s">
        <v>488</v>
      </c>
    </row>
    <row r="9" spans="1:6">
      <c r="B9" s="1" t="s">
        <v>488</v>
      </c>
      <c r="C9" s="3"/>
      <c r="D9" s="3"/>
      <c r="E9" s="1" t="s">
        <v>487</v>
      </c>
      <c r="F9" s="1" t="s">
        <v>487</v>
      </c>
    </row>
    <row r="10" spans="1:6">
      <c r="B10" s="1" t="s">
        <v>459</v>
      </c>
      <c r="E10" s="1" t="s">
        <v>459</v>
      </c>
      <c r="F10" s="1" t="s">
        <v>459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5D3AD-9C9F-442A-BC68-0D54B81F2BFB}">
  <sheetPr>
    <tabColor rgb="FF0070C0"/>
  </sheetPr>
  <dimension ref="B1:G34"/>
  <sheetViews>
    <sheetView workbookViewId="0">
      <selection activeCell="E11" sqref="E11"/>
    </sheetView>
  </sheetViews>
  <sheetFormatPr defaultColWidth="8.84375" defaultRowHeight="14.6"/>
  <cols>
    <col min="1" max="1" width="8.84375" style="1"/>
    <col min="2" max="5" width="21.3046875" style="1" customWidth="1"/>
    <col min="6" max="6" width="8.84375" style="1"/>
    <col min="7" max="7" width="24.84375" style="3" bestFit="1" customWidth="1"/>
    <col min="8" max="16384" width="8.84375" style="1"/>
  </cols>
  <sheetData>
    <row r="1" spans="2:7">
      <c r="B1" s="595" t="s">
        <v>486</v>
      </c>
      <c r="C1" s="595" t="s">
        <v>485</v>
      </c>
      <c r="D1" s="595" t="s">
        <v>484</v>
      </c>
      <c r="E1" s="595" t="s">
        <v>483</v>
      </c>
      <c r="G1" s="5"/>
    </row>
    <row r="2" spans="2:7">
      <c r="B2" s="1" t="s">
        <v>444</v>
      </c>
      <c r="C2" s="1" t="s">
        <v>448</v>
      </c>
      <c r="D2" s="1" t="s">
        <v>448</v>
      </c>
      <c r="E2" s="1" t="s">
        <v>444</v>
      </c>
      <c r="G2" s="115"/>
    </row>
    <row r="3" spans="2:7">
      <c r="B3" s="1" t="s">
        <v>449</v>
      </c>
      <c r="C3" s="1" t="s">
        <v>453</v>
      </c>
      <c r="D3" s="1" t="s">
        <v>453</v>
      </c>
      <c r="E3" s="1" t="s">
        <v>445</v>
      </c>
      <c r="G3" s="115"/>
    </row>
    <row r="4" spans="2:7">
      <c r="B4" s="1" t="s">
        <v>450</v>
      </c>
      <c r="C4" s="1" t="s">
        <v>456</v>
      </c>
      <c r="D4" s="1" t="s">
        <v>456</v>
      </c>
      <c r="E4" s="1" t="s">
        <v>446</v>
      </c>
      <c r="G4" s="115"/>
    </row>
    <row r="5" spans="2:7">
      <c r="B5" s="1" t="s">
        <v>452</v>
      </c>
      <c r="C5" s="1" t="s">
        <v>458</v>
      </c>
      <c r="D5" s="1" t="s">
        <v>458</v>
      </c>
      <c r="E5" s="1" t="s">
        <v>448</v>
      </c>
      <c r="G5" s="594"/>
    </row>
    <row r="6" spans="2:7">
      <c r="B6" s="1" t="s">
        <v>458</v>
      </c>
      <c r="C6" s="1" t="s">
        <v>463</v>
      </c>
      <c r="D6" s="1" t="s">
        <v>463</v>
      </c>
      <c r="E6" s="1" t="s">
        <v>449</v>
      </c>
      <c r="G6" s="115"/>
    </row>
    <row r="7" spans="2:7">
      <c r="B7" s="1" t="s">
        <v>460</v>
      </c>
      <c r="C7" s="1" t="s">
        <v>471</v>
      </c>
      <c r="D7" s="1" t="s">
        <v>471</v>
      </c>
      <c r="E7" s="1" t="s">
        <v>450</v>
      </c>
      <c r="G7" s="115"/>
    </row>
    <row r="8" spans="2:7">
      <c r="B8" s="1" t="s">
        <v>465</v>
      </c>
      <c r="C8" s="1" t="s">
        <v>482</v>
      </c>
      <c r="D8" s="1" t="s">
        <v>482</v>
      </c>
      <c r="E8" s="1" t="s">
        <v>456</v>
      </c>
      <c r="G8" s="115"/>
    </row>
    <row r="9" spans="2:7">
      <c r="B9" s="1" t="s">
        <v>467</v>
      </c>
      <c r="C9" s="1" t="s">
        <v>447</v>
      </c>
      <c r="D9" s="1" t="s">
        <v>461</v>
      </c>
      <c r="E9" s="1" t="s">
        <v>457</v>
      </c>
      <c r="G9" s="115"/>
    </row>
    <row r="10" spans="2:7">
      <c r="B10" s="1" t="s">
        <v>469</v>
      </c>
      <c r="C10" s="1" t="s">
        <v>459</v>
      </c>
      <c r="D10" s="1" t="s">
        <v>462</v>
      </c>
      <c r="E10" s="1" t="s">
        <v>458</v>
      </c>
      <c r="G10" s="115"/>
    </row>
    <row r="11" spans="2:7">
      <c r="B11" s="1" t="s">
        <v>445</v>
      </c>
      <c r="E11" s="1" t="s">
        <v>459</v>
      </c>
      <c r="G11" s="115"/>
    </row>
    <row r="12" spans="2:7">
      <c r="B12" s="1" t="s">
        <v>447</v>
      </c>
      <c r="E12" s="1" t="s">
        <v>460</v>
      </c>
      <c r="G12" s="115"/>
    </row>
    <row r="13" spans="2:7">
      <c r="E13" s="1" t="s">
        <v>461</v>
      </c>
      <c r="G13" s="115"/>
    </row>
    <row r="14" spans="2:7">
      <c r="E14" s="1" t="s">
        <v>462</v>
      </c>
      <c r="G14" s="115"/>
    </row>
    <row r="15" spans="2:7">
      <c r="E15" s="1" t="s">
        <v>464</v>
      </c>
      <c r="G15" s="115"/>
    </row>
    <row r="16" spans="2:7">
      <c r="E16" s="1" t="s">
        <v>466</v>
      </c>
      <c r="G16" s="115"/>
    </row>
    <row r="17" spans="5:7">
      <c r="E17" s="1" t="s">
        <v>469</v>
      </c>
      <c r="G17" s="115"/>
    </row>
    <row r="18" spans="5:7">
      <c r="E18" s="1" t="s">
        <v>471</v>
      </c>
      <c r="G18" s="115"/>
    </row>
    <row r="19" spans="5:7">
      <c r="E19" s="1" t="s">
        <v>482</v>
      </c>
      <c r="G19" s="115"/>
    </row>
    <row r="20" spans="5:7">
      <c r="G20" s="115"/>
    </row>
    <row r="21" spans="5:7">
      <c r="G21" s="115"/>
    </row>
    <row r="22" spans="5:7">
      <c r="G22" s="115"/>
    </row>
    <row r="23" spans="5:7">
      <c r="G23" s="115"/>
    </row>
    <row r="24" spans="5:7">
      <c r="G24" s="115"/>
    </row>
    <row r="25" spans="5:7">
      <c r="G25" s="115"/>
    </row>
    <row r="26" spans="5:7">
      <c r="G26" s="594"/>
    </row>
    <row r="27" spans="5:7">
      <c r="G27" s="115"/>
    </row>
    <row r="28" spans="5:7">
      <c r="G28" s="115"/>
    </row>
    <row r="29" spans="5:7">
      <c r="G29" s="115"/>
    </row>
    <row r="30" spans="5:7">
      <c r="G30" s="115"/>
    </row>
    <row r="31" spans="5:7">
      <c r="G31" s="115"/>
    </row>
    <row r="32" spans="5:7">
      <c r="G32" s="115"/>
    </row>
    <row r="33" spans="7:7">
      <c r="G33" s="593"/>
    </row>
    <row r="34" spans="7:7">
      <c r="G34" s="593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MJ93"/>
  <sheetViews>
    <sheetView topLeftCell="B1" zoomScaleNormal="100" workbookViewId="0">
      <pane ySplit="1" topLeftCell="A2" activePane="bottomLeft" state="frozen"/>
      <selection activeCell="B1" sqref="B1"/>
      <selection pane="bottomLeft" activeCell="AE73" sqref="AE73"/>
    </sheetView>
  </sheetViews>
  <sheetFormatPr defaultColWidth="8.84375" defaultRowHeight="14.6"/>
  <cols>
    <col min="1" max="1" width="6" style="1" customWidth="1"/>
    <col min="2" max="2" width="5.3046875" style="1" customWidth="1"/>
    <col min="3" max="3" width="22.3046875" style="122" customWidth="1"/>
    <col min="4" max="4" width="6" style="1" customWidth="1"/>
    <col min="5" max="35" width="3.53515625" style="1" customWidth="1"/>
    <col min="36" max="36" width="3" style="1" customWidth="1"/>
    <col min="37" max="38" width="8.84375" style="8"/>
    <col min="39" max="41" width="7.53515625" style="1" customWidth="1"/>
    <col min="42" max="44" width="8.84375" style="1"/>
    <col min="45" max="45" width="20.3046875" style="1" customWidth="1"/>
    <col min="46" max="1024" width="8.84375" style="1"/>
  </cols>
  <sheetData>
    <row r="1" spans="1:46" ht="43.3">
      <c r="A1" s="1" t="s">
        <v>52</v>
      </c>
      <c r="B1" s="1" t="s">
        <v>168</v>
      </c>
      <c r="D1" s="123">
        <v>44197</v>
      </c>
      <c r="E1" s="124">
        <v>44197</v>
      </c>
      <c r="F1" s="125">
        <v>44198</v>
      </c>
      <c r="G1" s="125">
        <v>44199</v>
      </c>
      <c r="H1" s="126">
        <v>44200</v>
      </c>
      <c r="I1" s="126">
        <v>44201</v>
      </c>
      <c r="J1" s="125">
        <v>44202</v>
      </c>
      <c r="K1" s="126">
        <v>44203</v>
      </c>
      <c r="L1" s="126">
        <v>44204</v>
      </c>
      <c r="M1" s="125">
        <v>44205</v>
      </c>
      <c r="N1" s="125">
        <v>44206</v>
      </c>
      <c r="O1" s="126">
        <v>44207</v>
      </c>
      <c r="P1" s="126">
        <v>44208</v>
      </c>
      <c r="Q1" s="126">
        <v>44209</v>
      </c>
      <c r="R1" s="126">
        <v>44210</v>
      </c>
      <c r="S1" s="126">
        <v>44211</v>
      </c>
      <c r="T1" s="125">
        <v>44212</v>
      </c>
      <c r="U1" s="125">
        <v>44213</v>
      </c>
      <c r="V1" s="126">
        <v>44214</v>
      </c>
      <c r="W1" s="126">
        <v>44215</v>
      </c>
      <c r="X1" s="126">
        <v>44216</v>
      </c>
      <c r="Y1" s="126">
        <v>44217</v>
      </c>
      <c r="Z1" s="126">
        <v>44218</v>
      </c>
      <c r="AA1" s="125">
        <v>44219</v>
      </c>
      <c r="AB1" s="125">
        <v>44220</v>
      </c>
      <c r="AC1" s="126">
        <v>44221</v>
      </c>
      <c r="AD1" s="126">
        <v>44222</v>
      </c>
      <c r="AE1" s="126">
        <v>44223</v>
      </c>
      <c r="AF1" s="126">
        <v>44224</v>
      </c>
      <c r="AG1" s="126">
        <v>44225</v>
      </c>
      <c r="AH1" s="125">
        <v>44226</v>
      </c>
      <c r="AI1" s="127">
        <v>44227</v>
      </c>
      <c r="AJ1" s="128"/>
      <c r="AK1" s="15">
        <f>19*8</f>
        <v>152</v>
      </c>
      <c r="AL1" s="129">
        <v>43922</v>
      </c>
      <c r="AM1" s="16" t="s">
        <v>53</v>
      </c>
      <c r="AN1" s="17" t="s">
        <v>54</v>
      </c>
      <c r="AO1" s="18" t="s">
        <v>55</v>
      </c>
      <c r="AP1" s="1" t="s">
        <v>56</v>
      </c>
      <c r="AQ1" s="130" t="s">
        <v>57</v>
      </c>
    </row>
    <row r="2" spans="1:46" ht="15.9">
      <c r="A2" s="1" t="s">
        <v>58</v>
      </c>
      <c r="B2" s="131" t="s">
        <v>59</v>
      </c>
      <c r="C2" s="132" t="s">
        <v>60</v>
      </c>
      <c r="D2" s="133" t="e">
        <f>#REF!</f>
        <v>#REF!</v>
      </c>
      <c r="E2" s="36"/>
      <c r="F2" s="36"/>
      <c r="G2" s="36"/>
      <c r="H2" s="32"/>
      <c r="I2" s="32" t="s">
        <v>113</v>
      </c>
      <c r="J2" s="36" t="s">
        <v>66</v>
      </c>
      <c r="K2" s="32"/>
      <c r="L2" s="32" t="s">
        <v>113</v>
      </c>
      <c r="M2" s="36" t="s">
        <v>66</v>
      </c>
      <c r="N2" s="36"/>
      <c r="O2" s="32"/>
      <c r="P2" s="32"/>
      <c r="Q2" s="32"/>
      <c r="R2" s="32"/>
      <c r="S2" s="32"/>
      <c r="T2" s="36"/>
      <c r="U2" s="36"/>
      <c r="V2" s="32"/>
      <c r="W2" s="32"/>
      <c r="X2" s="32"/>
      <c r="Y2" s="32"/>
      <c r="Z2" s="32"/>
      <c r="AA2" s="36"/>
      <c r="AB2" s="36"/>
      <c r="AC2" s="32"/>
      <c r="AD2" s="32">
        <v>4</v>
      </c>
      <c r="AE2" s="32"/>
      <c r="AF2" s="32"/>
      <c r="AG2" s="32"/>
      <c r="AH2" s="36"/>
      <c r="AI2" s="36"/>
      <c r="AJ2" s="26" t="e">
        <f>_xlfn.CONCAT(#REF!,Tabela13[[#This Row],[FUNKCJONARIUSZ]])</f>
        <v>#REF!</v>
      </c>
      <c r="AK2" s="27">
        <f t="shared" ref="AK2:AK32" si="0">AM2+AN2+AO2-$AK$1+AP2+AQ2</f>
        <v>-100</v>
      </c>
      <c r="AL2" s="27" t="e">
        <f>MARZEC!AK2</f>
        <v>#REF!</v>
      </c>
      <c r="AM2" s="28">
        <f t="shared" ref="AM2:AM32" si="1">COUNTIF(E2:AI2,"D")*24+COUNTIF(E2:AI2,"12g")*12</f>
        <v>48</v>
      </c>
      <c r="AN2">
        <f t="shared" ref="AN2:AN32" si="2">SUM(COUNTIF(E2:AI2,"k")+COUNTIF(E2:AI2,"s")+COUNTIF(E2:AI2,"wse"))*24+SUM(COUNTIF(E2:AI2,"Pk")+COUNTIF(E2:AI2,"Ps"))*12</f>
        <v>0</v>
      </c>
      <c r="AO2" s="29">
        <f t="shared" ref="AO2:AO32" si="3">SUM(E2:AI2)+COUNTIF(E2:AI2,"uw")*8+COUNTIF(E2:AI2,"us")*8+COUNTIF(E2:AI2,"uz")*8</f>
        <v>4</v>
      </c>
      <c r="AP2" s="1">
        <f t="shared" ref="AP2:AP32" si="4">COUNTIF(E2:AI2,"DT")*8</f>
        <v>0</v>
      </c>
      <c r="AQ2" s="1">
        <v>0</v>
      </c>
    </row>
    <row r="3" spans="1:46" ht="15.9">
      <c r="A3" s="1" t="s">
        <v>63</v>
      </c>
      <c r="B3" s="1" t="s">
        <v>64</v>
      </c>
      <c r="C3" s="134" t="s">
        <v>65</v>
      </c>
      <c r="D3" s="133" t="e">
        <f>#REF!</f>
        <v>#REF!</v>
      </c>
      <c r="E3" s="36"/>
      <c r="F3" s="36"/>
      <c r="G3" s="36"/>
      <c r="H3" s="32"/>
      <c r="I3" s="32"/>
      <c r="J3" s="36"/>
      <c r="K3" s="32"/>
      <c r="L3" s="32"/>
      <c r="M3" s="36"/>
      <c r="N3" s="36"/>
      <c r="O3" s="32">
        <v>17</v>
      </c>
      <c r="P3" s="37" t="s">
        <v>70</v>
      </c>
      <c r="Q3" s="32" t="s">
        <v>70</v>
      </c>
      <c r="R3" s="32" t="s">
        <v>70</v>
      </c>
      <c r="S3" s="32" t="s">
        <v>70</v>
      </c>
      <c r="T3" s="36" t="s">
        <v>70</v>
      </c>
      <c r="U3" s="36" t="s">
        <v>70</v>
      </c>
      <c r="V3" s="32">
        <v>12</v>
      </c>
      <c r="W3" s="32" t="s">
        <v>66</v>
      </c>
      <c r="X3" s="32" t="s">
        <v>66</v>
      </c>
      <c r="Y3" s="32" t="s">
        <v>66</v>
      </c>
      <c r="Z3" s="32" t="s">
        <v>66</v>
      </c>
      <c r="AA3" s="36" t="s">
        <v>66</v>
      </c>
      <c r="AB3" s="36" t="s">
        <v>66</v>
      </c>
      <c r="AC3" s="32" t="s">
        <v>66</v>
      </c>
      <c r="AD3" s="32"/>
      <c r="AE3" s="32"/>
      <c r="AF3" s="32"/>
      <c r="AG3" s="32"/>
      <c r="AH3" s="36"/>
      <c r="AI3" s="36"/>
      <c r="AJ3" s="135" t="e">
        <f>_xlfn.CONCAT(#REF!,Tabela13[[#This Row],[FUNKCJONARIUSZ]])</f>
        <v>#REF!</v>
      </c>
      <c r="AK3" s="27">
        <f t="shared" si="0"/>
        <v>21</v>
      </c>
      <c r="AL3" s="27" t="e">
        <f>MARZEC!AK3</f>
        <v>#REF!</v>
      </c>
      <c r="AM3" s="28">
        <f t="shared" si="1"/>
        <v>0</v>
      </c>
      <c r="AN3">
        <f t="shared" si="2"/>
        <v>144</v>
      </c>
      <c r="AO3" s="29">
        <f t="shared" si="3"/>
        <v>29</v>
      </c>
      <c r="AP3" s="1">
        <f t="shared" si="4"/>
        <v>0</v>
      </c>
      <c r="AQ3" s="1">
        <v>0</v>
      </c>
    </row>
    <row r="4" spans="1:46" ht="15.9">
      <c r="A4" s="1" t="s">
        <v>67</v>
      </c>
      <c r="B4" s="1" t="s">
        <v>64</v>
      </c>
      <c r="C4" s="134" t="s">
        <v>68</v>
      </c>
      <c r="D4" s="133" t="e">
        <f>#REF!</f>
        <v>#REF!</v>
      </c>
      <c r="E4" s="36" t="s">
        <v>70</v>
      </c>
      <c r="F4" s="36" t="s">
        <v>70</v>
      </c>
      <c r="G4" s="36" t="s">
        <v>70</v>
      </c>
      <c r="H4" s="32" t="s">
        <v>69</v>
      </c>
      <c r="I4" s="32" t="s">
        <v>66</v>
      </c>
      <c r="J4" s="36" t="s">
        <v>66</v>
      </c>
      <c r="K4" s="32" t="s">
        <v>66</v>
      </c>
      <c r="L4" s="32" t="s">
        <v>66</v>
      </c>
      <c r="M4" s="36" t="s">
        <v>66</v>
      </c>
      <c r="N4" s="36" t="s">
        <v>66</v>
      </c>
      <c r="O4" s="136" t="s">
        <v>66</v>
      </c>
      <c r="P4" s="137" t="s">
        <v>66</v>
      </c>
      <c r="Q4" s="48" t="s">
        <v>66</v>
      </c>
      <c r="R4" s="32" t="s">
        <v>66</v>
      </c>
      <c r="S4" s="32"/>
      <c r="T4" s="36"/>
      <c r="U4" s="36"/>
      <c r="V4" s="32"/>
      <c r="W4" s="32" t="s">
        <v>113</v>
      </c>
      <c r="X4" s="32" t="s">
        <v>66</v>
      </c>
      <c r="Y4" s="32"/>
      <c r="Z4" s="32" t="s">
        <v>113</v>
      </c>
      <c r="AA4" s="36" t="s">
        <v>66</v>
      </c>
      <c r="AB4" s="36"/>
      <c r="AC4" s="32"/>
      <c r="AD4" s="32"/>
      <c r="AE4" s="32"/>
      <c r="AF4" s="32"/>
      <c r="AG4" s="32"/>
      <c r="AH4" s="36"/>
      <c r="AI4" s="36"/>
      <c r="AJ4" s="135" t="e">
        <f>_xlfn.CONCAT(#REF!,Tabela13[[#This Row],[FUNKCJONARIUSZ]])</f>
        <v>#REF!</v>
      </c>
      <c r="AK4" s="27">
        <f t="shared" si="0"/>
        <v>-20</v>
      </c>
      <c r="AL4" s="27" t="e">
        <f>MARZEC!AK4</f>
        <v>#REF!</v>
      </c>
      <c r="AM4" s="28">
        <f t="shared" si="1"/>
        <v>48</v>
      </c>
      <c r="AN4">
        <f t="shared" si="2"/>
        <v>84</v>
      </c>
      <c r="AO4" s="29">
        <f t="shared" si="3"/>
        <v>0</v>
      </c>
      <c r="AP4" s="1">
        <f t="shared" si="4"/>
        <v>0</v>
      </c>
      <c r="AQ4" s="1">
        <v>0</v>
      </c>
    </row>
    <row r="5" spans="1:46" ht="15.9">
      <c r="A5" s="1" t="s">
        <v>63</v>
      </c>
      <c r="B5" s="1" t="s">
        <v>64</v>
      </c>
      <c r="C5" s="138" t="s">
        <v>71</v>
      </c>
      <c r="D5" s="133" t="e">
        <f>#REF!</f>
        <v>#REF!</v>
      </c>
      <c r="E5" s="36"/>
      <c r="F5" s="36"/>
      <c r="G5" s="36" t="s">
        <v>113</v>
      </c>
      <c r="H5" s="32" t="s">
        <v>66</v>
      </c>
      <c r="I5" s="32"/>
      <c r="J5" s="36"/>
      <c r="K5" s="32"/>
      <c r="L5" s="32"/>
      <c r="M5" s="36" t="s">
        <v>59</v>
      </c>
      <c r="N5" s="36" t="s">
        <v>66</v>
      </c>
      <c r="O5" s="32"/>
      <c r="P5" s="41"/>
      <c r="Q5" s="32"/>
      <c r="R5" s="32"/>
      <c r="S5" s="32"/>
      <c r="T5" s="36" t="s">
        <v>59</v>
      </c>
      <c r="U5" s="36" t="s">
        <v>66</v>
      </c>
      <c r="V5" s="32"/>
      <c r="W5" s="32"/>
      <c r="X5" s="32" t="s">
        <v>113</v>
      </c>
      <c r="Y5" s="32" t="s">
        <v>66</v>
      </c>
      <c r="Z5" s="32"/>
      <c r="AA5" s="36" t="s">
        <v>59</v>
      </c>
      <c r="AB5" s="36" t="s">
        <v>66</v>
      </c>
      <c r="AC5" s="32"/>
      <c r="AD5" s="32"/>
      <c r="AE5" s="32">
        <v>5</v>
      </c>
      <c r="AF5" s="32"/>
      <c r="AG5" s="32"/>
      <c r="AH5" s="36"/>
      <c r="AI5" s="36"/>
      <c r="AJ5" s="135" t="e">
        <f>_xlfn.CONCAT(#REF!,Tabela13[[#This Row],[FUNKCJONARIUSZ]])</f>
        <v>#REF!</v>
      </c>
      <c r="AK5" s="27">
        <f t="shared" si="0"/>
        <v>-27</v>
      </c>
      <c r="AL5" s="27" t="e">
        <f>MARZEC!AK5</f>
        <v>#REF!</v>
      </c>
      <c r="AM5" s="28">
        <f t="shared" si="1"/>
        <v>120</v>
      </c>
      <c r="AN5">
        <f t="shared" si="2"/>
        <v>0</v>
      </c>
      <c r="AO5" s="29">
        <f t="shared" si="3"/>
        <v>5</v>
      </c>
      <c r="AP5" s="1">
        <f t="shared" si="4"/>
        <v>0</v>
      </c>
      <c r="AQ5" s="1">
        <v>0</v>
      </c>
      <c r="AR5" s="36" t="s">
        <v>59</v>
      </c>
      <c r="AS5" s="1" t="s">
        <v>72</v>
      </c>
      <c r="AT5" s="1">
        <v>24</v>
      </c>
    </row>
    <row r="6" spans="1:46" ht="15.9">
      <c r="A6" s="1" t="s">
        <v>67</v>
      </c>
      <c r="B6" s="139" t="s">
        <v>73</v>
      </c>
      <c r="C6" s="140" t="s">
        <v>74</v>
      </c>
      <c r="D6" s="133" t="e">
        <f>#REF!</f>
        <v>#REF!</v>
      </c>
      <c r="E6" s="36" t="s">
        <v>70</v>
      </c>
      <c r="F6" s="36" t="s">
        <v>70</v>
      </c>
      <c r="G6" s="36" t="s">
        <v>70</v>
      </c>
      <c r="H6" s="32">
        <v>10</v>
      </c>
      <c r="I6" s="32" t="s">
        <v>66</v>
      </c>
      <c r="J6" s="36" t="s">
        <v>66</v>
      </c>
      <c r="K6" s="32" t="s">
        <v>66</v>
      </c>
      <c r="L6" s="32" t="s">
        <v>66</v>
      </c>
      <c r="M6" s="36" t="s">
        <v>66</v>
      </c>
      <c r="N6" s="36" t="s">
        <v>66</v>
      </c>
      <c r="O6" s="32" t="s">
        <v>66</v>
      </c>
      <c r="P6" s="32"/>
      <c r="Q6" s="32"/>
      <c r="R6" s="32"/>
      <c r="S6" s="32"/>
      <c r="T6" s="36"/>
      <c r="U6" s="36"/>
      <c r="V6" s="32"/>
      <c r="W6" s="32">
        <v>6</v>
      </c>
      <c r="X6" s="32">
        <v>5</v>
      </c>
      <c r="Y6" s="32"/>
      <c r="Z6" s="32"/>
      <c r="AA6" s="36"/>
      <c r="AB6" s="36"/>
      <c r="AC6" s="32">
        <v>16</v>
      </c>
      <c r="AD6" s="32" t="s">
        <v>70</v>
      </c>
      <c r="AE6" s="32" t="s">
        <v>70</v>
      </c>
      <c r="AF6" s="32" t="s">
        <v>70</v>
      </c>
      <c r="AG6" s="32" t="s">
        <v>70</v>
      </c>
      <c r="AH6" s="36" t="s">
        <v>70</v>
      </c>
      <c r="AI6" s="36" t="s">
        <v>70</v>
      </c>
      <c r="AJ6" s="135" t="e">
        <f>_xlfn.CONCAT(#REF!,Tabela13[[#This Row],[FUNKCJONARIUSZ]])</f>
        <v>#REF!</v>
      </c>
      <c r="AK6" s="27">
        <f t="shared" si="0"/>
        <v>101</v>
      </c>
      <c r="AL6" s="27" t="e">
        <f>MARZEC!AK6</f>
        <v>#REF!</v>
      </c>
      <c r="AM6" s="28">
        <f t="shared" si="1"/>
        <v>0</v>
      </c>
      <c r="AN6">
        <f t="shared" si="2"/>
        <v>216</v>
      </c>
      <c r="AO6" s="29">
        <f t="shared" si="3"/>
        <v>37</v>
      </c>
      <c r="AP6" s="1">
        <f t="shared" si="4"/>
        <v>0</v>
      </c>
      <c r="AQ6" s="1">
        <v>0</v>
      </c>
      <c r="AR6" s="36" t="s">
        <v>76</v>
      </c>
      <c r="AS6" s="1" t="s">
        <v>77</v>
      </c>
      <c r="AT6" s="1">
        <v>12</v>
      </c>
    </row>
    <row r="7" spans="1:46" ht="15.9">
      <c r="A7" s="1" t="s">
        <v>67</v>
      </c>
      <c r="B7" s="131" t="s">
        <v>59</v>
      </c>
      <c r="C7" s="141" t="s">
        <v>78</v>
      </c>
      <c r="D7" s="133" t="e">
        <f>#REF!</f>
        <v>#REF!</v>
      </c>
      <c r="E7" s="36"/>
      <c r="F7" s="36"/>
      <c r="G7" s="36"/>
      <c r="H7" s="32"/>
      <c r="I7" s="32"/>
      <c r="J7" s="36"/>
      <c r="K7" s="32"/>
      <c r="L7" s="32"/>
      <c r="M7" s="36"/>
      <c r="N7" s="36"/>
      <c r="O7" s="32">
        <v>10</v>
      </c>
      <c r="P7" s="32" t="s">
        <v>70</v>
      </c>
      <c r="Q7" s="32" t="s">
        <v>70</v>
      </c>
      <c r="R7" s="32" t="s">
        <v>70</v>
      </c>
      <c r="S7" s="32" t="s">
        <v>70</v>
      </c>
      <c r="T7" s="36" t="s">
        <v>70</v>
      </c>
      <c r="U7" s="36" t="s">
        <v>70</v>
      </c>
      <c r="V7" s="32">
        <v>11</v>
      </c>
      <c r="W7" s="32" t="s">
        <v>66</v>
      </c>
      <c r="X7" s="32" t="s">
        <v>66</v>
      </c>
      <c r="Y7" s="32">
        <v>8</v>
      </c>
      <c r="Z7" s="32">
        <v>8</v>
      </c>
      <c r="AA7" s="36" t="s">
        <v>66</v>
      </c>
      <c r="AB7" s="36" t="s">
        <v>66</v>
      </c>
      <c r="AC7" s="32" t="s">
        <v>66</v>
      </c>
      <c r="AD7" s="32"/>
      <c r="AE7" s="32"/>
      <c r="AF7" s="32"/>
      <c r="AG7" s="32"/>
      <c r="AH7" s="36"/>
      <c r="AI7" s="36"/>
      <c r="AJ7" s="135" t="e">
        <f>_xlfn.CONCAT(#REF!,Tabela13[[#This Row],[FUNKCJONARIUSZ]])</f>
        <v>#REF!</v>
      </c>
      <c r="AK7" s="27">
        <f t="shared" si="0"/>
        <v>29</v>
      </c>
      <c r="AL7" s="27" t="e">
        <f>MARZEC!AK7</f>
        <v>#REF!</v>
      </c>
      <c r="AM7" s="28">
        <f t="shared" si="1"/>
        <v>0</v>
      </c>
      <c r="AN7">
        <f t="shared" si="2"/>
        <v>144</v>
      </c>
      <c r="AO7" s="29">
        <f t="shared" si="3"/>
        <v>37</v>
      </c>
      <c r="AP7" s="1">
        <f t="shared" si="4"/>
        <v>0</v>
      </c>
      <c r="AQ7" s="1">
        <v>0</v>
      </c>
      <c r="AR7" s="36" t="s">
        <v>69</v>
      </c>
      <c r="AS7" s="1" t="s">
        <v>79</v>
      </c>
      <c r="AT7" s="1">
        <v>12</v>
      </c>
    </row>
    <row r="8" spans="1:46" ht="15.9">
      <c r="A8" s="1" t="s">
        <v>67</v>
      </c>
      <c r="B8" s="131" t="s">
        <v>59</v>
      </c>
      <c r="C8" s="142" t="s">
        <v>80</v>
      </c>
      <c r="D8" s="133" t="e">
        <f>#REF!</f>
        <v>#REF!</v>
      </c>
      <c r="E8" s="36"/>
      <c r="F8" s="36"/>
      <c r="G8" s="36"/>
      <c r="H8" s="32">
        <v>16</v>
      </c>
      <c r="I8" s="32" t="s">
        <v>70</v>
      </c>
      <c r="J8" s="36" t="s">
        <v>70</v>
      </c>
      <c r="K8" s="32" t="s">
        <v>70</v>
      </c>
      <c r="L8" s="32" t="s">
        <v>70</v>
      </c>
      <c r="M8" s="36" t="s">
        <v>70</v>
      </c>
      <c r="N8" s="36" t="s">
        <v>70</v>
      </c>
      <c r="O8" s="32">
        <v>15</v>
      </c>
      <c r="P8" s="32" t="s">
        <v>66</v>
      </c>
      <c r="Q8" s="32" t="s">
        <v>66</v>
      </c>
      <c r="R8" s="32" t="s">
        <v>66</v>
      </c>
      <c r="S8" s="32" t="s">
        <v>66</v>
      </c>
      <c r="T8" s="36" t="s">
        <v>66</v>
      </c>
      <c r="U8" s="36" t="s">
        <v>66</v>
      </c>
      <c r="V8" s="32" t="s">
        <v>66</v>
      </c>
      <c r="W8" s="32"/>
      <c r="X8" s="32"/>
      <c r="Y8" s="32"/>
      <c r="Z8" s="32"/>
      <c r="AA8" s="36"/>
      <c r="AB8" s="36"/>
      <c r="AC8" s="32"/>
      <c r="AD8" s="32">
        <v>5</v>
      </c>
      <c r="AE8" s="32"/>
      <c r="AF8" s="32"/>
      <c r="AG8" s="32"/>
      <c r="AH8" s="36"/>
      <c r="AI8" s="36"/>
      <c r="AJ8" s="135" t="e">
        <f>_xlfn.CONCAT(#REF!,Tabela13[[#This Row],[FUNKCJONARIUSZ]])</f>
        <v>#REF!</v>
      </c>
      <c r="AK8" s="27">
        <f t="shared" si="0"/>
        <v>28</v>
      </c>
      <c r="AL8" s="27" t="e">
        <f>MARZEC!AK8</f>
        <v>#REF!</v>
      </c>
      <c r="AM8" s="28">
        <f t="shared" si="1"/>
        <v>0</v>
      </c>
      <c r="AN8">
        <f t="shared" si="2"/>
        <v>144</v>
      </c>
      <c r="AO8" s="29">
        <f t="shared" si="3"/>
        <v>36</v>
      </c>
      <c r="AP8" s="1">
        <f t="shared" si="4"/>
        <v>0</v>
      </c>
      <c r="AQ8" s="1">
        <v>0</v>
      </c>
      <c r="AR8" s="36" t="s">
        <v>70</v>
      </c>
      <c r="AS8" s="1" t="s">
        <v>81</v>
      </c>
      <c r="AT8" s="1">
        <v>24</v>
      </c>
    </row>
    <row r="9" spans="1:46" ht="15.9">
      <c r="A9" s="1" t="s">
        <v>67</v>
      </c>
      <c r="B9" s="131" t="s">
        <v>59</v>
      </c>
      <c r="C9" s="142" t="s">
        <v>82</v>
      </c>
      <c r="D9" s="133" t="e">
        <f>#REF!</f>
        <v>#REF!</v>
      </c>
      <c r="E9" s="36" t="s">
        <v>66</v>
      </c>
      <c r="F9" s="36" t="s">
        <v>66</v>
      </c>
      <c r="G9" s="36" t="s">
        <v>66</v>
      </c>
      <c r="H9" s="32" t="s">
        <v>66</v>
      </c>
      <c r="I9" s="32"/>
      <c r="J9" s="36"/>
      <c r="K9" s="32"/>
      <c r="L9" s="32"/>
      <c r="M9" s="36"/>
      <c r="N9" s="36"/>
      <c r="O9" s="32" t="s">
        <v>83</v>
      </c>
      <c r="P9" s="32" t="s">
        <v>83</v>
      </c>
      <c r="Q9" s="32" t="s">
        <v>83</v>
      </c>
      <c r="R9" s="32" t="s">
        <v>83</v>
      </c>
      <c r="S9" s="32" t="s">
        <v>83</v>
      </c>
      <c r="T9" s="36"/>
      <c r="U9" s="36"/>
      <c r="V9" s="32"/>
      <c r="W9" s="32">
        <v>5</v>
      </c>
      <c r="X9" s="32"/>
      <c r="Y9" s="32"/>
      <c r="Z9" s="32"/>
      <c r="AA9" s="36"/>
      <c r="AB9" s="36"/>
      <c r="AC9" s="32">
        <v>17</v>
      </c>
      <c r="AD9" s="32" t="s">
        <v>70</v>
      </c>
      <c r="AE9" s="32" t="s">
        <v>70</v>
      </c>
      <c r="AF9" s="32" t="s">
        <v>70</v>
      </c>
      <c r="AG9" s="32" t="s">
        <v>70</v>
      </c>
      <c r="AH9" s="36" t="s">
        <v>70</v>
      </c>
      <c r="AI9" s="36" t="s">
        <v>70</v>
      </c>
      <c r="AJ9" s="135" t="e">
        <f>_xlfn.CONCAT(#REF!,Tabela13[[#This Row],[FUNKCJONARIUSZ]])</f>
        <v>#REF!</v>
      </c>
      <c r="AK9" s="27">
        <f t="shared" si="0"/>
        <v>54</v>
      </c>
      <c r="AL9" s="27" t="e">
        <f>MARZEC!AK9</f>
        <v>#REF!</v>
      </c>
      <c r="AM9" s="28">
        <f t="shared" si="1"/>
        <v>0</v>
      </c>
      <c r="AN9">
        <f t="shared" si="2"/>
        <v>144</v>
      </c>
      <c r="AO9" s="29">
        <f t="shared" si="3"/>
        <v>62</v>
      </c>
      <c r="AP9" s="1">
        <f t="shared" si="4"/>
        <v>0</v>
      </c>
      <c r="AQ9" s="1">
        <v>0</v>
      </c>
      <c r="AR9" s="36" t="s">
        <v>83</v>
      </c>
      <c r="AS9" s="1" t="s">
        <v>84</v>
      </c>
      <c r="AT9" s="1">
        <v>8</v>
      </c>
    </row>
    <row r="10" spans="1:46" ht="15.9">
      <c r="A10" s="1" t="s">
        <v>58</v>
      </c>
      <c r="B10" s="139" t="s">
        <v>73</v>
      </c>
      <c r="C10" s="140" t="s">
        <v>85</v>
      </c>
      <c r="D10" s="133" t="e">
        <f>#REF!</f>
        <v>#REF!</v>
      </c>
      <c r="E10" s="36"/>
      <c r="F10" s="36"/>
      <c r="G10" s="36"/>
      <c r="H10" s="32" t="s">
        <v>83</v>
      </c>
      <c r="I10" s="32" t="s">
        <v>83</v>
      </c>
      <c r="J10" s="36" t="s">
        <v>66</v>
      </c>
      <c r="K10" s="32" t="s">
        <v>83</v>
      </c>
      <c r="L10" s="32" t="s">
        <v>83</v>
      </c>
      <c r="M10" s="36" t="s">
        <v>66</v>
      </c>
      <c r="N10" s="36" t="s">
        <v>66</v>
      </c>
      <c r="O10" s="32" t="s">
        <v>83</v>
      </c>
      <c r="P10" s="32" t="s">
        <v>83</v>
      </c>
      <c r="Q10" s="32" t="s">
        <v>83</v>
      </c>
      <c r="R10" s="32" t="s">
        <v>83</v>
      </c>
      <c r="S10" s="32" t="s">
        <v>83</v>
      </c>
      <c r="T10" s="36"/>
      <c r="U10" s="36"/>
      <c r="V10" s="32">
        <v>17</v>
      </c>
      <c r="W10" s="32" t="s">
        <v>70</v>
      </c>
      <c r="X10" s="32" t="s">
        <v>70</v>
      </c>
      <c r="Y10" s="32" t="s">
        <v>70</v>
      </c>
      <c r="Z10" s="32" t="s">
        <v>70</v>
      </c>
      <c r="AA10" s="36" t="s">
        <v>70</v>
      </c>
      <c r="AB10" s="36" t="s">
        <v>70</v>
      </c>
      <c r="AC10" s="32">
        <v>11</v>
      </c>
      <c r="AD10" s="32" t="s">
        <v>66</v>
      </c>
      <c r="AE10" s="32" t="s">
        <v>66</v>
      </c>
      <c r="AF10" s="32" t="s">
        <v>66</v>
      </c>
      <c r="AG10" s="32" t="s">
        <v>66</v>
      </c>
      <c r="AH10" s="36" t="s">
        <v>66</v>
      </c>
      <c r="AI10" s="36" t="s">
        <v>66</v>
      </c>
      <c r="AJ10" s="135" t="e">
        <f>_xlfn.CONCAT(#REF!,Tabela13[[#This Row],[FUNKCJONARIUSZ]])</f>
        <v>#REF!</v>
      </c>
      <c r="AK10" s="27">
        <f t="shared" si="0"/>
        <v>92</v>
      </c>
      <c r="AL10" s="27" t="e">
        <f>MARZEC!AK10</f>
        <v>#REF!</v>
      </c>
      <c r="AM10" s="28">
        <f t="shared" si="1"/>
        <v>0</v>
      </c>
      <c r="AN10">
        <f t="shared" si="2"/>
        <v>144</v>
      </c>
      <c r="AO10" s="29">
        <f t="shared" si="3"/>
        <v>100</v>
      </c>
      <c r="AP10" s="1">
        <f t="shared" si="4"/>
        <v>0</v>
      </c>
      <c r="AQ10" s="1">
        <v>0</v>
      </c>
      <c r="AR10" s="36" t="s">
        <v>75</v>
      </c>
      <c r="AS10" s="1" t="s">
        <v>86</v>
      </c>
      <c r="AT10" s="1">
        <v>8</v>
      </c>
    </row>
    <row r="11" spans="1:46" ht="15.9">
      <c r="A11" s="1" t="s">
        <v>58</v>
      </c>
      <c r="B11" s="139" t="s">
        <v>73</v>
      </c>
      <c r="C11" s="140" t="s">
        <v>87</v>
      </c>
      <c r="D11" s="133" t="e">
        <f>#REF!</f>
        <v>#REF!</v>
      </c>
      <c r="E11" s="36" t="s">
        <v>66</v>
      </c>
      <c r="F11" s="36" t="s">
        <v>66</v>
      </c>
      <c r="G11" s="36" t="s">
        <v>66</v>
      </c>
      <c r="H11" s="32" t="s">
        <v>66</v>
      </c>
      <c r="I11" s="32"/>
      <c r="J11" s="36"/>
      <c r="K11" s="32"/>
      <c r="L11" s="32"/>
      <c r="M11" s="36"/>
      <c r="N11" s="36"/>
      <c r="O11" s="32"/>
      <c r="P11" s="32"/>
      <c r="Q11" s="32"/>
      <c r="R11" s="32"/>
      <c r="S11" s="32"/>
      <c r="T11" s="36"/>
      <c r="U11" s="36" t="s">
        <v>59</v>
      </c>
      <c r="V11" s="32" t="s">
        <v>66</v>
      </c>
      <c r="W11" s="32"/>
      <c r="X11" s="32"/>
      <c r="Y11" s="32">
        <v>4.5</v>
      </c>
      <c r="Z11" s="32"/>
      <c r="AA11" s="36"/>
      <c r="AB11" s="36"/>
      <c r="AC11" s="32"/>
      <c r="AD11" s="32" t="s">
        <v>113</v>
      </c>
      <c r="AE11" s="32" t="s">
        <v>66</v>
      </c>
      <c r="AF11" s="32"/>
      <c r="AG11" s="32"/>
      <c r="AH11" s="36"/>
      <c r="AI11" s="36"/>
      <c r="AJ11" s="135" t="e">
        <f>_xlfn.CONCAT(#REF!,Tabela13[[#This Row],[FUNKCJONARIUSZ]])</f>
        <v>#REF!</v>
      </c>
      <c r="AK11" s="27">
        <f t="shared" si="0"/>
        <v>-99.5</v>
      </c>
      <c r="AL11" s="27" t="e">
        <f>MARZEC!AK11</f>
        <v>#REF!</v>
      </c>
      <c r="AM11" s="28">
        <f t="shared" si="1"/>
        <v>48</v>
      </c>
      <c r="AN11">
        <f t="shared" si="2"/>
        <v>0</v>
      </c>
      <c r="AO11" s="29">
        <f t="shared" si="3"/>
        <v>4.5</v>
      </c>
      <c r="AP11" s="1">
        <f t="shared" si="4"/>
        <v>0</v>
      </c>
      <c r="AQ11" s="1">
        <v>0</v>
      </c>
      <c r="AR11" s="36" t="s">
        <v>88</v>
      </c>
      <c r="AS11" s="1" t="s">
        <v>89</v>
      </c>
      <c r="AT11" s="1">
        <v>8</v>
      </c>
    </row>
    <row r="12" spans="1:46" ht="15.9">
      <c r="A12" s="1" t="s">
        <v>90</v>
      </c>
      <c r="B12" s="1" t="s">
        <v>64</v>
      </c>
      <c r="C12" s="134" t="s">
        <v>91</v>
      </c>
      <c r="D12" s="133" t="e">
        <f>#REF!</f>
        <v>#REF!</v>
      </c>
      <c r="E12" s="36" t="s">
        <v>66</v>
      </c>
      <c r="F12" s="36" t="s">
        <v>66</v>
      </c>
      <c r="G12" s="36" t="s">
        <v>66</v>
      </c>
      <c r="H12" s="32" t="s">
        <v>66</v>
      </c>
      <c r="I12" s="32"/>
      <c r="J12" s="36"/>
      <c r="K12" s="32"/>
      <c r="L12" s="32"/>
      <c r="M12" s="36"/>
      <c r="N12" s="36"/>
      <c r="O12" s="32"/>
      <c r="P12" s="32" t="s">
        <v>113</v>
      </c>
      <c r="Q12" s="32" t="s">
        <v>66</v>
      </c>
      <c r="R12" s="32"/>
      <c r="S12" s="32" t="s">
        <v>113</v>
      </c>
      <c r="T12" s="36" t="s">
        <v>66</v>
      </c>
      <c r="U12" s="36"/>
      <c r="V12" s="32"/>
      <c r="W12" s="32"/>
      <c r="X12" s="32"/>
      <c r="Y12" s="32"/>
      <c r="Z12" s="32"/>
      <c r="AA12" s="36"/>
      <c r="AB12" s="36"/>
      <c r="AC12" s="32"/>
      <c r="AD12" s="32"/>
      <c r="AE12" s="32"/>
      <c r="AF12" s="32"/>
      <c r="AG12" s="32"/>
      <c r="AH12" s="36"/>
      <c r="AI12" s="36"/>
      <c r="AJ12" s="135" t="e">
        <f>_xlfn.CONCAT(#REF!,Tabela13[[#This Row],[FUNKCJONARIUSZ]])</f>
        <v>#REF!</v>
      </c>
      <c r="AK12" s="27">
        <f t="shared" si="0"/>
        <v>-104</v>
      </c>
      <c r="AL12" s="27" t="e">
        <f>MARZEC!AK12</f>
        <v>#REF!</v>
      </c>
      <c r="AM12" s="28">
        <f t="shared" si="1"/>
        <v>48</v>
      </c>
      <c r="AN12">
        <f t="shared" si="2"/>
        <v>0</v>
      </c>
      <c r="AO12" s="29">
        <f t="shared" si="3"/>
        <v>0</v>
      </c>
      <c r="AP12" s="1">
        <f t="shared" si="4"/>
        <v>0</v>
      </c>
      <c r="AQ12" s="1">
        <v>0</v>
      </c>
      <c r="AR12" s="36" t="s">
        <v>92</v>
      </c>
      <c r="AS12" s="1" t="s">
        <v>79</v>
      </c>
      <c r="AT12" s="1">
        <v>12</v>
      </c>
    </row>
    <row r="13" spans="1:46" ht="15.9">
      <c r="A13" s="1" t="s">
        <v>58</v>
      </c>
      <c r="B13" s="143" t="s">
        <v>93</v>
      </c>
      <c r="C13" s="144" t="s">
        <v>94</v>
      </c>
      <c r="D13" s="133" t="e">
        <f>#REF!</f>
        <v>#REF!</v>
      </c>
      <c r="E13" s="36"/>
      <c r="F13" s="36"/>
      <c r="G13" s="36"/>
      <c r="H13" s="32"/>
      <c r="I13" s="32"/>
      <c r="J13" s="36"/>
      <c r="K13" s="32"/>
      <c r="L13" s="32" t="s">
        <v>66</v>
      </c>
      <c r="M13" s="36" t="s">
        <v>66</v>
      </c>
      <c r="N13" s="36" t="s">
        <v>66</v>
      </c>
      <c r="O13" s="32"/>
      <c r="P13" s="32"/>
      <c r="Q13" s="32"/>
      <c r="R13" s="32"/>
      <c r="S13" s="32"/>
      <c r="T13" s="36"/>
      <c r="U13" s="36"/>
      <c r="V13" s="32">
        <v>17</v>
      </c>
      <c r="W13" s="32" t="s">
        <v>70</v>
      </c>
      <c r="X13" s="32" t="s">
        <v>70</v>
      </c>
      <c r="Y13" s="32" t="s">
        <v>70</v>
      </c>
      <c r="Z13" s="32" t="s">
        <v>70</v>
      </c>
      <c r="AA13" s="36" t="s">
        <v>70</v>
      </c>
      <c r="AB13" s="36" t="s">
        <v>70</v>
      </c>
      <c r="AC13" s="32">
        <v>11</v>
      </c>
      <c r="AD13" s="32" t="s">
        <v>66</v>
      </c>
      <c r="AE13" s="32" t="s">
        <v>66</v>
      </c>
      <c r="AF13" s="32" t="s">
        <v>66</v>
      </c>
      <c r="AG13" s="32" t="s">
        <v>66</v>
      </c>
      <c r="AH13" s="36" t="s">
        <v>66</v>
      </c>
      <c r="AI13" s="36" t="s">
        <v>66</v>
      </c>
      <c r="AJ13" s="135" t="e">
        <f>_xlfn.CONCAT(#REF!,Tabela13[[#This Row],[FUNKCJONARIUSZ]])</f>
        <v>#REF!</v>
      </c>
      <c r="AK13" s="27">
        <f t="shared" si="0"/>
        <v>20</v>
      </c>
      <c r="AL13" s="27" t="e">
        <f>MARZEC!AK13</f>
        <v>#REF!</v>
      </c>
      <c r="AM13" s="28">
        <f t="shared" si="1"/>
        <v>0</v>
      </c>
      <c r="AN13">
        <f t="shared" si="2"/>
        <v>144</v>
      </c>
      <c r="AO13" s="29">
        <f t="shared" si="3"/>
        <v>28</v>
      </c>
      <c r="AP13" s="1">
        <f t="shared" si="4"/>
        <v>0</v>
      </c>
      <c r="AQ13" s="1">
        <v>0</v>
      </c>
      <c r="AR13" s="36" t="s">
        <v>95</v>
      </c>
      <c r="AS13" s="1" t="s">
        <v>96</v>
      </c>
      <c r="AT13" s="1">
        <v>24</v>
      </c>
    </row>
    <row r="14" spans="1:46" ht="15.9">
      <c r="A14" s="1" t="s">
        <v>90</v>
      </c>
      <c r="B14" s="131" t="s">
        <v>59</v>
      </c>
      <c r="C14" s="142" t="s">
        <v>97</v>
      </c>
      <c r="D14" s="133" t="e">
        <f>#REF!</f>
        <v>#REF!</v>
      </c>
      <c r="E14" s="36"/>
      <c r="F14" s="36"/>
      <c r="G14" s="36"/>
      <c r="H14" s="32" t="s">
        <v>88</v>
      </c>
      <c r="I14" s="32"/>
      <c r="J14" s="36" t="s">
        <v>59</v>
      </c>
      <c r="K14" s="32" t="s">
        <v>66</v>
      </c>
      <c r="L14" s="32"/>
      <c r="M14" s="36"/>
      <c r="N14" s="36"/>
      <c r="O14" s="32"/>
      <c r="P14" s="32"/>
      <c r="Q14" s="32"/>
      <c r="R14" s="32"/>
      <c r="S14" s="32"/>
      <c r="T14" s="36"/>
      <c r="U14" s="36"/>
      <c r="V14" s="32"/>
      <c r="W14" s="32"/>
      <c r="X14" s="32"/>
      <c r="Y14" s="32"/>
      <c r="Z14" s="32" t="s">
        <v>76</v>
      </c>
      <c r="AA14" s="36"/>
      <c r="AB14" s="36"/>
      <c r="AC14" s="32"/>
      <c r="AD14" s="32">
        <v>5</v>
      </c>
      <c r="AE14" s="32" t="s">
        <v>113</v>
      </c>
      <c r="AF14" s="32"/>
      <c r="AG14" s="32"/>
      <c r="AH14" s="36" t="s">
        <v>113</v>
      </c>
      <c r="AI14" s="36"/>
      <c r="AJ14" s="135" t="e">
        <f>_xlfn.CONCAT(#REF!,Tabela13[[#This Row],[FUNKCJONARIUSZ]])</f>
        <v>#REF!</v>
      </c>
      <c r="AK14" s="27">
        <f t="shared" si="0"/>
        <v>-55</v>
      </c>
      <c r="AL14" s="27" t="e">
        <f>MARZEC!AK14</f>
        <v>#REF!</v>
      </c>
      <c r="AM14" s="28">
        <f t="shared" si="1"/>
        <v>84</v>
      </c>
      <c r="AN14">
        <f t="shared" si="2"/>
        <v>0</v>
      </c>
      <c r="AO14" s="29">
        <f t="shared" si="3"/>
        <v>13</v>
      </c>
      <c r="AP14" s="1">
        <f t="shared" si="4"/>
        <v>0</v>
      </c>
      <c r="AQ14" s="1">
        <v>0</v>
      </c>
      <c r="AR14" s="36" t="s">
        <v>98</v>
      </c>
      <c r="AS14" s="1" t="s">
        <v>99</v>
      </c>
      <c r="AT14" s="1">
        <v>24</v>
      </c>
    </row>
    <row r="15" spans="1:46" ht="15.9">
      <c r="A15" s="1" t="s">
        <v>58</v>
      </c>
      <c r="B15" s="143" t="s">
        <v>93</v>
      </c>
      <c r="C15" s="144" t="s">
        <v>100</v>
      </c>
      <c r="D15" s="133" t="e">
        <f>#REF!</f>
        <v>#REF!</v>
      </c>
      <c r="E15" s="36"/>
      <c r="F15" s="36"/>
      <c r="G15" s="36"/>
      <c r="H15" s="32"/>
      <c r="I15" s="32"/>
      <c r="J15" s="36"/>
      <c r="K15" s="32"/>
      <c r="L15" s="32"/>
      <c r="M15" s="36"/>
      <c r="N15" s="36"/>
      <c r="O15" s="32"/>
      <c r="P15" s="32"/>
      <c r="Q15" s="32"/>
      <c r="R15" s="32"/>
      <c r="S15" s="32"/>
      <c r="T15" s="36"/>
      <c r="U15" s="36"/>
      <c r="V15" s="32"/>
      <c r="W15" s="32" t="s">
        <v>169</v>
      </c>
      <c r="X15" s="32" t="s">
        <v>169</v>
      </c>
      <c r="Y15" s="32" t="s">
        <v>169</v>
      </c>
      <c r="Z15" s="32" t="s">
        <v>169</v>
      </c>
      <c r="AA15" s="36" t="s">
        <v>66</v>
      </c>
      <c r="AB15" s="36" t="s">
        <v>66</v>
      </c>
      <c r="AC15" s="32" t="s">
        <v>169</v>
      </c>
      <c r="AD15" s="32" t="s">
        <v>169</v>
      </c>
      <c r="AE15" s="32" t="s">
        <v>169</v>
      </c>
      <c r="AF15" s="32" t="s">
        <v>169</v>
      </c>
      <c r="AG15" s="32" t="s">
        <v>169</v>
      </c>
      <c r="AH15" s="36" t="s">
        <v>66</v>
      </c>
      <c r="AI15" s="36" t="s">
        <v>66</v>
      </c>
      <c r="AJ15" s="135" t="e">
        <f>_xlfn.CONCAT(#REF!,Tabela13[[#This Row],[FUNKCJONARIUSZ]])</f>
        <v>#REF!</v>
      </c>
      <c r="AK15" s="27">
        <f t="shared" si="0"/>
        <v>-104</v>
      </c>
      <c r="AL15" s="27">
        <f>MARZEC!AK15</f>
        <v>-95</v>
      </c>
      <c r="AM15" s="28">
        <f t="shared" si="1"/>
        <v>0</v>
      </c>
      <c r="AN15">
        <f t="shared" si="2"/>
        <v>0</v>
      </c>
      <c r="AO15" s="29">
        <f t="shared" si="3"/>
        <v>0</v>
      </c>
      <c r="AP15" s="1">
        <f t="shared" si="4"/>
        <v>0</v>
      </c>
      <c r="AQ15" s="1">
        <f>2*24</f>
        <v>48</v>
      </c>
      <c r="AR15" s="32" t="s">
        <v>101</v>
      </c>
      <c r="AS15" s="1" t="s">
        <v>102</v>
      </c>
      <c r="AT15" s="1" t="s">
        <v>103</v>
      </c>
    </row>
    <row r="16" spans="1:46" ht="15.9">
      <c r="A16" s="1" t="s">
        <v>90</v>
      </c>
      <c r="B16" s="1" t="s">
        <v>64</v>
      </c>
      <c r="C16" s="134" t="s">
        <v>104</v>
      </c>
      <c r="D16" s="133" t="e">
        <f>#REF!</f>
        <v>#REF!</v>
      </c>
      <c r="E16" s="36"/>
      <c r="F16" s="36"/>
      <c r="G16" s="36"/>
      <c r="H16" s="32"/>
      <c r="I16" s="32"/>
      <c r="J16" s="36"/>
      <c r="K16" s="32"/>
      <c r="L16" s="32"/>
      <c r="M16" s="36"/>
      <c r="N16" s="36"/>
      <c r="O16" s="37"/>
      <c r="P16" s="32"/>
      <c r="Q16" s="32"/>
      <c r="R16" s="32"/>
      <c r="S16" s="32"/>
      <c r="T16" s="36"/>
      <c r="U16" s="36"/>
      <c r="V16" s="32"/>
      <c r="W16" s="32"/>
      <c r="X16" s="32"/>
      <c r="Y16" s="32"/>
      <c r="Z16" s="32"/>
      <c r="AA16" s="36"/>
      <c r="AB16" s="36"/>
      <c r="AC16" s="32">
        <v>17</v>
      </c>
      <c r="AD16" s="32" t="s">
        <v>70</v>
      </c>
      <c r="AE16" s="32" t="s">
        <v>70</v>
      </c>
      <c r="AF16" s="32" t="s">
        <v>70</v>
      </c>
      <c r="AG16" s="32" t="s">
        <v>70</v>
      </c>
      <c r="AH16" s="36" t="s">
        <v>70</v>
      </c>
      <c r="AI16" s="36" t="s">
        <v>70</v>
      </c>
      <c r="AJ16" s="135" t="e">
        <f>_xlfn.CONCAT(#REF!,Tabela13[[#This Row],[FUNKCJONARIUSZ]])</f>
        <v>#REF!</v>
      </c>
      <c r="AK16" s="27">
        <f t="shared" si="0"/>
        <v>9</v>
      </c>
      <c r="AL16" s="27" t="e">
        <f>MARZEC!AK16</f>
        <v>#REF!</v>
      </c>
      <c r="AM16" s="28">
        <f t="shared" si="1"/>
        <v>0</v>
      </c>
      <c r="AN16">
        <f t="shared" si="2"/>
        <v>144</v>
      </c>
      <c r="AO16" s="29">
        <f t="shared" si="3"/>
        <v>17</v>
      </c>
      <c r="AP16" s="1">
        <f t="shared" si="4"/>
        <v>0</v>
      </c>
      <c r="AQ16" s="1">
        <v>0</v>
      </c>
    </row>
    <row r="17" spans="1:43" ht="15.9">
      <c r="A17" s="1" t="s">
        <v>58</v>
      </c>
      <c r="B17" s="1" t="s">
        <v>64</v>
      </c>
      <c r="C17" s="134" t="s">
        <v>161</v>
      </c>
      <c r="D17" s="133" t="e">
        <f>#REF!</f>
        <v>#REF!</v>
      </c>
      <c r="E17" s="36" t="s">
        <v>59</v>
      </c>
      <c r="F17" s="36" t="s">
        <v>66</v>
      </c>
      <c r="G17" s="36"/>
      <c r="H17" s="32"/>
      <c r="I17" s="32"/>
      <c r="J17" s="36"/>
      <c r="K17" s="32"/>
      <c r="L17" s="32"/>
      <c r="M17" s="36"/>
      <c r="N17" s="145"/>
      <c r="O17" s="137" t="s">
        <v>66</v>
      </c>
      <c r="P17" s="48" t="s">
        <v>66</v>
      </c>
      <c r="Q17" s="32"/>
      <c r="R17" s="32"/>
      <c r="S17" s="32"/>
      <c r="T17" s="36"/>
      <c r="U17" s="36"/>
      <c r="V17" s="32">
        <v>17</v>
      </c>
      <c r="W17" s="32" t="s">
        <v>70</v>
      </c>
      <c r="X17" s="32" t="s">
        <v>70</v>
      </c>
      <c r="Y17" s="32" t="s">
        <v>70</v>
      </c>
      <c r="Z17" s="32" t="s">
        <v>70</v>
      </c>
      <c r="AA17" s="36" t="s">
        <v>70</v>
      </c>
      <c r="AB17" s="36" t="s">
        <v>70</v>
      </c>
      <c r="AC17" s="32">
        <v>11</v>
      </c>
      <c r="AD17" s="32" t="s">
        <v>66</v>
      </c>
      <c r="AE17" s="32" t="s">
        <v>66</v>
      </c>
      <c r="AF17" s="32" t="s">
        <v>66</v>
      </c>
      <c r="AG17" s="32" t="s">
        <v>66</v>
      </c>
      <c r="AH17" s="36" t="s">
        <v>66</v>
      </c>
      <c r="AI17" s="36" t="s">
        <v>66</v>
      </c>
      <c r="AJ17" s="135" t="e">
        <f>_xlfn.CONCAT(#REF!,Tabela13[[#This Row],[FUNKCJONARIUSZ]])</f>
        <v>#REF!</v>
      </c>
      <c r="AK17" s="27">
        <f t="shared" si="0"/>
        <v>44</v>
      </c>
      <c r="AL17" s="27" t="e">
        <f>MARZEC!AK17</f>
        <v>#REF!</v>
      </c>
      <c r="AM17" s="28">
        <f t="shared" si="1"/>
        <v>24</v>
      </c>
      <c r="AN17">
        <f t="shared" si="2"/>
        <v>144</v>
      </c>
      <c r="AO17" s="29">
        <f t="shared" si="3"/>
        <v>28</v>
      </c>
      <c r="AP17" s="1">
        <f t="shared" si="4"/>
        <v>0</v>
      </c>
      <c r="AQ17" s="1">
        <v>0</v>
      </c>
    </row>
    <row r="18" spans="1:43" ht="15.9">
      <c r="A18" s="1" t="s">
        <v>105</v>
      </c>
      <c r="B18" s="1" t="s">
        <v>64</v>
      </c>
      <c r="C18" s="134" t="s">
        <v>106</v>
      </c>
      <c r="D18" s="133" t="e">
        <f>#REF!</f>
        <v>#REF!</v>
      </c>
      <c r="E18" s="36"/>
      <c r="F18" s="36" t="s">
        <v>59</v>
      </c>
      <c r="G18" s="36" t="s">
        <v>66</v>
      </c>
      <c r="H18" s="32"/>
      <c r="I18" s="32"/>
      <c r="J18" s="36"/>
      <c r="K18" s="32" t="s">
        <v>76</v>
      </c>
      <c r="L18" s="32"/>
      <c r="M18" s="36"/>
      <c r="N18" s="36"/>
      <c r="O18" s="41"/>
      <c r="P18" s="32"/>
      <c r="Q18" s="32"/>
      <c r="R18" s="32"/>
      <c r="S18" s="32"/>
      <c r="T18" s="36"/>
      <c r="U18" s="36"/>
      <c r="V18" s="32" t="s">
        <v>113</v>
      </c>
      <c r="W18" s="32"/>
      <c r="X18" s="32">
        <v>5</v>
      </c>
      <c r="Y18" s="32"/>
      <c r="Z18" s="32"/>
      <c r="AA18" s="36"/>
      <c r="AB18" s="36"/>
      <c r="AC18" s="32"/>
      <c r="AD18" s="32"/>
      <c r="AE18" s="32"/>
      <c r="AF18" s="32" t="s">
        <v>113</v>
      </c>
      <c r="AG18" s="32"/>
      <c r="AH18" s="36"/>
      <c r="AI18" s="36">
        <v>16</v>
      </c>
      <c r="AJ18" s="135" t="e">
        <f>_xlfn.CONCAT(#REF!,Tabela13[[#This Row],[FUNKCJONARIUSZ]])</f>
        <v>#REF!</v>
      </c>
      <c r="AK18" s="27">
        <f t="shared" si="0"/>
        <v>-47</v>
      </c>
      <c r="AL18" s="27" t="e">
        <f>MARZEC!AK18</f>
        <v>#REF!</v>
      </c>
      <c r="AM18" s="28">
        <f t="shared" si="1"/>
        <v>84</v>
      </c>
      <c r="AN18">
        <f t="shared" si="2"/>
        <v>0</v>
      </c>
      <c r="AO18" s="29">
        <f t="shared" si="3"/>
        <v>21</v>
      </c>
      <c r="AP18" s="1">
        <f t="shared" si="4"/>
        <v>0</v>
      </c>
      <c r="AQ18" s="1">
        <v>0</v>
      </c>
    </row>
    <row r="19" spans="1:43" ht="15.9">
      <c r="A19" s="1" t="s">
        <v>67</v>
      </c>
      <c r="B19" s="139" t="s">
        <v>73</v>
      </c>
      <c r="C19" s="140" t="s">
        <v>107</v>
      </c>
      <c r="D19" s="133" t="e">
        <f>#REF!</f>
        <v>#REF!</v>
      </c>
      <c r="E19" s="36"/>
      <c r="F19" s="36"/>
      <c r="G19" s="36"/>
      <c r="H19" s="32">
        <v>16</v>
      </c>
      <c r="I19" s="32" t="s">
        <v>70</v>
      </c>
      <c r="J19" s="36" t="s">
        <v>70</v>
      </c>
      <c r="K19" s="32" t="s">
        <v>70</v>
      </c>
      <c r="L19" s="32" t="s">
        <v>70</v>
      </c>
      <c r="M19" s="36" t="s">
        <v>70</v>
      </c>
      <c r="N19" s="36" t="s">
        <v>70</v>
      </c>
      <c r="O19" s="32">
        <v>11</v>
      </c>
      <c r="P19" s="32" t="s">
        <v>66</v>
      </c>
      <c r="Q19" s="32" t="s">
        <v>66</v>
      </c>
      <c r="R19" s="32" t="s">
        <v>66</v>
      </c>
      <c r="S19" s="32" t="s">
        <v>66</v>
      </c>
      <c r="T19" s="36" t="s">
        <v>66</v>
      </c>
      <c r="U19" s="36" t="s">
        <v>66</v>
      </c>
      <c r="V19" s="32"/>
      <c r="W19" s="32">
        <v>6</v>
      </c>
      <c r="X19" s="32">
        <v>5</v>
      </c>
      <c r="Y19" s="32">
        <v>14</v>
      </c>
      <c r="Z19" s="32">
        <v>14</v>
      </c>
      <c r="AA19" s="36"/>
      <c r="AB19" s="36"/>
      <c r="AC19" s="32">
        <v>3</v>
      </c>
      <c r="AD19" s="32"/>
      <c r="AE19" s="32"/>
      <c r="AF19" s="32"/>
      <c r="AG19" s="32"/>
      <c r="AH19" s="36"/>
      <c r="AI19" s="36"/>
      <c r="AJ19" s="135" t="e">
        <f>_xlfn.CONCAT(#REF!,Tabela13[[#This Row],[FUNKCJONARIUSZ]])</f>
        <v>#REF!</v>
      </c>
      <c r="AK19" s="27">
        <f t="shared" si="0"/>
        <v>61</v>
      </c>
      <c r="AL19" s="27" t="e">
        <f>MARZEC!AK19</f>
        <v>#REF!</v>
      </c>
      <c r="AM19" s="28">
        <f t="shared" si="1"/>
        <v>0</v>
      </c>
      <c r="AN19">
        <f t="shared" si="2"/>
        <v>144</v>
      </c>
      <c r="AO19" s="29">
        <f t="shared" si="3"/>
        <v>69</v>
      </c>
      <c r="AP19" s="1">
        <f t="shared" si="4"/>
        <v>0</v>
      </c>
      <c r="AQ19" s="1">
        <v>0</v>
      </c>
    </row>
    <row r="20" spans="1:43" ht="15.9">
      <c r="A20" s="1" t="s">
        <v>90</v>
      </c>
      <c r="B20" s="131" t="s">
        <v>59</v>
      </c>
      <c r="C20" s="142" t="s">
        <v>108</v>
      </c>
      <c r="D20" s="133" t="e">
        <f>#REF!</f>
        <v>#REF!</v>
      </c>
      <c r="E20" s="36"/>
      <c r="F20" s="36"/>
      <c r="G20" s="36"/>
      <c r="H20" s="32"/>
      <c r="I20" s="32"/>
      <c r="J20" s="36"/>
      <c r="K20" s="32"/>
      <c r="L20" s="32"/>
      <c r="M20" s="36"/>
      <c r="N20" s="36"/>
      <c r="O20" s="32">
        <v>17</v>
      </c>
      <c r="P20" s="32" t="s">
        <v>70</v>
      </c>
      <c r="Q20" s="32" t="s">
        <v>70</v>
      </c>
      <c r="R20" s="32" t="s">
        <v>70</v>
      </c>
      <c r="S20" s="32" t="s">
        <v>70</v>
      </c>
      <c r="T20" s="36" t="s">
        <v>70</v>
      </c>
      <c r="U20" s="36" t="s">
        <v>70</v>
      </c>
      <c r="V20" s="32">
        <v>11</v>
      </c>
      <c r="W20" s="32" t="s">
        <v>75</v>
      </c>
      <c r="X20" s="32" t="s">
        <v>75</v>
      </c>
      <c r="Y20" s="32" t="s">
        <v>75</v>
      </c>
      <c r="Z20" s="32" t="s">
        <v>75</v>
      </c>
      <c r="AA20" s="36" t="s">
        <v>66</v>
      </c>
      <c r="AB20" s="36" t="s">
        <v>66</v>
      </c>
      <c r="AC20" s="32" t="s">
        <v>75</v>
      </c>
      <c r="AD20" s="32" t="s">
        <v>75</v>
      </c>
      <c r="AE20" s="32" t="s">
        <v>75</v>
      </c>
      <c r="AF20" s="32" t="s">
        <v>75</v>
      </c>
      <c r="AG20" s="32" t="s">
        <v>75</v>
      </c>
      <c r="AH20" s="36" t="s">
        <v>66</v>
      </c>
      <c r="AI20" s="36" t="s">
        <v>66</v>
      </c>
      <c r="AJ20" s="135" t="e">
        <f>_xlfn.CONCAT(#REF!,Tabela13[[#This Row],[FUNKCJONARIUSZ]])</f>
        <v>#REF!</v>
      </c>
      <c r="AK20" s="27">
        <f t="shared" si="0"/>
        <v>92</v>
      </c>
      <c r="AL20" s="27" t="e">
        <f>MARZEC!AK20</f>
        <v>#REF!</v>
      </c>
      <c r="AM20" s="28">
        <f t="shared" si="1"/>
        <v>0</v>
      </c>
      <c r="AN20">
        <f t="shared" si="2"/>
        <v>144</v>
      </c>
      <c r="AO20" s="29">
        <f t="shared" si="3"/>
        <v>100</v>
      </c>
      <c r="AP20" s="1">
        <f t="shared" si="4"/>
        <v>0</v>
      </c>
      <c r="AQ20" s="1">
        <v>0</v>
      </c>
    </row>
    <row r="21" spans="1:43" ht="15.9">
      <c r="A21" s="1" t="s">
        <v>58</v>
      </c>
      <c r="B21" s="131" t="s">
        <v>59</v>
      </c>
      <c r="C21" s="142" t="s">
        <v>109</v>
      </c>
      <c r="D21" s="133" t="e">
        <f>#REF!</f>
        <v>#REF!</v>
      </c>
      <c r="E21" s="36"/>
      <c r="F21" s="36"/>
      <c r="G21" s="36"/>
      <c r="H21" s="32"/>
      <c r="I21" s="32"/>
      <c r="J21" s="36"/>
      <c r="K21" s="37"/>
      <c r="L21" s="32"/>
      <c r="M21" s="36"/>
      <c r="N21" s="36"/>
      <c r="O21" s="32"/>
      <c r="P21" s="32"/>
      <c r="Q21" s="32"/>
      <c r="R21" s="32"/>
      <c r="S21" s="32"/>
      <c r="T21" s="36"/>
      <c r="U21" s="36"/>
      <c r="V21" s="32">
        <v>17</v>
      </c>
      <c r="W21" s="32" t="s">
        <v>70</v>
      </c>
      <c r="X21" s="32" t="s">
        <v>70</v>
      </c>
      <c r="Y21" s="32" t="s">
        <v>70</v>
      </c>
      <c r="Z21" s="32" t="s">
        <v>70</v>
      </c>
      <c r="AA21" s="36" t="s">
        <v>70</v>
      </c>
      <c r="AB21" s="36" t="s">
        <v>70</v>
      </c>
      <c r="AC21" s="32">
        <v>11</v>
      </c>
      <c r="AD21" s="32" t="s">
        <v>66</v>
      </c>
      <c r="AE21" s="32" t="s">
        <v>66</v>
      </c>
      <c r="AF21" s="32" t="s">
        <v>66</v>
      </c>
      <c r="AG21" s="32" t="s">
        <v>66</v>
      </c>
      <c r="AH21" s="36" t="s">
        <v>66</v>
      </c>
      <c r="AI21" s="36" t="s">
        <v>66</v>
      </c>
      <c r="AJ21" s="135" t="e">
        <f>_xlfn.CONCAT(#REF!,Tabela13[[#This Row],[FUNKCJONARIUSZ]])</f>
        <v>#REF!</v>
      </c>
      <c r="AK21" s="27">
        <f t="shared" si="0"/>
        <v>20</v>
      </c>
      <c r="AL21" s="27" t="e">
        <f>MARZEC!AK21</f>
        <v>#REF!</v>
      </c>
      <c r="AM21" s="28">
        <f t="shared" si="1"/>
        <v>0</v>
      </c>
      <c r="AN21">
        <f t="shared" si="2"/>
        <v>144</v>
      </c>
      <c r="AO21" s="29">
        <f t="shared" si="3"/>
        <v>28</v>
      </c>
      <c r="AP21" s="1">
        <f t="shared" si="4"/>
        <v>0</v>
      </c>
      <c r="AQ21" s="1">
        <v>0</v>
      </c>
    </row>
    <row r="22" spans="1:43" ht="15.9">
      <c r="A22" s="1" t="s">
        <v>63</v>
      </c>
      <c r="B22" s="131" t="s">
        <v>59</v>
      </c>
      <c r="C22" s="142" t="s">
        <v>162</v>
      </c>
      <c r="D22" s="133" t="e">
        <f>#REF!</f>
        <v>#REF!</v>
      </c>
      <c r="E22" s="36"/>
      <c r="F22" s="36"/>
      <c r="G22" s="36"/>
      <c r="H22" s="32" t="s">
        <v>88</v>
      </c>
      <c r="I22" s="32" t="s">
        <v>88</v>
      </c>
      <c r="J22" s="145"/>
      <c r="K22" s="137">
        <v>6</v>
      </c>
      <c r="L22" s="48"/>
      <c r="M22" s="36"/>
      <c r="N22" s="36"/>
      <c r="O22" s="32" t="s">
        <v>59</v>
      </c>
      <c r="P22" s="32" t="s">
        <v>66</v>
      </c>
      <c r="Q22" s="32"/>
      <c r="R22" s="32"/>
      <c r="S22" s="32"/>
      <c r="T22" s="36"/>
      <c r="U22" s="36"/>
      <c r="V22" s="32"/>
      <c r="W22" s="32"/>
      <c r="X22" s="32"/>
      <c r="Y22" s="32" t="s">
        <v>113</v>
      </c>
      <c r="Z22" s="32" t="s">
        <v>66</v>
      </c>
      <c r="AA22" s="36"/>
      <c r="AB22" s="36"/>
      <c r="AC22" s="32" t="s">
        <v>66</v>
      </c>
      <c r="AD22" s="32"/>
      <c r="AE22" s="32"/>
      <c r="AF22" s="32"/>
      <c r="AG22" s="32"/>
      <c r="AH22" s="36"/>
      <c r="AI22" s="36"/>
      <c r="AJ22" s="135" t="e">
        <f>_xlfn.CONCAT(#REF!,Tabela13[[#This Row],[FUNKCJONARIUSZ]])</f>
        <v>#REF!</v>
      </c>
      <c r="AK22" s="27">
        <f t="shared" si="0"/>
        <v>-82</v>
      </c>
      <c r="AL22" s="27" t="e">
        <f>MARZEC!AK22</f>
        <v>#REF!</v>
      </c>
      <c r="AM22" s="28">
        <f t="shared" si="1"/>
        <v>48</v>
      </c>
      <c r="AN22">
        <f t="shared" si="2"/>
        <v>0</v>
      </c>
      <c r="AO22" s="29">
        <f t="shared" si="3"/>
        <v>22</v>
      </c>
      <c r="AP22" s="1">
        <f t="shared" si="4"/>
        <v>0</v>
      </c>
      <c r="AQ22" s="1">
        <v>0</v>
      </c>
    </row>
    <row r="23" spans="1:43" ht="15.9">
      <c r="A23" s="1" t="s">
        <v>67</v>
      </c>
      <c r="B23" s="143" t="s">
        <v>93</v>
      </c>
      <c r="C23" s="144" t="s">
        <v>110</v>
      </c>
      <c r="D23" s="133" t="e">
        <f>#REF!</f>
        <v>#REF!</v>
      </c>
      <c r="E23" s="36" t="s">
        <v>70</v>
      </c>
      <c r="F23" s="36" t="s">
        <v>70</v>
      </c>
      <c r="G23" s="36" t="s">
        <v>70</v>
      </c>
      <c r="H23" s="32">
        <v>13</v>
      </c>
      <c r="I23" s="32" t="s">
        <v>66</v>
      </c>
      <c r="J23" s="36" t="s">
        <v>66</v>
      </c>
      <c r="K23" s="41" t="s">
        <v>66</v>
      </c>
      <c r="L23" s="32" t="s">
        <v>66</v>
      </c>
      <c r="M23" s="36" t="s">
        <v>66</v>
      </c>
      <c r="N23" s="36" t="s">
        <v>66</v>
      </c>
      <c r="O23" s="32" t="s">
        <v>66</v>
      </c>
      <c r="P23" s="32"/>
      <c r="Q23" s="32"/>
      <c r="R23" s="32"/>
      <c r="S23" s="32"/>
      <c r="T23" s="36"/>
      <c r="U23" s="36"/>
      <c r="V23" s="32" t="s">
        <v>88</v>
      </c>
      <c r="W23" s="32" t="s">
        <v>88</v>
      </c>
      <c r="X23" s="32" t="s">
        <v>88</v>
      </c>
      <c r="Y23" s="32" t="s">
        <v>88</v>
      </c>
      <c r="Z23" s="32" t="s">
        <v>88</v>
      </c>
      <c r="AA23" s="36" t="s">
        <v>66</v>
      </c>
      <c r="AB23" s="36" t="s">
        <v>66</v>
      </c>
      <c r="AC23" s="32" t="s">
        <v>88</v>
      </c>
      <c r="AD23" s="32" t="s">
        <v>88</v>
      </c>
      <c r="AE23" s="32" t="s">
        <v>88</v>
      </c>
      <c r="AF23" s="32" t="s">
        <v>88</v>
      </c>
      <c r="AG23" s="32"/>
      <c r="AH23" s="36"/>
      <c r="AI23" s="36"/>
      <c r="AJ23" s="135" t="e">
        <f>_xlfn.CONCAT(#REF!,Tabela13[[#This Row],[FUNKCJONARIUSZ]])</f>
        <v>#REF!</v>
      </c>
      <c r="AK23" s="27">
        <f t="shared" si="0"/>
        <v>5</v>
      </c>
      <c r="AL23" s="27" t="e">
        <f>MARZEC!AK23</f>
        <v>#REF!</v>
      </c>
      <c r="AM23" s="28">
        <f t="shared" si="1"/>
        <v>0</v>
      </c>
      <c r="AN23">
        <f t="shared" si="2"/>
        <v>72</v>
      </c>
      <c r="AO23" s="29">
        <f t="shared" si="3"/>
        <v>85</v>
      </c>
      <c r="AP23" s="1">
        <f t="shared" si="4"/>
        <v>0</v>
      </c>
      <c r="AQ23" s="1">
        <v>0</v>
      </c>
    </row>
    <row r="24" spans="1:43" ht="15.9">
      <c r="A24" s="1" t="s">
        <v>58</v>
      </c>
      <c r="B24" s="131" t="s">
        <v>59</v>
      </c>
      <c r="C24" s="142" t="s">
        <v>111</v>
      </c>
      <c r="D24" s="133" t="e">
        <f>#REF!</f>
        <v>#REF!</v>
      </c>
      <c r="E24" s="36"/>
      <c r="F24" s="36"/>
      <c r="G24" s="36"/>
      <c r="H24" s="32"/>
      <c r="I24" s="32"/>
      <c r="J24" s="36"/>
      <c r="K24" s="32"/>
      <c r="L24" s="32"/>
      <c r="M24" s="36"/>
      <c r="N24" s="36" t="s">
        <v>113</v>
      </c>
      <c r="O24" s="32">
        <v>1</v>
      </c>
      <c r="P24" s="32"/>
      <c r="Q24" s="32"/>
      <c r="R24" s="32"/>
      <c r="S24" s="32"/>
      <c r="T24" s="36"/>
      <c r="U24" s="36"/>
      <c r="V24" s="32"/>
      <c r="W24" s="32"/>
      <c r="X24" s="32"/>
      <c r="Y24" s="32"/>
      <c r="Z24" s="32"/>
      <c r="AA24" s="36"/>
      <c r="AB24" s="36"/>
      <c r="AC24" s="32" t="s">
        <v>83</v>
      </c>
      <c r="AD24" s="32" t="s">
        <v>83</v>
      </c>
      <c r="AE24" s="32" t="s">
        <v>83</v>
      </c>
      <c r="AF24" s="32" t="s">
        <v>83</v>
      </c>
      <c r="AG24" s="32" t="s">
        <v>83</v>
      </c>
      <c r="AH24" s="36"/>
      <c r="AI24" s="36"/>
      <c r="AJ24" s="135" t="e">
        <f>_xlfn.CONCAT(#REF!,Tabela13[[#This Row],[FUNKCJONARIUSZ]])</f>
        <v>#REF!</v>
      </c>
      <c r="AK24" s="27">
        <f t="shared" si="0"/>
        <v>-87</v>
      </c>
      <c r="AL24" s="27" t="e">
        <f>MARZEC!AK24</f>
        <v>#REF!</v>
      </c>
      <c r="AM24" s="28">
        <f t="shared" si="1"/>
        <v>24</v>
      </c>
      <c r="AN24">
        <f t="shared" si="2"/>
        <v>0</v>
      </c>
      <c r="AO24" s="29">
        <f t="shared" si="3"/>
        <v>41</v>
      </c>
      <c r="AP24" s="1">
        <f t="shared" si="4"/>
        <v>0</v>
      </c>
      <c r="AQ24" s="1">
        <v>0</v>
      </c>
    </row>
    <row r="25" spans="1:43" ht="15.9">
      <c r="A25" s="1" t="s">
        <v>63</v>
      </c>
      <c r="B25" s="1" t="s">
        <v>64</v>
      </c>
      <c r="C25" s="146" t="s">
        <v>112</v>
      </c>
      <c r="D25" s="133" t="e">
        <f>#REF!</f>
        <v>#REF!</v>
      </c>
      <c r="E25" s="36" t="s">
        <v>66</v>
      </c>
      <c r="F25" s="36" t="s">
        <v>66</v>
      </c>
      <c r="G25" s="36" t="s">
        <v>66</v>
      </c>
      <c r="H25" s="32" t="s">
        <v>66</v>
      </c>
      <c r="I25" s="32" t="s">
        <v>66</v>
      </c>
      <c r="J25" s="36" t="s">
        <v>66</v>
      </c>
      <c r="K25" s="32" t="s">
        <v>66</v>
      </c>
      <c r="L25" s="32" t="s">
        <v>66</v>
      </c>
      <c r="M25" s="36" t="s">
        <v>66</v>
      </c>
      <c r="N25" s="36" t="s">
        <v>66</v>
      </c>
      <c r="O25" s="32" t="s">
        <v>66</v>
      </c>
      <c r="P25" s="32" t="s">
        <v>66</v>
      </c>
      <c r="Q25" s="32" t="s">
        <v>66</v>
      </c>
      <c r="R25" s="32" t="s">
        <v>66</v>
      </c>
      <c r="S25" s="32" t="s">
        <v>66</v>
      </c>
      <c r="T25" s="36" t="s">
        <v>66</v>
      </c>
      <c r="U25" s="36" t="s">
        <v>66</v>
      </c>
      <c r="V25" s="32" t="s">
        <v>66</v>
      </c>
      <c r="W25" s="32" t="s">
        <v>66</v>
      </c>
      <c r="X25" s="32" t="s">
        <v>66</v>
      </c>
      <c r="Y25" s="32" t="s">
        <v>66</v>
      </c>
      <c r="Z25" s="32" t="s">
        <v>66</v>
      </c>
      <c r="AA25" s="36" t="s">
        <v>66</v>
      </c>
      <c r="AB25" s="36" t="s">
        <v>66</v>
      </c>
      <c r="AC25" s="32" t="s">
        <v>66</v>
      </c>
      <c r="AD25" s="32" t="s">
        <v>66</v>
      </c>
      <c r="AE25" s="32" t="s">
        <v>66</v>
      </c>
      <c r="AF25" s="32" t="s">
        <v>66</v>
      </c>
      <c r="AG25" s="32" t="s">
        <v>66</v>
      </c>
      <c r="AH25" s="36" t="s">
        <v>66</v>
      </c>
      <c r="AI25" s="36" t="s">
        <v>66</v>
      </c>
      <c r="AJ25" s="135" t="e">
        <f>_xlfn.CONCAT(#REF!,Tabela13[[#This Row],[FUNKCJONARIUSZ]])</f>
        <v>#REF!</v>
      </c>
      <c r="AK25" s="27">
        <f t="shared" si="0"/>
        <v>-152</v>
      </c>
      <c r="AL25" s="27" t="e">
        <f>MARZEC!AK25</f>
        <v>#REF!</v>
      </c>
      <c r="AM25" s="28">
        <f t="shared" si="1"/>
        <v>0</v>
      </c>
      <c r="AN25">
        <f t="shared" si="2"/>
        <v>0</v>
      </c>
      <c r="AO25" s="29">
        <f t="shared" si="3"/>
        <v>0</v>
      </c>
      <c r="AP25" s="1">
        <f t="shared" si="4"/>
        <v>0</v>
      </c>
      <c r="AQ25" s="1">
        <v>0</v>
      </c>
    </row>
    <row r="26" spans="1:43" ht="15.9">
      <c r="A26" s="1" t="s">
        <v>67</v>
      </c>
      <c r="B26" s="143" t="s">
        <v>93</v>
      </c>
      <c r="C26" s="144" t="s">
        <v>114</v>
      </c>
      <c r="D26" s="133" t="e">
        <f>#REF!</f>
        <v>#REF!</v>
      </c>
      <c r="E26" s="36" t="s">
        <v>66</v>
      </c>
      <c r="F26" s="36" t="s">
        <v>66</v>
      </c>
      <c r="G26" s="36" t="s">
        <v>66</v>
      </c>
      <c r="H26" s="32" t="s">
        <v>66</v>
      </c>
      <c r="I26" s="32"/>
      <c r="J26" s="36"/>
      <c r="K26" s="32"/>
      <c r="L26" s="32" t="s">
        <v>76</v>
      </c>
      <c r="M26" s="36"/>
      <c r="N26" s="36"/>
      <c r="O26" s="37"/>
      <c r="P26" s="32"/>
      <c r="Q26" s="32" t="s">
        <v>113</v>
      </c>
      <c r="R26" s="32" t="s">
        <v>66</v>
      </c>
      <c r="S26" s="32"/>
      <c r="T26" s="36"/>
      <c r="U26" s="36"/>
      <c r="V26" s="32"/>
      <c r="W26" s="32"/>
      <c r="X26" s="32"/>
      <c r="Y26" s="32"/>
      <c r="Z26" s="32"/>
      <c r="AA26" s="36"/>
      <c r="AB26" s="36"/>
      <c r="AC26" s="32">
        <v>17</v>
      </c>
      <c r="AD26" s="32" t="s">
        <v>70</v>
      </c>
      <c r="AE26" s="32" t="s">
        <v>70</v>
      </c>
      <c r="AF26" s="32" t="s">
        <v>70</v>
      </c>
      <c r="AG26" s="32" t="s">
        <v>70</v>
      </c>
      <c r="AH26" s="36" t="s">
        <v>70</v>
      </c>
      <c r="AI26" s="36" t="s">
        <v>70</v>
      </c>
      <c r="AJ26" s="135" t="e">
        <f>_xlfn.CONCAT(#REF!,Tabela13[[#This Row],[FUNKCJONARIUSZ]])</f>
        <v>#REF!</v>
      </c>
      <c r="AK26" s="27">
        <f t="shared" si="0"/>
        <v>45</v>
      </c>
      <c r="AL26" s="27" t="e">
        <f>MARZEC!AK26</f>
        <v>#REF!</v>
      </c>
      <c r="AM26" s="28">
        <f t="shared" si="1"/>
        <v>36</v>
      </c>
      <c r="AN26">
        <f t="shared" si="2"/>
        <v>144</v>
      </c>
      <c r="AO26" s="29">
        <f t="shared" si="3"/>
        <v>17</v>
      </c>
      <c r="AP26" s="1">
        <f t="shared" si="4"/>
        <v>0</v>
      </c>
      <c r="AQ26" s="1">
        <v>0</v>
      </c>
    </row>
    <row r="27" spans="1:43" ht="15.9">
      <c r="A27" s="1" t="s">
        <v>63</v>
      </c>
      <c r="B27" s="131" t="s">
        <v>59</v>
      </c>
      <c r="C27" s="142" t="s">
        <v>115</v>
      </c>
      <c r="D27" s="133" t="e">
        <f>#REF!</f>
        <v>#REF!</v>
      </c>
      <c r="E27" s="36">
        <v>8</v>
      </c>
      <c r="F27" s="36"/>
      <c r="G27" s="36"/>
      <c r="H27" s="32" t="s">
        <v>113</v>
      </c>
      <c r="I27" s="32" t="s">
        <v>66</v>
      </c>
      <c r="J27" s="36"/>
      <c r="K27" s="32" t="s">
        <v>113</v>
      </c>
      <c r="L27" s="32" t="s">
        <v>66</v>
      </c>
      <c r="M27" s="36"/>
      <c r="N27" s="145"/>
      <c r="O27" s="137" t="s">
        <v>66</v>
      </c>
      <c r="P27" s="48"/>
      <c r="Q27" s="32">
        <v>8</v>
      </c>
      <c r="R27" s="32" t="s">
        <v>113</v>
      </c>
      <c r="S27" s="32" t="s">
        <v>66</v>
      </c>
      <c r="T27" s="36" t="s">
        <v>66</v>
      </c>
      <c r="U27" s="36" t="s">
        <v>66</v>
      </c>
      <c r="V27" s="32" t="s">
        <v>66</v>
      </c>
      <c r="W27" s="32" t="s">
        <v>66</v>
      </c>
      <c r="X27" s="32">
        <v>4</v>
      </c>
      <c r="Y27" s="32" t="s">
        <v>76</v>
      </c>
      <c r="Z27" s="32"/>
      <c r="AA27" s="36"/>
      <c r="AB27" s="36"/>
      <c r="AC27" s="32" t="s">
        <v>113</v>
      </c>
      <c r="AD27" s="32" t="s">
        <v>66</v>
      </c>
      <c r="AE27" s="32"/>
      <c r="AF27" s="32"/>
      <c r="AG27" s="32" t="s">
        <v>113</v>
      </c>
      <c r="AH27" s="36" t="s">
        <v>66</v>
      </c>
      <c r="AI27" s="36"/>
      <c r="AJ27" s="135" t="e">
        <f>_xlfn.CONCAT(#REF!,Tabela13[[#This Row],[FUNKCJONARIUSZ]])</f>
        <v>#REF!</v>
      </c>
      <c r="AK27" s="27">
        <f t="shared" si="0"/>
        <v>0</v>
      </c>
      <c r="AL27" s="27" t="e">
        <f>MARZEC!AK27</f>
        <v>#REF!</v>
      </c>
      <c r="AM27" s="28">
        <f t="shared" si="1"/>
        <v>132</v>
      </c>
      <c r="AN27">
        <f t="shared" si="2"/>
        <v>0</v>
      </c>
      <c r="AO27" s="29">
        <f t="shared" si="3"/>
        <v>20</v>
      </c>
      <c r="AP27" s="1">
        <f t="shared" si="4"/>
        <v>0</v>
      </c>
      <c r="AQ27" s="1">
        <v>0</v>
      </c>
    </row>
    <row r="28" spans="1:43" ht="15.9">
      <c r="A28" s="1" t="s">
        <v>58</v>
      </c>
      <c r="B28" s="131" t="s">
        <v>59</v>
      </c>
      <c r="C28" s="142" t="s">
        <v>170</v>
      </c>
      <c r="D28" s="133" t="e">
        <f>#REF!</f>
        <v>#REF!</v>
      </c>
      <c r="E28" s="36" t="s">
        <v>70</v>
      </c>
      <c r="F28" s="36" t="s">
        <v>70</v>
      </c>
      <c r="G28" s="36" t="s">
        <v>70</v>
      </c>
      <c r="H28" s="32" t="s">
        <v>69</v>
      </c>
      <c r="I28" s="32" t="s">
        <v>83</v>
      </c>
      <c r="J28" s="36" t="s">
        <v>66</v>
      </c>
      <c r="K28" s="32" t="s">
        <v>83</v>
      </c>
      <c r="L28" s="32" t="s">
        <v>83</v>
      </c>
      <c r="M28" s="36" t="s">
        <v>66</v>
      </c>
      <c r="N28" s="36" t="s">
        <v>66</v>
      </c>
      <c r="O28" s="41" t="s">
        <v>83</v>
      </c>
      <c r="P28" s="32"/>
      <c r="Q28" s="32"/>
      <c r="R28" s="32"/>
      <c r="S28" s="32"/>
      <c r="T28" s="36"/>
      <c r="U28" s="36"/>
      <c r="V28" s="32"/>
      <c r="W28" s="32"/>
      <c r="X28" s="32"/>
      <c r="Y28" s="32"/>
      <c r="Z28" s="32"/>
      <c r="AA28" s="36"/>
      <c r="AB28" s="36"/>
      <c r="AC28" s="32"/>
      <c r="AD28" s="32"/>
      <c r="AE28" s="32"/>
      <c r="AF28" s="32"/>
      <c r="AG28" s="32"/>
      <c r="AH28" s="36"/>
      <c r="AI28" s="36"/>
      <c r="AJ28" s="135" t="e">
        <f>_xlfn.CONCAT(#REF!,Tabela13[[#This Row],[FUNKCJONARIUSZ]])</f>
        <v>#REF!</v>
      </c>
      <c r="AK28" s="27">
        <f t="shared" si="0"/>
        <v>-36</v>
      </c>
      <c r="AL28" s="27" t="e">
        <f>MARZEC!AK28</f>
        <v>#REF!</v>
      </c>
      <c r="AM28" s="28">
        <f t="shared" si="1"/>
        <v>0</v>
      </c>
      <c r="AN28">
        <f t="shared" si="2"/>
        <v>84</v>
      </c>
      <c r="AO28" s="29">
        <f t="shared" si="3"/>
        <v>32</v>
      </c>
      <c r="AP28" s="1">
        <f t="shared" si="4"/>
        <v>0</v>
      </c>
      <c r="AQ28" s="1">
        <v>0</v>
      </c>
    </row>
    <row r="29" spans="1:43" ht="15.9">
      <c r="A29" s="1" t="s">
        <v>63</v>
      </c>
      <c r="B29" s="139" t="s">
        <v>73</v>
      </c>
      <c r="C29" s="140" t="s">
        <v>116</v>
      </c>
      <c r="D29" s="133" t="e">
        <f>#REF!</f>
        <v>#REF!</v>
      </c>
      <c r="E29" s="36"/>
      <c r="F29" s="36"/>
      <c r="G29" s="36"/>
      <c r="H29" s="32"/>
      <c r="I29" s="32"/>
      <c r="J29" s="36"/>
      <c r="K29" s="32"/>
      <c r="L29" s="32"/>
      <c r="M29" s="36"/>
      <c r="N29" s="36"/>
      <c r="O29" s="32">
        <v>17</v>
      </c>
      <c r="P29" s="32" t="s">
        <v>70</v>
      </c>
      <c r="Q29" s="32" t="s">
        <v>70</v>
      </c>
      <c r="R29" s="32" t="s">
        <v>70</v>
      </c>
      <c r="S29" s="32" t="s">
        <v>70</v>
      </c>
      <c r="T29" s="36" t="s">
        <v>70</v>
      </c>
      <c r="U29" s="36" t="s">
        <v>70</v>
      </c>
      <c r="V29" s="32">
        <v>11</v>
      </c>
      <c r="W29" s="32" t="s">
        <v>66</v>
      </c>
      <c r="X29" s="32" t="s">
        <v>66</v>
      </c>
      <c r="Y29" s="32" t="s">
        <v>66</v>
      </c>
      <c r="Z29" s="32" t="s">
        <v>66</v>
      </c>
      <c r="AA29" s="36" t="s">
        <v>66</v>
      </c>
      <c r="AB29" s="36" t="s">
        <v>66</v>
      </c>
      <c r="AC29" s="32" t="s">
        <v>66</v>
      </c>
      <c r="AD29" s="32"/>
      <c r="AE29" s="32"/>
      <c r="AF29" s="32"/>
      <c r="AG29" s="32"/>
      <c r="AH29" s="36"/>
      <c r="AI29" s="36"/>
      <c r="AJ29" s="135" t="e">
        <f>_xlfn.CONCAT(#REF!,Tabela13[[#This Row],[FUNKCJONARIUSZ]])</f>
        <v>#REF!</v>
      </c>
      <c r="AK29" s="27">
        <f t="shared" si="0"/>
        <v>20</v>
      </c>
      <c r="AL29" s="27" t="e">
        <f>MARZEC!AK29</f>
        <v>#REF!</v>
      </c>
      <c r="AM29" s="28">
        <f t="shared" si="1"/>
        <v>0</v>
      </c>
      <c r="AN29">
        <f t="shared" si="2"/>
        <v>144</v>
      </c>
      <c r="AO29" s="29">
        <f t="shared" si="3"/>
        <v>28</v>
      </c>
      <c r="AP29" s="1">
        <f t="shared" si="4"/>
        <v>0</v>
      </c>
      <c r="AQ29" s="1">
        <v>0</v>
      </c>
    </row>
    <row r="30" spans="1:43" ht="15.9">
      <c r="A30" s="1" t="s">
        <v>58</v>
      </c>
      <c r="B30" s="143" t="s">
        <v>93</v>
      </c>
      <c r="C30" s="144" t="s">
        <v>117</v>
      </c>
      <c r="D30" s="133" t="e">
        <f>#REF!</f>
        <v>#REF!</v>
      </c>
      <c r="E30" s="36"/>
      <c r="F30" s="36"/>
      <c r="G30" s="36"/>
      <c r="H30" s="32">
        <v>17</v>
      </c>
      <c r="I30" s="32" t="s">
        <v>70</v>
      </c>
      <c r="J30" s="36" t="s">
        <v>70</v>
      </c>
      <c r="K30" s="32" t="s">
        <v>70</v>
      </c>
      <c r="L30" s="32" t="s">
        <v>70</v>
      </c>
      <c r="M30" s="36" t="s">
        <v>70</v>
      </c>
      <c r="N30" s="36" t="s">
        <v>70</v>
      </c>
      <c r="O30" s="32">
        <v>10</v>
      </c>
      <c r="P30" s="32" t="s">
        <v>66</v>
      </c>
      <c r="Q30" s="32" t="s">
        <v>66</v>
      </c>
      <c r="R30" s="32" t="s">
        <v>66</v>
      </c>
      <c r="S30" s="32" t="s">
        <v>66</v>
      </c>
      <c r="T30" s="36" t="s">
        <v>66</v>
      </c>
      <c r="U30" s="36" t="s">
        <v>66</v>
      </c>
      <c r="V30" s="32" t="s">
        <v>66</v>
      </c>
      <c r="W30" s="32"/>
      <c r="X30" s="32"/>
      <c r="Y30" s="32"/>
      <c r="Z30" s="32"/>
      <c r="AA30" s="36"/>
      <c r="AB30" s="36" t="s">
        <v>113</v>
      </c>
      <c r="AC30" s="32"/>
      <c r="AD30" s="32">
        <v>5</v>
      </c>
      <c r="AE30" s="32"/>
      <c r="AF30" s="32"/>
      <c r="AG30" s="32"/>
      <c r="AH30" s="36"/>
      <c r="AI30" s="36"/>
      <c r="AJ30" s="135" t="e">
        <f>_xlfn.CONCAT(#REF!,Tabela13[[#This Row],[FUNKCJONARIUSZ]])</f>
        <v>#REF!</v>
      </c>
      <c r="AK30" s="27">
        <f t="shared" si="0"/>
        <v>48</v>
      </c>
      <c r="AL30" s="27" t="e">
        <f>MARZEC!AK30</f>
        <v>#REF!</v>
      </c>
      <c r="AM30" s="28">
        <f t="shared" si="1"/>
        <v>24</v>
      </c>
      <c r="AN30">
        <f t="shared" si="2"/>
        <v>144</v>
      </c>
      <c r="AO30" s="29">
        <f t="shared" si="3"/>
        <v>32</v>
      </c>
      <c r="AP30" s="1">
        <f t="shared" si="4"/>
        <v>0</v>
      </c>
      <c r="AQ30" s="1">
        <v>0</v>
      </c>
    </row>
    <row r="31" spans="1:43" ht="15.9">
      <c r="A31" s="1" t="s">
        <v>105</v>
      </c>
      <c r="B31" s="131" t="s">
        <v>59</v>
      </c>
      <c r="C31" s="142" t="s">
        <v>118</v>
      </c>
      <c r="D31" s="133" t="e">
        <f>#REF!</f>
        <v>#REF!</v>
      </c>
      <c r="E31" s="36"/>
      <c r="F31" s="36"/>
      <c r="G31" s="36"/>
      <c r="H31" s="32">
        <v>16</v>
      </c>
      <c r="I31" s="32" t="s">
        <v>70</v>
      </c>
      <c r="J31" s="36" t="s">
        <v>70</v>
      </c>
      <c r="K31" s="32" t="s">
        <v>70</v>
      </c>
      <c r="L31" s="32" t="s">
        <v>70</v>
      </c>
      <c r="M31" s="36" t="s">
        <v>70</v>
      </c>
      <c r="N31" s="36" t="s">
        <v>70</v>
      </c>
      <c r="O31" s="32">
        <v>11</v>
      </c>
      <c r="P31" s="32" t="s">
        <v>66</v>
      </c>
      <c r="Q31" s="32" t="s">
        <v>66</v>
      </c>
      <c r="R31" s="32" t="s">
        <v>66</v>
      </c>
      <c r="S31" s="32" t="s">
        <v>66</v>
      </c>
      <c r="T31" s="36" t="s">
        <v>66</v>
      </c>
      <c r="U31" s="36" t="s">
        <v>66</v>
      </c>
      <c r="V31" s="32" t="s">
        <v>66</v>
      </c>
      <c r="W31" s="32"/>
      <c r="X31" s="32"/>
      <c r="Y31" s="32"/>
      <c r="Z31" s="32"/>
      <c r="AA31" s="36"/>
      <c r="AB31" s="36"/>
      <c r="AC31" s="32"/>
      <c r="AD31" s="32"/>
      <c r="AE31" s="32"/>
      <c r="AF31" s="32"/>
      <c r="AG31" s="32"/>
      <c r="AH31" s="36"/>
      <c r="AI31" s="36"/>
      <c r="AJ31" s="135" t="e">
        <f>_xlfn.CONCAT(#REF!,Tabela13[[#This Row],[FUNKCJONARIUSZ]])</f>
        <v>#REF!</v>
      </c>
      <c r="AK31" s="27">
        <f t="shared" si="0"/>
        <v>19</v>
      </c>
      <c r="AL31" s="27" t="e">
        <f>MARZEC!AK31</f>
        <v>#REF!</v>
      </c>
      <c r="AM31" s="28">
        <f t="shared" si="1"/>
        <v>0</v>
      </c>
      <c r="AN31">
        <f t="shared" si="2"/>
        <v>144</v>
      </c>
      <c r="AO31" s="29">
        <f t="shared" si="3"/>
        <v>27</v>
      </c>
      <c r="AP31" s="1">
        <f t="shared" si="4"/>
        <v>0</v>
      </c>
      <c r="AQ31" s="1">
        <v>0</v>
      </c>
    </row>
    <row r="32" spans="1:43" ht="15.9">
      <c r="A32" s="1" t="s">
        <v>58</v>
      </c>
      <c r="B32" s="139" t="s">
        <v>73</v>
      </c>
      <c r="C32" s="147" t="s">
        <v>119</v>
      </c>
      <c r="D32" s="133" t="e">
        <f>#REF!</f>
        <v>#REF!</v>
      </c>
      <c r="E32" s="36"/>
      <c r="F32" s="36"/>
      <c r="G32" s="36"/>
      <c r="H32" s="32" t="s">
        <v>88</v>
      </c>
      <c r="I32" s="32" t="s">
        <v>88</v>
      </c>
      <c r="J32" s="36" t="s">
        <v>66</v>
      </c>
      <c r="K32" s="32" t="s">
        <v>88</v>
      </c>
      <c r="L32" s="32" t="s">
        <v>88</v>
      </c>
      <c r="M32" s="36" t="s">
        <v>66</v>
      </c>
      <c r="N32" s="36" t="s">
        <v>66</v>
      </c>
      <c r="O32" s="32" t="s">
        <v>88</v>
      </c>
      <c r="P32" s="32" t="s">
        <v>88</v>
      </c>
      <c r="Q32" s="32" t="s">
        <v>88</v>
      </c>
      <c r="R32" s="32" t="s">
        <v>88</v>
      </c>
      <c r="S32" s="32" t="s">
        <v>88</v>
      </c>
      <c r="T32" s="36" t="s">
        <v>66</v>
      </c>
      <c r="U32" s="36" t="s">
        <v>66</v>
      </c>
      <c r="V32" s="32" t="s">
        <v>88</v>
      </c>
      <c r="W32" s="32" t="s">
        <v>88</v>
      </c>
      <c r="X32" s="32" t="s">
        <v>88</v>
      </c>
      <c r="Y32" s="32" t="s">
        <v>88</v>
      </c>
      <c r="Z32" s="32" t="s">
        <v>88</v>
      </c>
      <c r="AA32" s="36" t="s">
        <v>66</v>
      </c>
      <c r="AB32" s="36" t="s">
        <v>66</v>
      </c>
      <c r="AC32" s="32" t="s">
        <v>88</v>
      </c>
      <c r="AD32" s="32" t="s">
        <v>88</v>
      </c>
      <c r="AE32" s="32" t="s">
        <v>88</v>
      </c>
      <c r="AF32" s="32" t="s">
        <v>88</v>
      </c>
      <c r="AG32" s="32" t="s">
        <v>88</v>
      </c>
      <c r="AH32" s="36" t="s">
        <v>66</v>
      </c>
      <c r="AI32" s="36" t="s">
        <v>66</v>
      </c>
      <c r="AJ32" s="135" t="e">
        <f>_xlfn.CONCAT(#REF!,Tabela13[[#This Row],[FUNKCJONARIUSZ]])</f>
        <v>#REF!</v>
      </c>
      <c r="AK32" s="27">
        <f t="shared" si="0"/>
        <v>0</v>
      </c>
      <c r="AL32" s="27" t="e">
        <f>MARZEC!AK32</f>
        <v>#REF!</v>
      </c>
      <c r="AM32" s="28">
        <f t="shared" si="1"/>
        <v>0</v>
      </c>
      <c r="AN32">
        <f t="shared" si="2"/>
        <v>0</v>
      </c>
      <c r="AO32" s="29">
        <f t="shared" si="3"/>
        <v>152</v>
      </c>
      <c r="AP32" s="1">
        <f t="shared" si="4"/>
        <v>0</v>
      </c>
      <c r="AQ32" s="1">
        <v>0</v>
      </c>
    </row>
    <row r="33" spans="1:43" ht="15.9">
      <c r="B33" s="61"/>
      <c r="C33" s="148" t="s">
        <v>171</v>
      </c>
      <c r="D33" s="149"/>
      <c r="E33" s="59">
        <f t="shared" ref="E33:AI33" si="5">COUNTIF(E2:E32,"D")</f>
        <v>1</v>
      </c>
      <c r="F33" s="59">
        <f t="shared" si="5"/>
        <v>1</v>
      </c>
      <c r="G33" s="59">
        <f t="shared" si="5"/>
        <v>1</v>
      </c>
      <c r="H33" s="59">
        <f t="shared" si="5"/>
        <v>1</v>
      </c>
      <c r="I33" s="59">
        <f t="shared" si="5"/>
        <v>1</v>
      </c>
      <c r="J33" s="59">
        <f t="shared" si="5"/>
        <v>1</v>
      </c>
      <c r="K33" s="59">
        <f t="shared" si="5"/>
        <v>1</v>
      </c>
      <c r="L33" s="59">
        <f t="shared" si="5"/>
        <v>1</v>
      </c>
      <c r="M33" s="59">
        <f t="shared" si="5"/>
        <v>1</v>
      </c>
      <c r="N33" s="59">
        <f t="shared" si="5"/>
        <v>1</v>
      </c>
      <c r="O33" s="59">
        <f t="shared" si="5"/>
        <v>1</v>
      </c>
      <c r="P33" s="59">
        <f t="shared" si="5"/>
        <v>1</v>
      </c>
      <c r="Q33" s="59">
        <f t="shared" si="5"/>
        <v>1</v>
      </c>
      <c r="R33" s="59">
        <f t="shared" si="5"/>
        <v>1</v>
      </c>
      <c r="S33" s="59">
        <f t="shared" si="5"/>
        <v>1</v>
      </c>
      <c r="T33" s="59">
        <f t="shared" si="5"/>
        <v>1</v>
      </c>
      <c r="U33" s="59">
        <f t="shared" si="5"/>
        <v>1</v>
      </c>
      <c r="V33" s="59">
        <f t="shared" si="5"/>
        <v>1</v>
      </c>
      <c r="W33" s="59">
        <f t="shared" si="5"/>
        <v>1</v>
      </c>
      <c r="X33" s="59">
        <f t="shared" si="5"/>
        <v>1</v>
      </c>
      <c r="Y33" s="59">
        <f t="shared" si="5"/>
        <v>1</v>
      </c>
      <c r="Z33" s="59">
        <f t="shared" si="5"/>
        <v>1</v>
      </c>
      <c r="AA33" s="59">
        <f t="shared" si="5"/>
        <v>1</v>
      </c>
      <c r="AB33" s="59">
        <f t="shared" si="5"/>
        <v>1</v>
      </c>
      <c r="AC33" s="59">
        <f t="shared" si="5"/>
        <v>1</v>
      </c>
      <c r="AD33" s="59">
        <f t="shared" si="5"/>
        <v>1</v>
      </c>
      <c r="AE33" s="59">
        <f t="shared" si="5"/>
        <v>1</v>
      </c>
      <c r="AF33" s="59">
        <f t="shared" si="5"/>
        <v>1</v>
      </c>
      <c r="AG33" s="59">
        <f t="shared" si="5"/>
        <v>1</v>
      </c>
      <c r="AH33" s="59">
        <f t="shared" si="5"/>
        <v>1</v>
      </c>
      <c r="AI33" s="59">
        <f t="shared" si="5"/>
        <v>0</v>
      </c>
      <c r="AJ33" s="59"/>
      <c r="AK33" s="27"/>
      <c r="AL33" s="27"/>
      <c r="AM33" s="28"/>
      <c r="AN33"/>
      <c r="AO33" s="29"/>
    </row>
    <row r="34" spans="1:43" ht="15.9">
      <c r="C34" s="150" t="s">
        <v>172</v>
      </c>
      <c r="D34" s="81"/>
      <c r="AK34" s="27"/>
      <c r="AL34" s="27"/>
      <c r="AM34" s="28"/>
      <c r="AN34"/>
      <c r="AO34" s="29"/>
    </row>
    <row r="35" spans="1:43" ht="15.9">
      <c r="C35" s="150" t="s">
        <v>172</v>
      </c>
      <c r="D35" s="81"/>
      <c r="AK35" s="27"/>
      <c r="AL35" s="27"/>
      <c r="AM35" s="28"/>
      <c r="AN35"/>
      <c r="AO35" s="29"/>
    </row>
    <row r="36" spans="1:43" ht="15.9">
      <c r="C36" s="150"/>
      <c r="D36" s="81"/>
      <c r="E36" s="659"/>
      <c r="F36" s="659"/>
      <c r="G36" s="659"/>
      <c r="I36" s="659"/>
      <c r="J36" s="659"/>
      <c r="K36" s="659"/>
      <c r="M36" s="659"/>
      <c r="N36" s="659"/>
      <c r="P36" s="659"/>
      <c r="Q36" s="659"/>
      <c r="R36" s="659"/>
      <c r="T36" s="659"/>
      <c r="U36" s="659"/>
      <c r="W36" s="685" t="s">
        <v>173</v>
      </c>
      <c r="X36" s="685"/>
      <c r="Y36" s="685"/>
      <c r="AA36" s="659"/>
      <c r="AB36" s="659"/>
      <c r="AD36" s="685" t="s">
        <v>129</v>
      </c>
      <c r="AE36" s="685"/>
      <c r="AF36" s="685"/>
      <c r="AG36" s="73"/>
      <c r="AH36" s="685" t="s">
        <v>129</v>
      </c>
      <c r="AI36" s="685"/>
      <c r="AJ36" s="685"/>
      <c r="AK36" s="27"/>
      <c r="AL36" s="27"/>
      <c r="AM36" s="28"/>
      <c r="AN36"/>
      <c r="AO36" s="29"/>
    </row>
    <row r="37" spans="1:43" ht="15.9">
      <c r="C37" s="150"/>
      <c r="D37" s="81"/>
      <c r="E37" s="659"/>
      <c r="F37" s="659"/>
      <c r="G37" s="659"/>
      <c r="I37" s="659"/>
      <c r="J37" s="659"/>
      <c r="K37" s="659"/>
      <c r="M37" s="659"/>
      <c r="N37" s="659"/>
      <c r="P37" s="659"/>
      <c r="Q37" s="659"/>
      <c r="R37" s="659"/>
      <c r="T37" s="659"/>
      <c r="U37" s="659"/>
      <c r="W37" s="683" t="s">
        <v>130</v>
      </c>
      <c r="X37" s="683"/>
      <c r="Y37" s="683"/>
      <c r="AA37" s="659"/>
      <c r="AB37" s="659"/>
      <c r="AD37" s="683" t="s">
        <v>174</v>
      </c>
      <c r="AE37" s="683"/>
      <c r="AF37" s="683"/>
      <c r="AG37" s="73"/>
      <c r="AH37" s="683" t="s">
        <v>174</v>
      </c>
      <c r="AI37" s="683"/>
      <c r="AJ37" s="683"/>
      <c r="AK37" s="27"/>
      <c r="AL37" s="27"/>
      <c r="AM37" s="28"/>
      <c r="AN37"/>
      <c r="AO37" s="29"/>
    </row>
    <row r="38" spans="1:43" ht="15.9">
      <c r="C38" s="150"/>
      <c r="D38" s="81"/>
      <c r="E38" s="659"/>
      <c r="F38" s="659"/>
      <c r="G38" s="659"/>
      <c r="I38" s="659"/>
      <c r="J38" s="659"/>
      <c r="K38" s="659"/>
      <c r="M38" s="659"/>
      <c r="N38" s="659"/>
      <c r="P38" s="659"/>
      <c r="Q38" s="659"/>
      <c r="R38" s="659"/>
      <c r="T38" s="659"/>
      <c r="U38" s="659"/>
      <c r="W38" s="683" t="s">
        <v>141</v>
      </c>
      <c r="X38" s="683"/>
      <c r="Y38" s="683"/>
      <c r="AA38" s="659"/>
      <c r="AB38" s="659"/>
      <c r="AD38" s="683" t="s">
        <v>142</v>
      </c>
      <c r="AE38" s="683"/>
      <c r="AF38" s="683"/>
      <c r="AG38" s="73"/>
      <c r="AH38" s="683" t="s">
        <v>142</v>
      </c>
      <c r="AI38" s="683"/>
      <c r="AJ38" s="683"/>
      <c r="AK38" s="27"/>
      <c r="AL38" s="27"/>
      <c r="AM38" s="28"/>
      <c r="AN38"/>
      <c r="AO38" s="29"/>
    </row>
    <row r="39" spans="1:43" ht="15.9">
      <c r="C39" s="150"/>
      <c r="D39" s="81"/>
      <c r="E39" s="659"/>
      <c r="F39" s="659"/>
      <c r="G39" s="659"/>
      <c r="I39" s="659"/>
      <c r="J39" s="659"/>
      <c r="K39" s="659"/>
      <c r="M39" s="659"/>
      <c r="N39" s="659"/>
      <c r="P39" s="659"/>
      <c r="Q39" s="659"/>
      <c r="R39" s="659"/>
      <c r="T39" s="659"/>
      <c r="U39" s="659"/>
      <c r="W39" s="684" t="s">
        <v>175</v>
      </c>
      <c r="X39" s="684"/>
      <c r="Y39" s="684"/>
      <c r="AA39" s="659"/>
      <c r="AB39" s="659"/>
      <c r="AD39" s="684" t="s">
        <v>149</v>
      </c>
      <c r="AE39" s="684"/>
      <c r="AF39" s="684"/>
      <c r="AG39" s="73"/>
      <c r="AH39" s="684" t="s">
        <v>149</v>
      </c>
      <c r="AI39" s="684"/>
      <c r="AJ39" s="684"/>
      <c r="AK39" s="27"/>
      <c r="AL39" s="27"/>
      <c r="AM39" s="28"/>
      <c r="AN39"/>
      <c r="AO39" s="29"/>
    </row>
    <row r="40" spans="1:43" ht="15.9">
      <c r="C40" s="150"/>
      <c r="D40" s="81"/>
      <c r="AK40" s="27"/>
      <c r="AL40" s="27"/>
      <c r="AM40" s="28"/>
      <c r="AN40"/>
      <c r="AO40" s="29"/>
    </row>
    <row r="41" spans="1:43" ht="43.3">
      <c r="A41" s="1" t="s">
        <v>52</v>
      </c>
      <c r="B41" s="1" t="s">
        <v>168</v>
      </c>
      <c r="E41" s="151">
        <v>44197</v>
      </c>
      <c r="F41" s="152">
        <v>44198</v>
      </c>
      <c r="G41" s="152">
        <v>44199</v>
      </c>
      <c r="H41" s="153">
        <v>44200</v>
      </c>
      <c r="I41" s="153">
        <v>44201</v>
      </c>
      <c r="J41" s="152">
        <v>44202</v>
      </c>
      <c r="K41" s="153">
        <v>44203</v>
      </c>
      <c r="L41" s="153">
        <v>44204</v>
      </c>
      <c r="M41" s="152">
        <v>44205</v>
      </c>
      <c r="N41" s="152">
        <v>44206</v>
      </c>
      <c r="O41" s="153">
        <v>44207</v>
      </c>
      <c r="P41" s="153">
        <v>44208</v>
      </c>
      <c r="Q41" s="153">
        <v>44209</v>
      </c>
      <c r="R41" s="153">
        <v>44210</v>
      </c>
      <c r="S41" s="153">
        <v>44211</v>
      </c>
      <c r="T41" s="152">
        <v>44212</v>
      </c>
      <c r="U41" s="152">
        <v>44213</v>
      </c>
      <c r="V41" s="153">
        <v>44214</v>
      </c>
      <c r="W41" s="153">
        <v>44215</v>
      </c>
      <c r="X41" s="153">
        <v>44216</v>
      </c>
      <c r="Y41" s="153">
        <v>44217</v>
      </c>
      <c r="Z41" s="153">
        <v>44218</v>
      </c>
      <c r="AA41" s="152">
        <v>44219</v>
      </c>
      <c r="AB41" s="152">
        <v>44220</v>
      </c>
      <c r="AC41" s="153">
        <v>44221</v>
      </c>
      <c r="AD41" s="153">
        <v>44222</v>
      </c>
      <c r="AE41" s="153">
        <v>44223</v>
      </c>
      <c r="AF41" s="153">
        <v>44224</v>
      </c>
      <c r="AG41" s="153">
        <v>44225</v>
      </c>
      <c r="AH41" s="152">
        <v>44226</v>
      </c>
      <c r="AI41" s="154">
        <v>44227</v>
      </c>
      <c r="AJ41" s="155"/>
      <c r="AK41" s="15">
        <f>19*8</f>
        <v>152</v>
      </c>
      <c r="AL41" s="129">
        <v>43922</v>
      </c>
      <c r="AM41" s="156" t="s">
        <v>53</v>
      </c>
      <c r="AN41" s="157" t="s">
        <v>54</v>
      </c>
      <c r="AO41" s="158" t="s">
        <v>55</v>
      </c>
      <c r="AP41" s="8" t="s">
        <v>56</v>
      </c>
      <c r="AQ41" s="159" t="s">
        <v>57</v>
      </c>
    </row>
    <row r="42" spans="1:43" ht="15.9">
      <c r="C42" s="160" t="s">
        <v>3</v>
      </c>
      <c r="D42" s="161" t="e">
        <f>#REF!</f>
        <v>#REF!</v>
      </c>
      <c r="E42" s="36" t="s">
        <v>113</v>
      </c>
      <c r="F42" s="36"/>
      <c r="G42" s="36"/>
      <c r="H42" s="32" t="s">
        <v>176</v>
      </c>
      <c r="I42" s="32" t="s">
        <v>176</v>
      </c>
      <c r="J42" s="36" t="s">
        <v>66</v>
      </c>
      <c r="K42" s="32" t="s">
        <v>176</v>
      </c>
      <c r="L42" s="32" t="s">
        <v>176</v>
      </c>
      <c r="M42" s="36" t="s">
        <v>66</v>
      </c>
      <c r="N42" s="36" t="s">
        <v>66</v>
      </c>
      <c r="O42" s="32" t="s">
        <v>176</v>
      </c>
      <c r="P42" s="32" t="s">
        <v>176</v>
      </c>
      <c r="Q42" s="32"/>
      <c r="R42" s="32"/>
      <c r="S42" s="32"/>
      <c r="T42" s="36"/>
      <c r="U42" s="36"/>
      <c r="V42" s="32"/>
      <c r="W42" s="32"/>
      <c r="X42" s="32"/>
      <c r="Y42" s="32"/>
      <c r="Z42" s="32"/>
      <c r="AA42" s="36"/>
      <c r="AB42" s="36"/>
      <c r="AC42" s="32"/>
      <c r="AD42" s="32"/>
      <c r="AE42" s="32"/>
      <c r="AF42" s="32"/>
      <c r="AG42" s="32"/>
      <c r="AH42" s="36"/>
      <c r="AI42" s="36"/>
      <c r="AJ42" s="26" t="e">
        <f>_xlfn.CONCAT(#REF!,#REF!)</f>
        <v>#REF!</v>
      </c>
      <c r="AK42" s="27">
        <f t="shared" ref="AK42:AK56" si="6">AM42+AN42+AO42-$AK$1+AP42+AQ42</f>
        <v>-80</v>
      </c>
      <c r="AL42" s="27">
        <f>MARZEC!AK42</f>
        <v>0</v>
      </c>
      <c r="AM42" s="28">
        <f t="shared" ref="AM42:AM73" si="7">COUNTIF(E42:AI42,"D")*24+COUNTIF(E42:AI42,"12g")*12</f>
        <v>24</v>
      </c>
      <c r="AN42">
        <f t="shared" ref="AN42:AN73" si="8">SUM(COUNTIF(E42:AI42,"k")+COUNTIF(E42:AI42,"s")+COUNTIF(E42:AI42,"wse"))*24+SUM(COUNTIF(E42:AI42,"Pk")+COUNTIF(E42:AI42,"Ps"))*12</f>
        <v>0</v>
      </c>
      <c r="AO42" s="29">
        <f t="shared" ref="AO42:AO73" si="9">SUM(E42:AI42)+COUNTIF(E42:AI42,"uw")*8+COUNTIF(E42:AI42,"us")*8+COUNTIF(E42:AI42,"uz")*8+COUNTIF(E42:AI42,"u")*8</f>
        <v>48</v>
      </c>
      <c r="AP42" s="1">
        <f t="shared" ref="AP42:AP70" si="10">COUNTIF(E42:AI42,"DT")*8</f>
        <v>0</v>
      </c>
    </row>
    <row r="43" spans="1:43" ht="15.9">
      <c r="C43" s="162" t="s">
        <v>4</v>
      </c>
      <c r="D43" s="161" t="e">
        <f>#REF!</f>
        <v>#REF!</v>
      </c>
      <c r="E43" s="36"/>
      <c r="F43" s="36"/>
      <c r="G43" s="36"/>
      <c r="H43" s="32"/>
      <c r="I43" s="32"/>
      <c r="J43" s="36"/>
      <c r="K43" s="32"/>
      <c r="L43" s="32"/>
      <c r="M43" s="36"/>
      <c r="N43" s="36"/>
      <c r="O43" s="32"/>
      <c r="P43" s="32"/>
      <c r="Q43" s="32"/>
      <c r="R43" s="32"/>
      <c r="S43" s="32"/>
      <c r="T43" s="36"/>
      <c r="U43" s="36"/>
      <c r="V43" s="32"/>
      <c r="W43" s="32"/>
      <c r="X43" s="32"/>
      <c r="Y43" s="32"/>
      <c r="Z43" s="32"/>
      <c r="AA43" s="36"/>
      <c r="AB43" s="36"/>
      <c r="AC43" s="32"/>
      <c r="AD43" s="32"/>
      <c r="AE43" s="32"/>
      <c r="AF43" s="32"/>
      <c r="AG43" s="32"/>
      <c r="AH43" s="36"/>
      <c r="AI43" s="36"/>
      <c r="AJ43" s="26" t="e">
        <f>_xlfn.CONCAT(#REF!,#REF!)</f>
        <v>#REF!</v>
      </c>
      <c r="AK43" s="27">
        <f t="shared" si="6"/>
        <v>-152</v>
      </c>
      <c r="AL43" s="27">
        <f>MARZEC!AK43</f>
        <v>0</v>
      </c>
      <c r="AM43" s="28">
        <f t="shared" si="7"/>
        <v>0</v>
      </c>
      <c r="AN43">
        <f t="shared" si="8"/>
        <v>0</v>
      </c>
      <c r="AO43" s="29">
        <f t="shared" si="9"/>
        <v>0</v>
      </c>
      <c r="AP43" s="1">
        <f t="shared" si="10"/>
        <v>0</v>
      </c>
    </row>
    <row r="44" spans="1:43" ht="15.9">
      <c r="C44" s="162" t="s">
        <v>5</v>
      </c>
      <c r="D44" s="161" t="e">
        <f>#REF!</f>
        <v>#REF!</v>
      </c>
      <c r="E44" s="36"/>
      <c r="F44" s="36"/>
      <c r="G44" s="36" t="s">
        <v>113</v>
      </c>
      <c r="H44" s="32"/>
      <c r="I44" s="32"/>
      <c r="J44" s="36"/>
      <c r="K44" s="32"/>
      <c r="L44" s="32"/>
      <c r="M44" s="36"/>
      <c r="N44" s="36"/>
      <c r="O44" s="32"/>
      <c r="P44" s="32" t="s">
        <v>92</v>
      </c>
      <c r="Q44" s="32" t="s">
        <v>95</v>
      </c>
      <c r="R44" s="32" t="s">
        <v>95</v>
      </c>
      <c r="S44" s="32" t="s">
        <v>95</v>
      </c>
      <c r="T44" s="36" t="s">
        <v>95</v>
      </c>
      <c r="U44" s="36" t="s">
        <v>95</v>
      </c>
      <c r="V44" s="32" t="s">
        <v>95</v>
      </c>
      <c r="W44" s="32" t="s">
        <v>92</v>
      </c>
      <c r="X44" s="32"/>
      <c r="Y44" s="32"/>
      <c r="Z44" s="32"/>
      <c r="AA44" s="36"/>
      <c r="AB44" s="36"/>
      <c r="AC44" s="32"/>
      <c r="AD44" s="32"/>
      <c r="AE44" s="32"/>
      <c r="AF44" s="32"/>
      <c r="AG44" s="32"/>
      <c r="AH44" s="36"/>
      <c r="AI44" s="36"/>
      <c r="AJ44" s="26" t="e">
        <f>_xlfn.CONCAT(#REF!,#REF!)</f>
        <v>#REF!</v>
      </c>
      <c r="AK44" s="27">
        <f t="shared" si="6"/>
        <v>40</v>
      </c>
      <c r="AL44" s="27">
        <f>MARZEC!AK44</f>
        <v>0</v>
      </c>
      <c r="AM44" s="28">
        <f t="shared" si="7"/>
        <v>24</v>
      </c>
      <c r="AN44">
        <f t="shared" si="8"/>
        <v>168</v>
      </c>
      <c r="AO44" s="29">
        <f t="shared" si="9"/>
        <v>0</v>
      </c>
      <c r="AP44" s="1">
        <f t="shared" si="10"/>
        <v>0</v>
      </c>
    </row>
    <row r="45" spans="1:43" ht="15.9">
      <c r="C45" s="163" t="s">
        <v>6</v>
      </c>
      <c r="D45" s="161" t="e">
        <f>#REF!</f>
        <v>#REF!</v>
      </c>
      <c r="E45" s="36"/>
      <c r="F45" s="36"/>
      <c r="G45" s="36"/>
      <c r="H45" s="32"/>
      <c r="I45" s="32"/>
      <c r="J45" s="36"/>
      <c r="K45" s="32"/>
      <c r="L45" s="32"/>
      <c r="M45" s="36"/>
      <c r="N45" s="36"/>
      <c r="O45" s="32">
        <v>8</v>
      </c>
      <c r="P45" s="32" t="s">
        <v>113</v>
      </c>
      <c r="Q45" s="32"/>
      <c r="R45" s="32">
        <v>8</v>
      </c>
      <c r="S45" s="32"/>
      <c r="T45" s="36" t="s">
        <v>113</v>
      </c>
      <c r="U45" s="36"/>
      <c r="V45" s="32" t="s">
        <v>88</v>
      </c>
      <c r="W45" s="32"/>
      <c r="X45" s="32"/>
      <c r="Y45" s="32" t="s">
        <v>113</v>
      </c>
      <c r="Z45" s="32"/>
      <c r="AA45" s="36"/>
      <c r="AB45" s="36" t="s">
        <v>113</v>
      </c>
      <c r="AC45" s="32"/>
      <c r="AD45" s="32"/>
      <c r="AE45" s="32">
        <v>8</v>
      </c>
      <c r="AF45" s="32" t="s">
        <v>113</v>
      </c>
      <c r="AG45" s="32"/>
      <c r="AH45" s="36"/>
      <c r="AI45" s="36"/>
      <c r="AJ45" s="26" t="e">
        <f>_xlfn.CONCAT(#REF!,#REF!)</f>
        <v>#REF!</v>
      </c>
      <c r="AK45" s="27">
        <f t="shared" si="6"/>
        <v>0</v>
      </c>
      <c r="AL45" s="27">
        <f>MARZEC!AK45</f>
        <v>0</v>
      </c>
      <c r="AM45" s="28">
        <f t="shared" si="7"/>
        <v>120</v>
      </c>
      <c r="AN45">
        <f t="shared" si="8"/>
        <v>0</v>
      </c>
      <c r="AO45" s="29">
        <f t="shared" si="9"/>
        <v>32</v>
      </c>
      <c r="AP45" s="1">
        <f t="shared" si="10"/>
        <v>0</v>
      </c>
    </row>
    <row r="46" spans="1:43" ht="15.9">
      <c r="C46" s="164" t="s">
        <v>7</v>
      </c>
      <c r="D46" s="161" t="e">
        <f>#REF!</f>
        <v>#REF!</v>
      </c>
      <c r="E46" s="36"/>
      <c r="F46" s="36"/>
      <c r="G46" s="36"/>
      <c r="H46" s="32">
        <v>8</v>
      </c>
      <c r="I46" s="32"/>
      <c r="J46" s="36" t="s">
        <v>113</v>
      </c>
      <c r="K46" s="32"/>
      <c r="L46" s="32"/>
      <c r="M46" s="36"/>
      <c r="N46" s="36"/>
      <c r="O46" s="32"/>
      <c r="P46" s="32"/>
      <c r="Q46" s="32">
        <v>8</v>
      </c>
      <c r="R46" s="32">
        <v>8</v>
      </c>
      <c r="S46" s="32"/>
      <c r="T46" s="36"/>
      <c r="U46" s="36"/>
      <c r="V46" s="32">
        <v>8</v>
      </c>
      <c r="W46" s="32">
        <v>8</v>
      </c>
      <c r="X46" s="32">
        <v>8</v>
      </c>
      <c r="Y46" s="32"/>
      <c r="Z46" s="32"/>
      <c r="AA46" s="36"/>
      <c r="AB46" s="36"/>
      <c r="AC46" s="32"/>
      <c r="AD46" s="32"/>
      <c r="AE46" s="32">
        <v>8</v>
      </c>
      <c r="AF46" s="32">
        <v>8</v>
      </c>
      <c r="AG46" s="32" t="s">
        <v>113</v>
      </c>
      <c r="AH46" s="36"/>
      <c r="AI46" s="36"/>
      <c r="AJ46" s="26" t="e">
        <f>_xlfn.CONCAT(#REF!,#REF!)</f>
        <v>#REF!</v>
      </c>
      <c r="AK46" s="27">
        <f t="shared" si="6"/>
        <v>-40</v>
      </c>
      <c r="AL46" s="27">
        <f>MARZEC!AK46</f>
        <v>0</v>
      </c>
      <c r="AM46" s="28">
        <f t="shared" si="7"/>
        <v>48</v>
      </c>
      <c r="AN46">
        <f t="shared" si="8"/>
        <v>0</v>
      </c>
      <c r="AO46" s="29">
        <f t="shared" si="9"/>
        <v>64</v>
      </c>
      <c r="AP46" s="1">
        <f t="shared" si="10"/>
        <v>0</v>
      </c>
    </row>
    <row r="47" spans="1:43" ht="15.9">
      <c r="C47" s="163" t="s">
        <v>8</v>
      </c>
      <c r="D47" s="161" t="e">
        <f>#REF!</f>
        <v>#REF!</v>
      </c>
      <c r="E47" s="36" t="s">
        <v>66</v>
      </c>
      <c r="F47" s="36" t="s">
        <v>66</v>
      </c>
      <c r="G47" s="36" t="s">
        <v>66</v>
      </c>
      <c r="H47" s="32" t="s">
        <v>176</v>
      </c>
      <c r="I47" s="32" t="s">
        <v>113</v>
      </c>
      <c r="J47" s="36"/>
      <c r="K47" s="32"/>
      <c r="L47" s="32"/>
      <c r="M47" s="36"/>
      <c r="N47" s="36"/>
      <c r="O47" s="32">
        <v>8</v>
      </c>
      <c r="P47" s="32" t="s">
        <v>113</v>
      </c>
      <c r="Q47" s="32"/>
      <c r="R47" s="32">
        <v>8</v>
      </c>
      <c r="S47" s="32"/>
      <c r="T47" s="36"/>
      <c r="U47" s="36">
        <v>8</v>
      </c>
      <c r="V47" s="32" t="s">
        <v>98</v>
      </c>
      <c r="W47" s="32" t="s">
        <v>98</v>
      </c>
      <c r="X47" s="32">
        <v>18</v>
      </c>
      <c r="Y47" s="32"/>
      <c r="Z47" s="32"/>
      <c r="AA47" s="36"/>
      <c r="AB47" s="36"/>
      <c r="AC47" s="32">
        <v>8</v>
      </c>
      <c r="AD47" s="32"/>
      <c r="AE47" s="32"/>
      <c r="AF47" s="32" t="s">
        <v>113</v>
      </c>
      <c r="AG47" s="32"/>
      <c r="AH47" s="36"/>
      <c r="AI47" s="36"/>
      <c r="AJ47" s="26" t="e">
        <f>_xlfn.CONCAT(#REF!,#REF!)</f>
        <v>#REF!</v>
      </c>
      <c r="AK47" s="27">
        <f t="shared" si="6"/>
        <v>26</v>
      </c>
      <c r="AL47" s="27">
        <f>MARZEC!AK47</f>
        <v>0</v>
      </c>
      <c r="AM47" s="28">
        <f t="shared" si="7"/>
        <v>72</v>
      </c>
      <c r="AN47">
        <f t="shared" si="8"/>
        <v>48</v>
      </c>
      <c r="AO47" s="29">
        <f t="shared" si="9"/>
        <v>58</v>
      </c>
      <c r="AP47" s="1">
        <f t="shared" si="10"/>
        <v>0</v>
      </c>
    </row>
    <row r="48" spans="1:43" ht="15.9">
      <c r="C48" s="163" t="s">
        <v>9</v>
      </c>
      <c r="D48" s="161" t="e">
        <f>#REF!</f>
        <v>#REF!</v>
      </c>
      <c r="E48" s="36"/>
      <c r="F48" s="36"/>
      <c r="G48" s="36" t="s">
        <v>113</v>
      </c>
      <c r="H48" s="32"/>
      <c r="I48" s="32"/>
      <c r="J48" s="36"/>
      <c r="K48" s="32"/>
      <c r="L48" s="32"/>
      <c r="M48" s="36"/>
      <c r="N48" s="36"/>
      <c r="O48" s="32">
        <v>8</v>
      </c>
      <c r="P48" s="32">
        <v>8</v>
      </c>
      <c r="Q48" s="32">
        <v>7.5</v>
      </c>
      <c r="R48" s="32">
        <v>8</v>
      </c>
      <c r="S48" s="32">
        <v>2.5</v>
      </c>
      <c r="T48" s="36"/>
      <c r="U48" s="36">
        <v>7</v>
      </c>
      <c r="V48" s="32" t="s">
        <v>98</v>
      </c>
      <c r="W48" s="32" t="s">
        <v>98</v>
      </c>
      <c r="X48" s="32">
        <v>18</v>
      </c>
      <c r="Y48" s="32">
        <v>7</v>
      </c>
      <c r="Z48" s="32"/>
      <c r="AA48" s="36"/>
      <c r="AB48" s="36"/>
      <c r="AC48" s="32" t="s">
        <v>176</v>
      </c>
      <c r="AD48" s="32" t="s">
        <v>176</v>
      </c>
      <c r="AE48" s="32" t="s">
        <v>176</v>
      </c>
      <c r="AF48" s="32" t="s">
        <v>176</v>
      </c>
      <c r="AG48" s="32" t="s">
        <v>176</v>
      </c>
      <c r="AH48" s="36"/>
      <c r="AI48" s="36"/>
      <c r="AJ48" s="26" t="e">
        <f>_xlfn.CONCAT(#REF!,#REF!)</f>
        <v>#REF!</v>
      </c>
      <c r="AK48" s="27">
        <f t="shared" si="6"/>
        <v>26</v>
      </c>
      <c r="AL48" s="27">
        <f>MARZEC!AK48</f>
        <v>0</v>
      </c>
      <c r="AM48" s="28">
        <f t="shared" si="7"/>
        <v>24</v>
      </c>
      <c r="AN48">
        <f t="shared" si="8"/>
        <v>48</v>
      </c>
      <c r="AO48" s="29">
        <f t="shared" si="9"/>
        <v>106</v>
      </c>
      <c r="AP48" s="1">
        <f t="shared" si="10"/>
        <v>0</v>
      </c>
    </row>
    <row r="49" spans="3:42" ht="15.9">
      <c r="C49" s="164" t="s">
        <v>10</v>
      </c>
      <c r="D49" s="161" t="e">
        <f>#REF!</f>
        <v>#REF!</v>
      </c>
      <c r="E49" s="36"/>
      <c r="F49" s="36"/>
      <c r="G49" s="36"/>
      <c r="H49" s="32"/>
      <c r="I49" s="32"/>
      <c r="J49" s="36"/>
      <c r="K49" s="32"/>
      <c r="L49" s="32"/>
      <c r="M49" s="36"/>
      <c r="N49" s="36" t="s">
        <v>113</v>
      </c>
      <c r="O49" s="32"/>
      <c r="P49" s="32" t="s">
        <v>176</v>
      </c>
      <c r="Q49" s="32" t="s">
        <v>176</v>
      </c>
      <c r="R49" s="32" t="s">
        <v>176</v>
      </c>
      <c r="S49" s="32" t="s">
        <v>176</v>
      </c>
      <c r="T49" s="36"/>
      <c r="U49" s="36"/>
      <c r="V49" s="32"/>
      <c r="W49" s="32"/>
      <c r="X49" s="32"/>
      <c r="Y49" s="32" t="s">
        <v>113</v>
      </c>
      <c r="Z49" s="32"/>
      <c r="AA49" s="36"/>
      <c r="AB49" s="36"/>
      <c r="AC49" s="32" t="s">
        <v>176</v>
      </c>
      <c r="AD49" s="32" t="s">
        <v>176</v>
      </c>
      <c r="AE49" s="32" t="s">
        <v>176</v>
      </c>
      <c r="AF49" s="32" t="s">
        <v>176</v>
      </c>
      <c r="AG49" s="32" t="s">
        <v>176</v>
      </c>
      <c r="AH49" s="36"/>
      <c r="AI49" s="36"/>
      <c r="AJ49" s="26" t="e">
        <f>_xlfn.CONCAT(#REF!,#REF!)</f>
        <v>#REF!</v>
      </c>
      <c r="AK49" s="27">
        <f t="shared" si="6"/>
        <v>-32</v>
      </c>
      <c r="AL49" s="27">
        <f>MARZEC!AK49</f>
        <v>0</v>
      </c>
      <c r="AM49" s="28">
        <f t="shared" si="7"/>
        <v>48</v>
      </c>
      <c r="AN49">
        <f t="shared" si="8"/>
        <v>0</v>
      </c>
      <c r="AO49" s="29">
        <f t="shared" si="9"/>
        <v>72</v>
      </c>
      <c r="AP49" s="1">
        <f t="shared" si="10"/>
        <v>0</v>
      </c>
    </row>
    <row r="50" spans="3:42" ht="15.9">
      <c r="C50" s="162" t="s">
        <v>11</v>
      </c>
      <c r="D50" s="161" t="e">
        <f>#REF!</f>
        <v>#REF!</v>
      </c>
      <c r="E50" s="36" t="s">
        <v>95</v>
      </c>
      <c r="F50" s="36" t="s">
        <v>95</v>
      </c>
      <c r="G50" s="36" t="s">
        <v>95</v>
      </c>
      <c r="H50" s="32" t="s">
        <v>95</v>
      </c>
      <c r="I50" s="32">
        <v>13</v>
      </c>
      <c r="J50" s="36"/>
      <c r="K50" s="32"/>
      <c r="L50" s="32"/>
      <c r="M50" s="36"/>
      <c r="N50" s="36"/>
      <c r="O50" s="32" t="s">
        <v>176</v>
      </c>
      <c r="P50" s="32" t="s">
        <v>176</v>
      </c>
      <c r="Q50" s="32" t="s">
        <v>176</v>
      </c>
      <c r="R50" s="32" t="s">
        <v>176</v>
      </c>
      <c r="S50" s="32" t="s">
        <v>176</v>
      </c>
      <c r="T50" s="36"/>
      <c r="U50" s="36"/>
      <c r="V50" s="32">
        <v>5</v>
      </c>
      <c r="W50" s="32"/>
      <c r="X50" s="32"/>
      <c r="Y50" s="32"/>
      <c r="Z50" s="32">
        <v>6</v>
      </c>
      <c r="AA50" s="36"/>
      <c r="AB50" s="36" t="s">
        <v>113</v>
      </c>
      <c r="AC50" s="32"/>
      <c r="AD50" s="32"/>
      <c r="AE50" s="32">
        <v>7</v>
      </c>
      <c r="AF50" s="32"/>
      <c r="AG50" s="32"/>
      <c r="AH50" s="36"/>
      <c r="AI50" s="36">
        <v>16</v>
      </c>
      <c r="AJ50" s="26" t="e">
        <f>_xlfn.CONCAT(#REF!,#REF!)</f>
        <v>#REF!</v>
      </c>
      <c r="AK50" s="27">
        <f t="shared" si="6"/>
        <v>55</v>
      </c>
      <c r="AL50" s="27">
        <f>MARZEC!AK50</f>
        <v>184</v>
      </c>
      <c r="AM50" s="28">
        <f t="shared" si="7"/>
        <v>24</v>
      </c>
      <c r="AN50">
        <f t="shared" si="8"/>
        <v>96</v>
      </c>
      <c r="AO50" s="29">
        <f t="shared" si="9"/>
        <v>87</v>
      </c>
      <c r="AP50" s="1">
        <f t="shared" si="10"/>
        <v>0</v>
      </c>
    </row>
    <row r="51" spans="3:42" ht="15.9">
      <c r="C51" s="163" t="s">
        <v>12</v>
      </c>
      <c r="D51" s="161" t="e">
        <f>#REF!</f>
        <v>#REF!</v>
      </c>
      <c r="E51" s="36"/>
      <c r="F51" s="36" t="s">
        <v>113</v>
      </c>
      <c r="G51" s="36"/>
      <c r="H51" s="32"/>
      <c r="I51" s="32"/>
      <c r="J51" s="36"/>
      <c r="K51" s="32"/>
      <c r="L51" s="32"/>
      <c r="M51" s="36" t="s">
        <v>113</v>
      </c>
      <c r="N51" s="36"/>
      <c r="O51" s="32">
        <v>8</v>
      </c>
      <c r="P51" s="32">
        <v>8</v>
      </c>
      <c r="Q51" s="32">
        <v>8</v>
      </c>
      <c r="R51" s="32">
        <v>8</v>
      </c>
      <c r="S51" s="32"/>
      <c r="T51" s="36"/>
      <c r="U51" s="36" t="s">
        <v>113</v>
      </c>
      <c r="V51" s="32"/>
      <c r="W51" s="32"/>
      <c r="X51" s="32" t="s">
        <v>113</v>
      </c>
      <c r="Y51" s="32"/>
      <c r="Z51" s="32"/>
      <c r="AA51" s="36"/>
      <c r="AB51" s="36"/>
      <c r="AC51" s="32"/>
      <c r="AD51" s="32"/>
      <c r="AE51" s="32"/>
      <c r="AF51" s="32"/>
      <c r="AG51" s="32"/>
      <c r="AH51" s="36"/>
      <c r="AI51" s="36"/>
      <c r="AJ51" s="26" t="e">
        <f>_xlfn.CONCAT(#REF!,#REF!)</f>
        <v>#REF!</v>
      </c>
      <c r="AK51" s="27">
        <f t="shared" si="6"/>
        <v>-24</v>
      </c>
      <c r="AL51" s="27" t="e">
        <f>MARZEC!AK51</f>
        <v>#REF!</v>
      </c>
      <c r="AM51" s="28">
        <f t="shared" si="7"/>
        <v>96</v>
      </c>
      <c r="AN51">
        <f t="shared" si="8"/>
        <v>0</v>
      </c>
      <c r="AO51" s="29">
        <f t="shared" si="9"/>
        <v>32</v>
      </c>
      <c r="AP51" s="1">
        <f t="shared" si="10"/>
        <v>0</v>
      </c>
    </row>
    <row r="52" spans="3:42" ht="15.9">
      <c r="C52" s="163" t="s">
        <v>13</v>
      </c>
      <c r="D52" s="161" t="e">
        <f>#REF!</f>
        <v>#REF!</v>
      </c>
      <c r="E52" s="36"/>
      <c r="F52" s="36"/>
      <c r="G52" s="36"/>
      <c r="H52" s="32">
        <v>8</v>
      </c>
      <c r="I52" s="32"/>
      <c r="J52" s="36"/>
      <c r="K52" s="32" t="s">
        <v>113</v>
      </c>
      <c r="L52" s="32"/>
      <c r="M52" s="36"/>
      <c r="N52" s="36"/>
      <c r="O52" s="32">
        <v>8</v>
      </c>
      <c r="P52" s="32">
        <v>8</v>
      </c>
      <c r="Q52" s="32">
        <v>8</v>
      </c>
      <c r="R52" s="32">
        <v>8</v>
      </c>
      <c r="S52" s="32">
        <v>2</v>
      </c>
      <c r="T52" s="36"/>
      <c r="U52" s="36">
        <v>8</v>
      </c>
      <c r="V52" s="32" t="s">
        <v>98</v>
      </c>
      <c r="W52" s="32" t="s">
        <v>98</v>
      </c>
      <c r="X52" s="32">
        <v>18</v>
      </c>
      <c r="Y52" s="32"/>
      <c r="Z52" s="32"/>
      <c r="AA52" s="36"/>
      <c r="AB52" s="36"/>
      <c r="AC52" s="32">
        <v>8</v>
      </c>
      <c r="AD52" s="32"/>
      <c r="AE52" s="32">
        <v>8</v>
      </c>
      <c r="AF52" s="32"/>
      <c r="AG52" s="32"/>
      <c r="AH52" s="36"/>
      <c r="AI52" s="36"/>
      <c r="AJ52" s="26" t="e">
        <f>_xlfn.CONCAT(#REF!,#REF!)</f>
        <v>#REF!</v>
      </c>
      <c r="AK52" s="27">
        <f t="shared" si="6"/>
        <v>4</v>
      </c>
      <c r="AL52" s="27" t="e">
        <f>MARZEC!AK52</f>
        <v>#REF!</v>
      </c>
      <c r="AM52" s="28">
        <f t="shared" si="7"/>
        <v>24</v>
      </c>
      <c r="AN52">
        <f t="shared" si="8"/>
        <v>48</v>
      </c>
      <c r="AO52" s="29">
        <f t="shared" si="9"/>
        <v>84</v>
      </c>
      <c r="AP52" s="1">
        <f t="shared" si="10"/>
        <v>0</v>
      </c>
    </row>
    <row r="53" spans="3:42" ht="15.9">
      <c r="C53" s="163" t="s">
        <v>14</v>
      </c>
      <c r="D53" s="161" t="e">
        <f>#REF!</f>
        <v>#REF!</v>
      </c>
      <c r="E53" s="36"/>
      <c r="F53" s="36"/>
      <c r="G53" s="36"/>
      <c r="H53" s="32" t="s">
        <v>176</v>
      </c>
      <c r="I53" s="32" t="s">
        <v>176</v>
      </c>
      <c r="J53" s="36" t="s">
        <v>66</v>
      </c>
      <c r="K53" s="32" t="s">
        <v>176</v>
      </c>
      <c r="L53" s="32" t="s">
        <v>176</v>
      </c>
      <c r="M53" s="36" t="s">
        <v>66</v>
      </c>
      <c r="N53" s="36" t="s">
        <v>66</v>
      </c>
      <c r="O53" s="32" t="s">
        <v>176</v>
      </c>
      <c r="P53" s="32" t="s">
        <v>176</v>
      </c>
      <c r="Q53" s="32">
        <v>7.5</v>
      </c>
      <c r="R53" s="32">
        <v>8</v>
      </c>
      <c r="S53" s="32"/>
      <c r="T53" s="36"/>
      <c r="U53" s="36">
        <v>8</v>
      </c>
      <c r="V53" s="32" t="s">
        <v>98</v>
      </c>
      <c r="W53" s="32" t="s">
        <v>98</v>
      </c>
      <c r="X53" s="32">
        <v>18</v>
      </c>
      <c r="Y53" s="32"/>
      <c r="Z53" s="32"/>
      <c r="AA53" s="36"/>
      <c r="AB53" s="36"/>
      <c r="AC53" s="32"/>
      <c r="AD53" s="32"/>
      <c r="AE53" s="32"/>
      <c r="AF53" s="32"/>
      <c r="AG53" s="32"/>
      <c r="AH53" s="36"/>
      <c r="AI53" s="36"/>
      <c r="AJ53" s="26" t="e">
        <f>_xlfn.CONCAT(#REF!,#REF!)</f>
        <v>#REF!</v>
      </c>
      <c r="AK53" s="27">
        <f t="shared" si="6"/>
        <v>-14.5</v>
      </c>
      <c r="AL53" s="27" t="e">
        <f>MARZEC!AK53</f>
        <v>#REF!</v>
      </c>
      <c r="AM53" s="28">
        <f t="shared" si="7"/>
        <v>0</v>
      </c>
      <c r="AN53">
        <f t="shared" si="8"/>
        <v>48</v>
      </c>
      <c r="AO53" s="29">
        <f t="shared" si="9"/>
        <v>89.5</v>
      </c>
      <c r="AP53" s="1">
        <f t="shared" si="10"/>
        <v>0</v>
      </c>
    </row>
    <row r="54" spans="3:42" ht="15.9">
      <c r="C54" s="162" t="s">
        <v>15</v>
      </c>
      <c r="D54" s="161" t="e">
        <f>#REF!</f>
        <v>#REF!</v>
      </c>
      <c r="E54" s="36" t="s">
        <v>95</v>
      </c>
      <c r="F54" s="36" t="s">
        <v>95</v>
      </c>
      <c r="G54" s="36" t="s">
        <v>95</v>
      </c>
      <c r="H54" s="32" t="s">
        <v>95</v>
      </c>
      <c r="I54" s="32" t="s">
        <v>92</v>
      </c>
      <c r="J54" s="36"/>
      <c r="K54" s="32"/>
      <c r="L54" s="32"/>
      <c r="M54" s="36"/>
      <c r="N54" s="36"/>
      <c r="O54" s="32" t="s">
        <v>176</v>
      </c>
      <c r="P54" s="32" t="s">
        <v>176</v>
      </c>
      <c r="Q54" s="32" t="s">
        <v>176</v>
      </c>
      <c r="R54" s="32" t="s">
        <v>176</v>
      </c>
      <c r="S54" s="32" t="s">
        <v>176</v>
      </c>
      <c r="T54" s="36"/>
      <c r="U54" s="36"/>
      <c r="V54" s="32"/>
      <c r="W54" s="32">
        <v>16</v>
      </c>
      <c r="X54" s="32" t="s">
        <v>95</v>
      </c>
      <c r="Y54" s="32" t="s">
        <v>95</v>
      </c>
      <c r="Z54" s="32" t="s">
        <v>95</v>
      </c>
      <c r="AA54" s="36" t="s">
        <v>95</v>
      </c>
      <c r="AB54" s="36" t="s">
        <v>95</v>
      </c>
      <c r="AC54" s="32" t="s">
        <v>95</v>
      </c>
      <c r="AD54" s="32" t="s">
        <v>92</v>
      </c>
      <c r="AE54" s="32"/>
      <c r="AF54" s="32"/>
      <c r="AG54" s="32"/>
      <c r="AH54" s="36"/>
      <c r="AI54" s="36"/>
      <c r="AJ54" s="26" t="e">
        <f>_xlfn.CONCAT(#REF!,#REF!)</f>
        <v>#REF!</v>
      </c>
      <c r="AK54" s="27">
        <f t="shared" si="6"/>
        <v>168</v>
      </c>
      <c r="AL54" s="27" t="e">
        <f>MARZEC!AK54</f>
        <v>#REF!</v>
      </c>
      <c r="AM54" s="28">
        <f t="shared" si="7"/>
        <v>0</v>
      </c>
      <c r="AN54">
        <f t="shared" si="8"/>
        <v>264</v>
      </c>
      <c r="AO54" s="29">
        <f t="shared" si="9"/>
        <v>56</v>
      </c>
      <c r="AP54" s="1">
        <f t="shared" si="10"/>
        <v>0</v>
      </c>
    </row>
    <row r="55" spans="3:42" ht="15.9">
      <c r="C55" s="162" t="s">
        <v>16</v>
      </c>
      <c r="D55" s="161" t="e">
        <f>#REF!</f>
        <v>#REF!</v>
      </c>
      <c r="E55" s="36"/>
      <c r="F55" s="36"/>
      <c r="G55" s="36"/>
      <c r="H55" s="32"/>
      <c r="I55" s="32">
        <v>16</v>
      </c>
      <c r="J55" s="36" t="s">
        <v>95</v>
      </c>
      <c r="K55" s="32" t="s">
        <v>95</v>
      </c>
      <c r="L55" s="32" t="s">
        <v>95</v>
      </c>
      <c r="M55" s="36" t="s">
        <v>95</v>
      </c>
      <c r="N55" s="36" t="s">
        <v>95</v>
      </c>
      <c r="O55" s="32" t="s">
        <v>95</v>
      </c>
      <c r="P55" s="32">
        <v>11</v>
      </c>
      <c r="Q55" s="32"/>
      <c r="R55" s="32"/>
      <c r="S55" s="32"/>
      <c r="T55" s="36"/>
      <c r="U55" s="36"/>
      <c r="V55" s="32"/>
      <c r="W55" s="32"/>
      <c r="X55" s="32"/>
      <c r="Y55" s="32"/>
      <c r="Z55" s="32"/>
      <c r="AA55" s="36"/>
      <c r="AB55" s="36"/>
      <c r="AC55" s="32"/>
      <c r="AD55" s="32"/>
      <c r="AE55" s="32"/>
      <c r="AF55" s="32"/>
      <c r="AG55" s="32"/>
      <c r="AH55" s="36"/>
      <c r="AI55" s="36"/>
      <c r="AJ55" s="26" t="e">
        <f>_xlfn.CONCAT(#REF!,#REF!)</f>
        <v>#REF!</v>
      </c>
      <c r="AK55" s="27">
        <f t="shared" si="6"/>
        <v>19</v>
      </c>
      <c r="AL55" s="27" t="e">
        <f>MARZEC!AK55</f>
        <v>#REF!</v>
      </c>
      <c r="AM55" s="28">
        <f t="shared" si="7"/>
        <v>0</v>
      </c>
      <c r="AN55">
        <f t="shared" si="8"/>
        <v>144</v>
      </c>
      <c r="AO55" s="29">
        <f t="shared" si="9"/>
        <v>27</v>
      </c>
      <c r="AP55" s="1">
        <f t="shared" si="10"/>
        <v>0</v>
      </c>
    </row>
    <row r="56" spans="3:42" ht="15.9">
      <c r="C56" s="162" t="s">
        <v>17</v>
      </c>
      <c r="D56" s="161" t="e">
        <f>#REF!</f>
        <v>#REF!</v>
      </c>
      <c r="E56" s="36"/>
      <c r="F56" s="36"/>
      <c r="G56" s="36"/>
      <c r="H56" s="32"/>
      <c r="I56" s="32"/>
      <c r="J56" s="36"/>
      <c r="K56" s="32"/>
      <c r="L56" s="32"/>
      <c r="M56" s="36"/>
      <c r="N56" s="36"/>
      <c r="O56" s="32"/>
      <c r="P56" s="32"/>
      <c r="Q56" s="32"/>
      <c r="R56" s="32"/>
      <c r="S56" s="32"/>
      <c r="T56" s="36"/>
      <c r="U56" s="36"/>
      <c r="V56" s="32"/>
      <c r="W56" s="32"/>
      <c r="X56" s="32"/>
      <c r="Y56" s="32"/>
      <c r="Z56" s="32"/>
      <c r="AA56" s="36"/>
      <c r="AB56" s="36"/>
      <c r="AC56" s="32"/>
      <c r="AD56" s="32"/>
      <c r="AE56" s="32"/>
      <c r="AF56" s="32"/>
      <c r="AG56" s="32"/>
      <c r="AH56" s="36"/>
      <c r="AI56" s="36"/>
      <c r="AJ56" s="26" t="e">
        <f>_xlfn.CONCAT(#REF!,#REF!)</f>
        <v>#REF!</v>
      </c>
      <c r="AK56" s="27">
        <f t="shared" si="6"/>
        <v>-152</v>
      </c>
      <c r="AL56" s="27" t="e">
        <f>MARZEC!AK56</f>
        <v>#REF!</v>
      </c>
      <c r="AM56" s="28">
        <f t="shared" si="7"/>
        <v>0</v>
      </c>
      <c r="AN56">
        <f t="shared" si="8"/>
        <v>0</v>
      </c>
      <c r="AO56" s="29">
        <f t="shared" si="9"/>
        <v>0</v>
      </c>
      <c r="AP56" s="1">
        <f t="shared" si="10"/>
        <v>0</v>
      </c>
    </row>
    <row r="57" spans="3:42" ht="15.9">
      <c r="C57" s="164" t="s">
        <v>18</v>
      </c>
      <c r="D57" s="161" t="e">
        <f>#REF!</f>
        <v>#REF!</v>
      </c>
      <c r="E57" s="36" t="s">
        <v>66</v>
      </c>
      <c r="F57" s="36" t="s">
        <v>66</v>
      </c>
      <c r="G57" s="36" t="s">
        <v>66</v>
      </c>
      <c r="H57" s="32" t="s">
        <v>101</v>
      </c>
      <c r="I57" s="32" t="s">
        <v>101</v>
      </c>
      <c r="J57" s="36" t="s">
        <v>66</v>
      </c>
      <c r="K57" s="32" t="s">
        <v>101</v>
      </c>
      <c r="L57" s="32" t="s">
        <v>101</v>
      </c>
      <c r="M57" s="36" t="s">
        <v>66</v>
      </c>
      <c r="N57" s="36" t="s">
        <v>66</v>
      </c>
      <c r="O57" s="32" t="s">
        <v>101</v>
      </c>
      <c r="P57" s="32" t="s">
        <v>101</v>
      </c>
      <c r="Q57" s="32" t="s">
        <v>101</v>
      </c>
      <c r="R57" s="32" t="s">
        <v>101</v>
      </c>
      <c r="S57" s="32" t="s">
        <v>101</v>
      </c>
      <c r="T57" s="36" t="s">
        <v>66</v>
      </c>
      <c r="U57" s="36" t="s">
        <v>66</v>
      </c>
      <c r="V57" s="32" t="s">
        <v>101</v>
      </c>
      <c r="W57" s="32" t="s">
        <v>101</v>
      </c>
      <c r="X57" s="32" t="s">
        <v>101</v>
      </c>
      <c r="Y57" s="32" t="s">
        <v>101</v>
      </c>
      <c r="Z57" s="32" t="s">
        <v>101</v>
      </c>
      <c r="AA57" s="36" t="s">
        <v>66</v>
      </c>
      <c r="AB57" s="36" t="s">
        <v>66</v>
      </c>
      <c r="AC57" s="32" t="s">
        <v>101</v>
      </c>
      <c r="AD57" s="32" t="s">
        <v>101</v>
      </c>
      <c r="AE57" s="32" t="s">
        <v>101</v>
      </c>
      <c r="AF57" s="32" t="s">
        <v>101</v>
      </c>
      <c r="AG57" s="32" t="s">
        <v>101</v>
      </c>
      <c r="AH57" s="36" t="s">
        <v>66</v>
      </c>
      <c r="AI57" s="36" t="s">
        <v>66</v>
      </c>
      <c r="AJ57" s="26" t="e">
        <f>_xlfn.CONCAT(#REF!,#REF!)</f>
        <v>#REF!</v>
      </c>
      <c r="AK57" s="27">
        <v>0</v>
      </c>
      <c r="AL57" s="27" t="e">
        <f>MARZEC!AK57</f>
        <v>#REF!</v>
      </c>
      <c r="AM57" s="28">
        <f t="shared" si="7"/>
        <v>0</v>
      </c>
      <c r="AN57">
        <f t="shared" si="8"/>
        <v>0</v>
      </c>
      <c r="AO57" s="29">
        <f t="shared" si="9"/>
        <v>0</v>
      </c>
      <c r="AP57" s="1">
        <f t="shared" si="10"/>
        <v>0</v>
      </c>
    </row>
    <row r="58" spans="3:42" ht="15.9">
      <c r="C58" s="163" t="s">
        <v>19</v>
      </c>
      <c r="D58" s="161" t="e">
        <f>#REF!</f>
        <v>#REF!</v>
      </c>
      <c r="E58" s="36"/>
      <c r="F58" s="36"/>
      <c r="G58" s="36"/>
      <c r="H58" s="32"/>
      <c r="I58" s="32">
        <v>8</v>
      </c>
      <c r="J58" s="36"/>
      <c r="K58" s="32">
        <v>8</v>
      </c>
      <c r="L58" s="32">
        <v>7.5</v>
      </c>
      <c r="M58" s="36"/>
      <c r="N58" s="36"/>
      <c r="O58" s="32"/>
      <c r="P58" s="32"/>
      <c r="Q58" s="32"/>
      <c r="R58" s="32" t="s">
        <v>113</v>
      </c>
      <c r="S58" s="32"/>
      <c r="T58" s="36"/>
      <c r="U58" s="36">
        <v>8</v>
      </c>
      <c r="V58" s="32" t="s">
        <v>98</v>
      </c>
      <c r="W58" s="32" t="s">
        <v>98</v>
      </c>
      <c r="X58" s="32">
        <v>18</v>
      </c>
      <c r="Y58" s="32"/>
      <c r="Z58" s="32"/>
      <c r="AA58" s="36"/>
      <c r="AB58" s="36"/>
      <c r="AC58" s="32">
        <v>8</v>
      </c>
      <c r="AD58" s="32">
        <v>8</v>
      </c>
      <c r="AE58" s="32">
        <v>8</v>
      </c>
      <c r="AF58" s="32"/>
      <c r="AG58" s="32"/>
      <c r="AH58" s="36"/>
      <c r="AI58" s="36"/>
      <c r="AJ58" s="26" t="e">
        <f>_xlfn.CONCAT(#REF!,#REF!)</f>
        <v>#REF!</v>
      </c>
      <c r="AK58" s="27">
        <f t="shared" ref="AK58:AK92" si="11">AM58+AN58+AO58-$AK$1+AP58+AQ58</f>
        <v>-6.5</v>
      </c>
      <c r="AL58" s="27" t="e">
        <f>MARZEC!AK58</f>
        <v>#REF!</v>
      </c>
      <c r="AM58" s="28">
        <f t="shared" si="7"/>
        <v>24</v>
      </c>
      <c r="AN58">
        <f t="shared" si="8"/>
        <v>48</v>
      </c>
      <c r="AO58" s="29">
        <f t="shared" si="9"/>
        <v>73.5</v>
      </c>
      <c r="AP58" s="1">
        <f t="shared" si="10"/>
        <v>0</v>
      </c>
    </row>
    <row r="59" spans="3:42" ht="15.9">
      <c r="C59" s="163" t="s">
        <v>20</v>
      </c>
      <c r="D59" s="165" t="e">
        <f>#REF!</f>
        <v>#REF!</v>
      </c>
      <c r="E59" s="36"/>
      <c r="F59" s="36"/>
      <c r="G59" s="36"/>
      <c r="H59" s="32"/>
      <c r="I59" s="32"/>
      <c r="J59" s="36"/>
      <c r="K59" s="32" t="s">
        <v>176</v>
      </c>
      <c r="L59" s="32" t="s">
        <v>176</v>
      </c>
      <c r="M59" s="36" t="s">
        <v>66</v>
      </c>
      <c r="N59" s="36" t="s">
        <v>66</v>
      </c>
      <c r="O59" s="32" t="s">
        <v>176</v>
      </c>
      <c r="P59" s="32" t="s">
        <v>176</v>
      </c>
      <c r="Q59" s="32" t="s">
        <v>176</v>
      </c>
      <c r="R59" s="32">
        <v>8</v>
      </c>
      <c r="S59" s="32">
        <v>8</v>
      </c>
      <c r="T59" s="36">
        <v>2</v>
      </c>
      <c r="U59" s="36">
        <v>8</v>
      </c>
      <c r="V59" s="32" t="s">
        <v>98</v>
      </c>
      <c r="W59" s="32" t="s">
        <v>98</v>
      </c>
      <c r="X59" s="32">
        <v>18</v>
      </c>
      <c r="Y59" s="32"/>
      <c r="Z59" s="32"/>
      <c r="AA59" s="36"/>
      <c r="AB59" s="36"/>
      <c r="AC59" s="32"/>
      <c r="AD59" s="32"/>
      <c r="AE59" s="32"/>
      <c r="AF59" s="32"/>
      <c r="AG59" s="32"/>
      <c r="AH59" s="36"/>
      <c r="AI59" s="36"/>
      <c r="AJ59" s="26" t="e">
        <f>_xlfn.CONCAT(#REF!,#REF!)</f>
        <v>#REF!</v>
      </c>
      <c r="AK59" s="27">
        <f t="shared" si="11"/>
        <v>-20</v>
      </c>
      <c r="AL59" s="27" t="e">
        <f>MARZEC!AK59</f>
        <v>#REF!</v>
      </c>
      <c r="AM59" s="28">
        <f t="shared" si="7"/>
        <v>0</v>
      </c>
      <c r="AN59">
        <f t="shared" si="8"/>
        <v>48</v>
      </c>
      <c r="AO59" s="29">
        <f t="shared" si="9"/>
        <v>84</v>
      </c>
      <c r="AP59" s="1">
        <f t="shared" si="10"/>
        <v>0</v>
      </c>
    </row>
    <row r="60" spans="3:42" ht="15.9">
      <c r="C60" s="166" t="s">
        <v>21</v>
      </c>
      <c r="D60" s="167" t="e">
        <f>#REF!</f>
        <v>#REF!</v>
      </c>
      <c r="E60" s="168"/>
      <c r="F60" s="36"/>
      <c r="G60" s="36"/>
      <c r="H60" s="32"/>
      <c r="I60" s="32"/>
      <c r="J60" s="36"/>
      <c r="K60" s="32"/>
      <c r="L60" s="32"/>
      <c r="M60" s="36" t="s">
        <v>113</v>
      </c>
      <c r="N60" s="36"/>
      <c r="O60" s="32">
        <v>8</v>
      </c>
      <c r="P60" s="32">
        <v>8</v>
      </c>
      <c r="Q60" s="32">
        <v>8</v>
      </c>
      <c r="R60" s="32">
        <v>8</v>
      </c>
      <c r="S60" s="32"/>
      <c r="T60" s="36" t="s">
        <v>113</v>
      </c>
      <c r="U60" s="36"/>
      <c r="V60" s="32"/>
      <c r="W60" s="32"/>
      <c r="X60" s="32" t="s">
        <v>113</v>
      </c>
      <c r="Y60" s="32"/>
      <c r="Z60" s="32"/>
      <c r="AA60" s="36" t="s">
        <v>113</v>
      </c>
      <c r="AB60" s="36"/>
      <c r="AC60" s="32"/>
      <c r="AD60" s="32"/>
      <c r="AE60" s="32"/>
      <c r="AF60" s="32"/>
      <c r="AG60" s="32"/>
      <c r="AH60" s="36" t="s">
        <v>113</v>
      </c>
      <c r="AI60" s="36"/>
      <c r="AJ60" s="26" t="e">
        <f>_xlfn.CONCAT(#REF!,#REF!)</f>
        <v>#REF!</v>
      </c>
      <c r="AK60" s="27">
        <f t="shared" si="11"/>
        <v>0</v>
      </c>
      <c r="AL60" s="27" t="e">
        <f>MARZEC!AK60</f>
        <v>#REF!</v>
      </c>
      <c r="AM60" s="28">
        <f t="shared" si="7"/>
        <v>120</v>
      </c>
      <c r="AN60">
        <f t="shared" si="8"/>
        <v>0</v>
      </c>
      <c r="AO60" s="29">
        <f t="shared" si="9"/>
        <v>32</v>
      </c>
      <c r="AP60" s="1">
        <f t="shared" si="10"/>
        <v>0</v>
      </c>
    </row>
    <row r="61" spans="3:42" ht="15.9">
      <c r="C61" s="169" t="s">
        <v>22</v>
      </c>
      <c r="D61" s="170" t="e">
        <f>#REF!</f>
        <v>#REF!</v>
      </c>
      <c r="E61" s="168"/>
      <c r="F61" s="36"/>
      <c r="G61" s="36"/>
      <c r="H61" s="32"/>
      <c r="I61" s="32">
        <v>16</v>
      </c>
      <c r="J61" s="36" t="s">
        <v>95</v>
      </c>
      <c r="K61" s="32" t="s">
        <v>95</v>
      </c>
      <c r="L61" s="32" t="s">
        <v>95</v>
      </c>
      <c r="M61" s="36" t="s">
        <v>95</v>
      </c>
      <c r="N61" s="36" t="s">
        <v>95</v>
      </c>
      <c r="O61" s="32" t="s">
        <v>95</v>
      </c>
      <c r="P61" s="32" t="s">
        <v>92</v>
      </c>
      <c r="Q61" s="32"/>
      <c r="R61" s="32"/>
      <c r="S61" s="32"/>
      <c r="T61" s="36"/>
      <c r="U61" s="36"/>
      <c r="V61" s="32"/>
      <c r="W61" s="32" t="s">
        <v>113</v>
      </c>
      <c r="X61" s="32"/>
      <c r="Y61" s="32"/>
      <c r="Z61" s="32"/>
      <c r="AA61" s="36"/>
      <c r="AB61" s="36"/>
      <c r="AC61" s="32"/>
      <c r="AD61" s="32"/>
      <c r="AE61" s="32">
        <v>4</v>
      </c>
      <c r="AF61" s="32"/>
      <c r="AG61" s="32"/>
      <c r="AH61" s="36"/>
      <c r="AI61" s="36"/>
      <c r="AJ61" s="26" t="e">
        <f>_xlfn.CONCAT(#REF!,#REF!)</f>
        <v>#REF!</v>
      </c>
      <c r="AK61" s="27">
        <f t="shared" si="11"/>
        <v>48</v>
      </c>
      <c r="AL61" s="27" t="e">
        <f>MARZEC!AK61</f>
        <v>#REF!</v>
      </c>
      <c r="AM61" s="28">
        <f t="shared" si="7"/>
        <v>24</v>
      </c>
      <c r="AN61">
        <f t="shared" si="8"/>
        <v>156</v>
      </c>
      <c r="AO61" s="29">
        <f t="shared" si="9"/>
        <v>20</v>
      </c>
      <c r="AP61" s="1">
        <f t="shared" si="10"/>
        <v>0</v>
      </c>
    </row>
    <row r="62" spans="3:42" ht="15.9">
      <c r="C62" s="169" t="s">
        <v>23</v>
      </c>
      <c r="D62" s="170" t="e">
        <f>#REF!</f>
        <v>#REF!</v>
      </c>
      <c r="E62" s="168"/>
      <c r="F62" s="36"/>
      <c r="G62" s="36"/>
      <c r="H62" s="32"/>
      <c r="I62" s="32"/>
      <c r="J62" s="36"/>
      <c r="K62" s="32"/>
      <c r="L62" s="32"/>
      <c r="M62" s="36"/>
      <c r="N62" s="36"/>
      <c r="O62" s="32"/>
      <c r="P62" s="32"/>
      <c r="Q62" s="32"/>
      <c r="R62" s="32"/>
      <c r="S62" s="32"/>
      <c r="T62" s="36"/>
      <c r="U62" s="36"/>
      <c r="V62" s="32"/>
      <c r="W62" s="32"/>
      <c r="X62" s="32"/>
      <c r="Y62" s="32"/>
      <c r="Z62" s="32"/>
      <c r="AA62" s="36" t="s">
        <v>113</v>
      </c>
      <c r="AB62" s="36"/>
      <c r="AC62" s="32"/>
      <c r="AD62" s="32"/>
      <c r="AE62" s="32">
        <v>4.5</v>
      </c>
      <c r="AF62" s="32"/>
      <c r="AG62" s="32"/>
      <c r="AH62" s="36"/>
      <c r="AI62" s="36"/>
      <c r="AJ62" s="26" t="e">
        <f>_xlfn.CONCAT(#REF!,#REF!)</f>
        <v>#REF!</v>
      </c>
      <c r="AK62" s="27">
        <f t="shared" si="11"/>
        <v>-123.5</v>
      </c>
      <c r="AL62" s="27" t="e">
        <f>MARZEC!AK62</f>
        <v>#REF!</v>
      </c>
      <c r="AM62" s="28">
        <f t="shared" si="7"/>
        <v>24</v>
      </c>
      <c r="AN62">
        <f t="shared" si="8"/>
        <v>0</v>
      </c>
      <c r="AO62" s="29">
        <f t="shared" si="9"/>
        <v>4.5</v>
      </c>
      <c r="AP62" s="1">
        <f t="shared" si="10"/>
        <v>0</v>
      </c>
    </row>
    <row r="63" spans="3:42" ht="15.9">
      <c r="C63" s="169" t="s">
        <v>24</v>
      </c>
      <c r="D63" s="170" t="e">
        <f>#REF!</f>
        <v>#REF!</v>
      </c>
      <c r="E63" s="168"/>
      <c r="F63" s="36"/>
      <c r="G63" s="36"/>
      <c r="H63" s="32"/>
      <c r="I63" s="32"/>
      <c r="J63" s="36"/>
      <c r="K63" s="32"/>
      <c r="L63" s="32"/>
      <c r="M63" s="36"/>
      <c r="N63" s="36"/>
      <c r="O63" s="32"/>
      <c r="P63" s="32"/>
      <c r="Q63" s="32"/>
      <c r="R63" s="32"/>
      <c r="S63" s="32"/>
      <c r="T63" s="36"/>
      <c r="U63" s="36"/>
      <c r="V63" s="32"/>
      <c r="W63" s="32"/>
      <c r="X63" s="32"/>
      <c r="Y63" s="32"/>
      <c r="Z63" s="32"/>
      <c r="AA63" s="36"/>
      <c r="AB63" s="36"/>
      <c r="AC63" s="32"/>
      <c r="AD63" s="32"/>
      <c r="AE63" s="32"/>
      <c r="AF63" s="32"/>
      <c r="AG63" s="32"/>
      <c r="AH63" s="36"/>
      <c r="AI63" s="36"/>
      <c r="AJ63" s="26" t="e">
        <f>_xlfn.CONCAT(#REF!,#REF!)</f>
        <v>#REF!</v>
      </c>
      <c r="AK63" s="27">
        <f t="shared" si="11"/>
        <v>-152</v>
      </c>
      <c r="AL63" s="27" t="e">
        <f>MARZEC!AK63</f>
        <v>#REF!</v>
      </c>
      <c r="AM63" s="28">
        <f t="shared" si="7"/>
        <v>0</v>
      </c>
      <c r="AN63">
        <f t="shared" si="8"/>
        <v>0</v>
      </c>
      <c r="AO63" s="29">
        <f t="shared" si="9"/>
        <v>0</v>
      </c>
      <c r="AP63" s="1">
        <f t="shared" si="10"/>
        <v>0</v>
      </c>
    </row>
    <row r="64" spans="3:42" ht="15.9">
      <c r="C64" s="166" t="s">
        <v>25</v>
      </c>
      <c r="D64" s="170" t="e">
        <f>#REF!</f>
        <v>#REF!</v>
      </c>
      <c r="E64" s="168"/>
      <c r="F64" s="36"/>
      <c r="G64" s="36"/>
      <c r="H64" s="32"/>
      <c r="I64" s="32"/>
      <c r="J64" s="36"/>
      <c r="K64" s="32"/>
      <c r="L64" s="32" t="s">
        <v>113</v>
      </c>
      <c r="M64" s="36"/>
      <c r="N64" s="36"/>
      <c r="O64" s="32">
        <v>8</v>
      </c>
      <c r="P64" s="32">
        <v>8</v>
      </c>
      <c r="Q64" s="32">
        <v>8</v>
      </c>
      <c r="R64" s="32">
        <v>8</v>
      </c>
      <c r="S64" s="32"/>
      <c r="T64" s="36"/>
      <c r="U64" s="36">
        <v>10</v>
      </c>
      <c r="V64" s="32" t="s">
        <v>98</v>
      </c>
      <c r="W64" s="32" t="s">
        <v>98</v>
      </c>
      <c r="X64" s="32">
        <v>18</v>
      </c>
      <c r="Y64" s="32"/>
      <c r="Z64" s="32"/>
      <c r="AA64" s="36"/>
      <c r="AB64" s="36"/>
      <c r="AC64" s="32">
        <v>8</v>
      </c>
      <c r="AD64" s="32"/>
      <c r="AE64" s="32"/>
      <c r="AF64" s="32"/>
      <c r="AG64" s="32"/>
      <c r="AH64" s="36"/>
      <c r="AI64" s="36"/>
      <c r="AJ64" s="26" t="e">
        <f>_xlfn.CONCAT(#REF!,#REF!)</f>
        <v>#REF!</v>
      </c>
      <c r="AK64" s="27">
        <f t="shared" si="11"/>
        <v>-12</v>
      </c>
      <c r="AL64" s="27" t="e">
        <f>MARZEC!AK64</f>
        <v>#REF!</v>
      </c>
      <c r="AM64" s="28">
        <f t="shared" si="7"/>
        <v>24</v>
      </c>
      <c r="AN64">
        <f t="shared" si="8"/>
        <v>48</v>
      </c>
      <c r="AO64" s="29">
        <f t="shared" si="9"/>
        <v>68</v>
      </c>
      <c r="AP64" s="1">
        <f t="shared" si="10"/>
        <v>0</v>
      </c>
    </row>
    <row r="65" spans="3:42" ht="15.9">
      <c r="C65" s="169" t="s">
        <v>26</v>
      </c>
      <c r="D65" s="170" t="e">
        <f>#REF!</f>
        <v>#REF!</v>
      </c>
      <c r="E65" s="168"/>
      <c r="F65" s="36"/>
      <c r="G65" s="36"/>
      <c r="H65" s="32"/>
      <c r="I65" s="32"/>
      <c r="J65" s="36"/>
      <c r="K65" s="32"/>
      <c r="L65" s="32"/>
      <c r="M65" s="36"/>
      <c r="N65" s="36"/>
      <c r="O65" s="32"/>
      <c r="P65" s="32"/>
      <c r="Q65" s="32"/>
      <c r="R65" s="32"/>
      <c r="S65" s="32"/>
      <c r="T65" s="36"/>
      <c r="U65" s="36"/>
      <c r="V65" s="32"/>
      <c r="W65" s="32">
        <v>16</v>
      </c>
      <c r="X65" s="32" t="s">
        <v>95</v>
      </c>
      <c r="Y65" s="32" t="s">
        <v>95</v>
      </c>
      <c r="Z65" s="32" t="s">
        <v>95</v>
      </c>
      <c r="AA65" s="36" t="s">
        <v>95</v>
      </c>
      <c r="AB65" s="36" t="s">
        <v>95</v>
      </c>
      <c r="AC65" s="32" t="s">
        <v>95</v>
      </c>
      <c r="AD65" s="32">
        <v>14</v>
      </c>
      <c r="AE65" s="32"/>
      <c r="AF65" s="32"/>
      <c r="AG65" s="32"/>
      <c r="AH65" s="36"/>
      <c r="AI65" s="36"/>
      <c r="AJ65" s="26" t="e">
        <f>_xlfn.CONCAT(#REF!,#REF!)</f>
        <v>#REF!</v>
      </c>
      <c r="AK65" s="27">
        <f t="shared" si="11"/>
        <v>22</v>
      </c>
      <c r="AL65" s="27" t="e">
        <f>MARZEC!AK65</f>
        <v>#REF!</v>
      </c>
      <c r="AM65" s="28">
        <f t="shared" si="7"/>
        <v>0</v>
      </c>
      <c r="AN65">
        <f t="shared" si="8"/>
        <v>144</v>
      </c>
      <c r="AO65" s="29">
        <f t="shared" si="9"/>
        <v>30</v>
      </c>
      <c r="AP65" s="1">
        <f t="shared" si="10"/>
        <v>0</v>
      </c>
    </row>
    <row r="66" spans="3:42" ht="15.9">
      <c r="C66" s="166" t="s">
        <v>27</v>
      </c>
      <c r="D66" s="170" t="e">
        <f>#REF!</f>
        <v>#REF!</v>
      </c>
      <c r="E66" s="168" t="s">
        <v>113</v>
      </c>
      <c r="F66" s="36"/>
      <c r="G66" s="36"/>
      <c r="H66" s="32"/>
      <c r="I66" s="32"/>
      <c r="J66" s="36"/>
      <c r="K66" s="32"/>
      <c r="L66" s="32"/>
      <c r="M66" s="36"/>
      <c r="N66" s="36" t="s">
        <v>113</v>
      </c>
      <c r="O66" s="32"/>
      <c r="P66" s="32">
        <v>8</v>
      </c>
      <c r="Q66" s="32">
        <v>8</v>
      </c>
      <c r="R66" s="32">
        <v>8</v>
      </c>
      <c r="S66" s="32"/>
      <c r="T66" s="36"/>
      <c r="U66" s="36">
        <v>8</v>
      </c>
      <c r="V66" s="32" t="s">
        <v>98</v>
      </c>
      <c r="W66" s="32" t="s">
        <v>98</v>
      </c>
      <c r="X66" s="32">
        <v>18</v>
      </c>
      <c r="Y66" s="32"/>
      <c r="Z66" s="32"/>
      <c r="AA66" s="36"/>
      <c r="AB66" s="36"/>
      <c r="AC66" s="32">
        <v>8</v>
      </c>
      <c r="AD66" s="32"/>
      <c r="AE66" s="32"/>
      <c r="AF66" s="32"/>
      <c r="AG66" s="32"/>
      <c r="AH66" s="36"/>
      <c r="AI66" s="36"/>
      <c r="AJ66" s="26" t="e">
        <f>_xlfn.CONCAT(#REF!,#REF!)</f>
        <v>#REF!</v>
      </c>
      <c r="AK66" s="27">
        <f t="shared" si="11"/>
        <v>2</v>
      </c>
      <c r="AL66" s="27">
        <f>MARZEC!AK66</f>
        <v>0</v>
      </c>
      <c r="AM66" s="28">
        <f t="shared" si="7"/>
        <v>48</v>
      </c>
      <c r="AN66">
        <f t="shared" si="8"/>
        <v>48</v>
      </c>
      <c r="AO66" s="29">
        <f t="shared" si="9"/>
        <v>58</v>
      </c>
      <c r="AP66" s="1">
        <f t="shared" si="10"/>
        <v>0</v>
      </c>
    </row>
    <row r="67" spans="3:42" ht="15.9">
      <c r="C67" s="169" t="s">
        <v>28</v>
      </c>
      <c r="D67" s="170" t="e">
        <f>#REF!</f>
        <v>#REF!</v>
      </c>
      <c r="E67" s="168"/>
      <c r="F67" s="36"/>
      <c r="G67" s="36"/>
      <c r="H67" s="32"/>
      <c r="I67" s="32"/>
      <c r="J67" s="36"/>
      <c r="K67" s="32"/>
      <c r="L67" s="32"/>
      <c r="M67" s="36"/>
      <c r="N67" s="36"/>
      <c r="O67" s="32"/>
      <c r="P67" s="32"/>
      <c r="Q67" s="32">
        <v>8</v>
      </c>
      <c r="R67" s="32"/>
      <c r="S67" s="32"/>
      <c r="T67" s="36"/>
      <c r="U67" s="36"/>
      <c r="V67" s="32"/>
      <c r="W67" s="32"/>
      <c r="X67" s="32"/>
      <c r="Y67" s="32">
        <v>6</v>
      </c>
      <c r="Z67" s="32"/>
      <c r="AA67" s="36"/>
      <c r="AB67" s="36"/>
      <c r="AC67" s="32" t="s">
        <v>176</v>
      </c>
      <c r="AD67" s="32" t="s">
        <v>176</v>
      </c>
      <c r="AE67" s="32" t="s">
        <v>176</v>
      </c>
      <c r="AF67" s="32" t="s">
        <v>176</v>
      </c>
      <c r="AG67" s="32" t="s">
        <v>176</v>
      </c>
      <c r="AH67" s="36" t="s">
        <v>66</v>
      </c>
      <c r="AI67" s="36" t="s">
        <v>66</v>
      </c>
      <c r="AJ67" s="26" t="e">
        <f>_xlfn.CONCAT(#REF!,#REF!)</f>
        <v>#REF!</v>
      </c>
      <c r="AK67" s="27">
        <f t="shared" si="11"/>
        <v>-98</v>
      </c>
      <c r="AL67" s="27" t="e">
        <f>MARZEC!AK67</f>
        <v>#REF!</v>
      </c>
      <c r="AM67" s="28">
        <f t="shared" si="7"/>
        <v>0</v>
      </c>
      <c r="AN67">
        <f t="shared" si="8"/>
        <v>0</v>
      </c>
      <c r="AO67" s="29">
        <f t="shared" si="9"/>
        <v>54</v>
      </c>
      <c r="AP67" s="1">
        <f t="shared" si="10"/>
        <v>0</v>
      </c>
    </row>
    <row r="68" spans="3:42" ht="15.9">
      <c r="C68" s="171" t="s">
        <v>160</v>
      </c>
      <c r="D68" s="170" t="e">
        <f>#REF!</f>
        <v>#REF!</v>
      </c>
      <c r="E68" s="168"/>
      <c r="F68" s="36"/>
      <c r="G68" s="36"/>
      <c r="H68" s="32" t="s">
        <v>176</v>
      </c>
      <c r="I68" s="32" t="s">
        <v>176</v>
      </c>
      <c r="J68" s="36" t="s">
        <v>66</v>
      </c>
      <c r="K68" s="32" t="s">
        <v>176</v>
      </c>
      <c r="L68" s="32" t="s">
        <v>176</v>
      </c>
      <c r="M68" s="36" t="s">
        <v>66</v>
      </c>
      <c r="N68" s="36" t="s">
        <v>66</v>
      </c>
      <c r="O68" s="32" t="s">
        <v>176</v>
      </c>
      <c r="P68" s="32" t="s">
        <v>176</v>
      </c>
      <c r="Q68" s="32" t="s">
        <v>176</v>
      </c>
      <c r="R68" s="32" t="s">
        <v>176</v>
      </c>
      <c r="S68" s="32" t="s">
        <v>176</v>
      </c>
      <c r="T68" s="36"/>
      <c r="U68" s="36"/>
      <c r="V68" s="32" t="s">
        <v>176</v>
      </c>
      <c r="W68" s="32" t="s">
        <v>176</v>
      </c>
      <c r="X68" s="32" t="s">
        <v>176</v>
      </c>
      <c r="Y68" s="32" t="s">
        <v>176</v>
      </c>
      <c r="Z68" s="32" t="s">
        <v>176</v>
      </c>
      <c r="AA68" s="36"/>
      <c r="AB68" s="36"/>
      <c r="AC68" s="32"/>
      <c r="AD68" s="32"/>
      <c r="AE68" s="32">
        <v>8</v>
      </c>
      <c r="AF68" s="32"/>
      <c r="AG68" s="32"/>
      <c r="AH68" s="36"/>
      <c r="AI68" s="36">
        <v>16</v>
      </c>
      <c r="AJ68" s="26" t="e">
        <f>_xlfn.CONCAT(#REF!,#REF!)</f>
        <v>#REF!</v>
      </c>
      <c r="AK68" s="27">
        <f t="shared" si="11"/>
        <v>-16</v>
      </c>
      <c r="AL68" s="27" t="e">
        <f>MARZEC!AK68</f>
        <v>#REF!</v>
      </c>
      <c r="AM68" s="28">
        <f t="shared" si="7"/>
        <v>0</v>
      </c>
      <c r="AN68">
        <f t="shared" si="8"/>
        <v>0</v>
      </c>
      <c r="AO68" s="29">
        <f t="shared" si="9"/>
        <v>136</v>
      </c>
      <c r="AP68" s="1">
        <f t="shared" si="10"/>
        <v>0</v>
      </c>
    </row>
    <row r="69" spans="3:42" ht="15.9">
      <c r="C69" s="169" t="s">
        <v>29</v>
      </c>
      <c r="D69" s="170" t="e">
        <f>#REF!</f>
        <v>#REF!</v>
      </c>
      <c r="E69" s="168"/>
      <c r="F69" s="36"/>
      <c r="G69" s="36"/>
      <c r="H69" s="32"/>
      <c r="I69" s="32"/>
      <c r="J69" s="36"/>
      <c r="K69" s="32"/>
      <c r="L69" s="32"/>
      <c r="M69" s="36"/>
      <c r="N69" s="36"/>
      <c r="O69" s="32"/>
      <c r="P69" s="32"/>
      <c r="Q69" s="32"/>
      <c r="R69" s="32"/>
      <c r="S69" s="32"/>
      <c r="T69" s="36"/>
      <c r="U69" s="36"/>
      <c r="V69" s="32"/>
      <c r="W69" s="32">
        <v>16</v>
      </c>
      <c r="X69" s="32" t="s">
        <v>95</v>
      </c>
      <c r="Y69" s="32" t="s">
        <v>95</v>
      </c>
      <c r="Z69" s="32" t="s">
        <v>95</v>
      </c>
      <c r="AA69" s="36" t="s">
        <v>95</v>
      </c>
      <c r="AB69" s="36" t="s">
        <v>95</v>
      </c>
      <c r="AC69" s="32" t="s">
        <v>95</v>
      </c>
      <c r="AD69" s="32">
        <v>15</v>
      </c>
      <c r="AE69" s="32"/>
      <c r="AF69" s="32">
        <v>8</v>
      </c>
      <c r="AG69" s="32"/>
      <c r="AH69" s="36"/>
      <c r="AI69" s="36"/>
      <c r="AJ69" s="26" t="e">
        <f>_xlfn.CONCAT(#REF!,#REF!)</f>
        <v>#REF!</v>
      </c>
      <c r="AK69" s="27">
        <f t="shared" si="11"/>
        <v>31</v>
      </c>
      <c r="AL69" s="27" t="e">
        <f>MARZEC!AK69</f>
        <v>#REF!</v>
      </c>
      <c r="AM69" s="28">
        <f t="shared" si="7"/>
        <v>0</v>
      </c>
      <c r="AN69">
        <f t="shared" si="8"/>
        <v>144</v>
      </c>
      <c r="AO69" s="29">
        <f t="shared" si="9"/>
        <v>39</v>
      </c>
      <c r="AP69" s="1">
        <f t="shared" si="10"/>
        <v>0</v>
      </c>
    </row>
    <row r="70" spans="3:42" ht="15.9">
      <c r="C70" s="169" t="s">
        <v>30</v>
      </c>
      <c r="D70" s="170" t="e">
        <f>#REF!</f>
        <v>#REF!</v>
      </c>
      <c r="E70" s="168"/>
      <c r="F70" s="36"/>
      <c r="G70" s="36"/>
      <c r="H70" s="32"/>
      <c r="I70" s="32"/>
      <c r="J70" s="36"/>
      <c r="K70" s="32"/>
      <c r="L70" s="32"/>
      <c r="M70" s="36"/>
      <c r="N70" s="36"/>
      <c r="O70" s="32"/>
      <c r="P70" s="32"/>
      <c r="Q70" s="32"/>
      <c r="R70" s="32"/>
      <c r="S70" s="32"/>
      <c r="T70" s="36"/>
      <c r="U70" s="36"/>
      <c r="V70" s="32"/>
      <c r="W70" s="32"/>
      <c r="X70" s="32"/>
      <c r="Y70" s="32"/>
      <c r="Z70" s="32"/>
      <c r="AA70" s="36"/>
      <c r="AB70" s="36"/>
      <c r="AC70" s="32">
        <v>8</v>
      </c>
      <c r="AD70" s="32">
        <v>17</v>
      </c>
      <c r="AE70" s="32" t="s">
        <v>95</v>
      </c>
      <c r="AF70" s="32" t="s">
        <v>95</v>
      </c>
      <c r="AG70" s="32" t="s">
        <v>95</v>
      </c>
      <c r="AH70" s="36" t="s">
        <v>95</v>
      </c>
      <c r="AI70" s="36" t="s">
        <v>95</v>
      </c>
      <c r="AJ70" s="26" t="e">
        <f>_xlfn.CONCAT(#REF!,#REF!)</f>
        <v>#REF!</v>
      </c>
      <c r="AK70" s="27">
        <f t="shared" si="11"/>
        <v>-7</v>
      </c>
      <c r="AL70" s="27" t="e">
        <f>MARZEC!AK70</f>
        <v>#REF!</v>
      </c>
      <c r="AM70" s="28">
        <f t="shared" si="7"/>
        <v>0</v>
      </c>
      <c r="AN70">
        <f t="shared" si="8"/>
        <v>120</v>
      </c>
      <c r="AO70" s="29">
        <f t="shared" si="9"/>
        <v>25</v>
      </c>
      <c r="AP70" s="1">
        <f t="shared" si="10"/>
        <v>0</v>
      </c>
    </row>
    <row r="71" spans="3:42" ht="15.9">
      <c r="C71" s="169" t="s">
        <v>31</v>
      </c>
      <c r="D71" s="170" t="e">
        <f>#REF!</f>
        <v>#REF!</v>
      </c>
      <c r="E71" s="168"/>
      <c r="F71" s="36"/>
      <c r="G71" s="36"/>
      <c r="H71" s="32" t="s">
        <v>176</v>
      </c>
      <c r="I71" s="32" t="s">
        <v>176</v>
      </c>
      <c r="J71" s="36" t="s">
        <v>66</v>
      </c>
      <c r="K71" s="32" t="s">
        <v>176</v>
      </c>
      <c r="L71" s="32" t="s">
        <v>176</v>
      </c>
      <c r="M71" s="36" t="s">
        <v>66</v>
      </c>
      <c r="N71" s="36" t="s">
        <v>66</v>
      </c>
      <c r="O71" s="32" t="s">
        <v>176</v>
      </c>
      <c r="P71" s="32" t="s">
        <v>176</v>
      </c>
      <c r="Q71" s="32" t="s">
        <v>176</v>
      </c>
      <c r="R71" s="32" t="s">
        <v>176</v>
      </c>
      <c r="S71" s="32" t="s">
        <v>176</v>
      </c>
      <c r="T71" s="36"/>
      <c r="U71" s="36"/>
      <c r="V71" s="32"/>
      <c r="W71" s="32">
        <v>8</v>
      </c>
      <c r="X71" s="32"/>
      <c r="Y71" s="32"/>
      <c r="Z71" s="32"/>
      <c r="AA71" s="36"/>
      <c r="AB71" s="36"/>
      <c r="AC71" s="32"/>
      <c r="AD71" s="32">
        <v>16</v>
      </c>
      <c r="AE71" s="32">
        <v>7.5</v>
      </c>
      <c r="AF71" s="32" t="s">
        <v>101</v>
      </c>
      <c r="AG71" s="32" t="s">
        <v>101</v>
      </c>
      <c r="AH71" s="36" t="s">
        <v>101</v>
      </c>
      <c r="AI71" s="36" t="s">
        <v>101</v>
      </c>
      <c r="AJ71" s="26" t="e">
        <f>_xlfn.CONCAT(#REF!,#REF!)</f>
        <v>#REF!</v>
      </c>
      <c r="AK71" s="27">
        <f t="shared" si="11"/>
        <v>64</v>
      </c>
      <c r="AL71" s="27" t="e">
        <f>MARZEC!AK71</f>
        <v>#REF!</v>
      </c>
      <c r="AM71" s="28">
        <f t="shared" si="7"/>
        <v>0</v>
      </c>
      <c r="AN71">
        <f t="shared" si="8"/>
        <v>0</v>
      </c>
      <c r="AO71" s="29">
        <f t="shared" si="9"/>
        <v>103.5</v>
      </c>
      <c r="AP71" s="1">
        <v>112.5</v>
      </c>
    </row>
    <row r="72" spans="3:42" ht="15.9">
      <c r="C72" s="172" t="s">
        <v>32</v>
      </c>
      <c r="D72" s="170" t="e">
        <f>#REF!</f>
        <v>#REF!</v>
      </c>
      <c r="E72" s="168"/>
      <c r="F72" s="36"/>
      <c r="G72" s="36"/>
      <c r="H72" s="32"/>
      <c r="I72" s="32">
        <v>2</v>
      </c>
      <c r="J72" s="36"/>
      <c r="K72" s="32">
        <v>7</v>
      </c>
      <c r="L72" s="32"/>
      <c r="M72" s="36"/>
      <c r="N72" s="36"/>
      <c r="O72" s="32" t="s">
        <v>176</v>
      </c>
      <c r="P72" s="32" t="s">
        <v>176</v>
      </c>
      <c r="Q72" s="32" t="s">
        <v>176</v>
      </c>
      <c r="R72" s="32" t="s">
        <v>176</v>
      </c>
      <c r="S72" s="32" t="s">
        <v>176</v>
      </c>
      <c r="T72" s="36" t="s">
        <v>66</v>
      </c>
      <c r="U72" s="36" t="s">
        <v>66</v>
      </c>
      <c r="V72" s="32" t="s">
        <v>176</v>
      </c>
      <c r="W72" s="32" t="s">
        <v>176</v>
      </c>
      <c r="X72" s="32" t="s">
        <v>176</v>
      </c>
      <c r="Y72" s="32" t="s">
        <v>176</v>
      </c>
      <c r="Z72" s="32" t="s">
        <v>176</v>
      </c>
      <c r="AA72" s="36" t="s">
        <v>66</v>
      </c>
      <c r="AB72" s="36" t="s">
        <v>66</v>
      </c>
      <c r="AC72" s="32" t="s">
        <v>176</v>
      </c>
      <c r="AD72" s="32" t="s">
        <v>176</v>
      </c>
      <c r="AE72" s="32" t="s">
        <v>176</v>
      </c>
      <c r="AF72" s="32" t="s">
        <v>176</v>
      </c>
      <c r="AG72" s="32" t="s">
        <v>176</v>
      </c>
      <c r="AH72" s="36" t="s">
        <v>66</v>
      </c>
      <c r="AI72" s="36" t="s">
        <v>66</v>
      </c>
      <c r="AJ72" s="26" t="e">
        <f>_xlfn.CONCAT(#REF!,#REF!)</f>
        <v>#REF!</v>
      </c>
      <c r="AK72" s="27">
        <f t="shared" si="11"/>
        <v>-23</v>
      </c>
      <c r="AL72" s="27" t="e">
        <f>MARZEC!AK72</f>
        <v>#REF!</v>
      </c>
      <c r="AM72" s="28">
        <f t="shared" si="7"/>
        <v>0</v>
      </c>
      <c r="AN72">
        <f t="shared" si="8"/>
        <v>0</v>
      </c>
      <c r="AO72" s="29">
        <f t="shared" si="9"/>
        <v>129</v>
      </c>
      <c r="AP72" s="1">
        <f t="shared" ref="AP72:AP92" si="12">COUNTIF(E72:AI72,"DT")*8</f>
        <v>0</v>
      </c>
    </row>
    <row r="73" spans="3:42" ht="15.9">
      <c r="C73" s="173" t="s">
        <v>33</v>
      </c>
      <c r="D73" s="170" t="e">
        <f>#REF!</f>
        <v>#REF!</v>
      </c>
      <c r="E73" s="168"/>
      <c r="F73" s="36"/>
      <c r="G73" s="36"/>
      <c r="H73" s="32"/>
      <c r="I73" s="32"/>
      <c r="J73" s="36"/>
      <c r="K73" s="32"/>
      <c r="L73" s="32"/>
      <c r="M73" s="36"/>
      <c r="N73" s="36"/>
      <c r="O73" s="32"/>
      <c r="P73" s="32">
        <v>3.5</v>
      </c>
      <c r="Q73" s="32">
        <v>3</v>
      </c>
      <c r="R73" s="32">
        <v>3.5</v>
      </c>
      <c r="S73" s="32"/>
      <c r="T73" s="36"/>
      <c r="U73" s="36"/>
      <c r="V73" s="32"/>
      <c r="W73" s="32"/>
      <c r="X73" s="32"/>
      <c r="Y73" s="32"/>
      <c r="Z73" s="32" t="s">
        <v>113</v>
      </c>
      <c r="AA73" s="36"/>
      <c r="AB73" s="36"/>
      <c r="AC73" s="32" t="s">
        <v>113</v>
      </c>
      <c r="AD73" s="32"/>
      <c r="AE73" s="32">
        <v>16.5</v>
      </c>
      <c r="AF73" s="32" t="s">
        <v>95</v>
      </c>
      <c r="AG73" s="32" t="s">
        <v>95</v>
      </c>
      <c r="AH73" s="36" t="s">
        <v>95</v>
      </c>
      <c r="AI73" s="36" t="s">
        <v>95</v>
      </c>
      <c r="AJ73" s="26" t="e">
        <f>_xlfn.CONCAT(#REF!,#REF!)</f>
        <v>#REF!</v>
      </c>
      <c r="AK73" s="27">
        <f t="shared" si="11"/>
        <v>18.5</v>
      </c>
      <c r="AL73" s="27" t="e">
        <f>MARZEC!AK73</f>
        <v>#REF!</v>
      </c>
      <c r="AM73" s="28">
        <f t="shared" si="7"/>
        <v>48</v>
      </c>
      <c r="AN73">
        <f t="shared" si="8"/>
        <v>96</v>
      </c>
      <c r="AO73" s="29">
        <f t="shared" si="9"/>
        <v>26.5</v>
      </c>
      <c r="AP73" s="1">
        <f t="shared" si="12"/>
        <v>0</v>
      </c>
    </row>
    <row r="74" spans="3:42" ht="15.9">
      <c r="C74" s="172" t="s">
        <v>34</v>
      </c>
      <c r="D74" s="170" t="e">
        <f>#REF!</f>
        <v>#REF!</v>
      </c>
      <c r="E74" s="168">
        <v>8</v>
      </c>
      <c r="F74" s="36"/>
      <c r="G74" s="36"/>
      <c r="H74" s="32"/>
      <c r="I74" s="32"/>
      <c r="J74" s="36"/>
      <c r="K74" s="32"/>
      <c r="L74" s="32"/>
      <c r="M74" s="36"/>
      <c r="N74" s="36"/>
      <c r="O74" s="32" t="s">
        <v>113</v>
      </c>
      <c r="P74" s="32"/>
      <c r="Q74" s="32">
        <v>8</v>
      </c>
      <c r="R74" s="32">
        <v>8</v>
      </c>
      <c r="S74" s="32" t="s">
        <v>113</v>
      </c>
      <c r="T74" s="36"/>
      <c r="U74" s="36">
        <v>8</v>
      </c>
      <c r="V74" s="32" t="s">
        <v>98</v>
      </c>
      <c r="W74" s="32" t="s">
        <v>98</v>
      </c>
      <c r="X74" s="32">
        <v>18</v>
      </c>
      <c r="Y74" s="32"/>
      <c r="Z74" s="32"/>
      <c r="AA74" s="36"/>
      <c r="AB74" s="36"/>
      <c r="AC74" s="32"/>
      <c r="AD74" s="32" t="s">
        <v>113</v>
      </c>
      <c r="AE74" s="32"/>
      <c r="AF74" s="32"/>
      <c r="AG74" s="32" t="s">
        <v>113</v>
      </c>
      <c r="AH74" s="36"/>
      <c r="AI74" s="36"/>
      <c r="AJ74" s="26" t="e">
        <f>_xlfn.CONCAT(#REF!,#REF!)</f>
        <v>#REF!</v>
      </c>
      <c r="AK74" s="27">
        <f t="shared" si="11"/>
        <v>42</v>
      </c>
      <c r="AL74" s="27" t="e">
        <f>MARZEC!AK74</f>
        <v>#REF!</v>
      </c>
      <c r="AM74" s="28">
        <f t="shared" ref="AM74:AM92" si="13">COUNTIF(E74:AI74,"D")*24+COUNTIF(E74:AI74,"12g")*12</f>
        <v>96</v>
      </c>
      <c r="AN74">
        <f t="shared" ref="AN74:AN92" si="14">SUM(COUNTIF(E74:AI74,"k")+COUNTIF(E74:AI74,"s")+COUNTIF(E74:AI74,"wse"))*24+SUM(COUNTIF(E74:AI74,"Pk")+COUNTIF(E74:AI74,"Ps"))*12</f>
        <v>48</v>
      </c>
      <c r="AO74" s="29">
        <f t="shared" ref="AO74:AO92" si="15">SUM(E74:AI74)+COUNTIF(E74:AI74,"uw")*8+COUNTIF(E74:AI74,"us")*8+COUNTIF(E74:AI74,"uz")*8+COUNTIF(E74:AI74,"u")*8</f>
        <v>50</v>
      </c>
      <c r="AP74" s="1">
        <f t="shared" si="12"/>
        <v>0</v>
      </c>
    </row>
    <row r="75" spans="3:42" ht="15.9">
      <c r="C75" s="172" t="s">
        <v>35</v>
      </c>
      <c r="D75" s="170" t="e">
        <f>#REF!</f>
        <v>#REF!</v>
      </c>
      <c r="E75" s="168"/>
      <c r="F75" s="36"/>
      <c r="G75" s="36"/>
      <c r="H75" s="32"/>
      <c r="I75" s="32"/>
      <c r="J75" s="36"/>
      <c r="K75" s="32"/>
      <c r="L75" s="32"/>
      <c r="M75" s="36"/>
      <c r="N75" s="36"/>
      <c r="O75" s="32"/>
      <c r="P75" s="32"/>
      <c r="Q75" s="32" t="s">
        <v>113</v>
      </c>
      <c r="R75" s="32"/>
      <c r="S75" s="32"/>
      <c r="T75" s="36"/>
      <c r="U75" s="36">
        <v>8</v>
      </c>
      <c r="V75" s="32" t="s">
        <v>98</v>
      </c>
      <c r="W75" s="32" t="s">
        <v>98</v>
      </c>
      <c r="X75" s="32">
        <v>18</v>
      </c>
      <c r="Y75" s="32"/>
      <c r="Z75" s="32"/>
      <c r="AA75" s="36"/>
      <c r="AB75" s="36"/>
      <c r="AC75" s="32"/>
      <c r="AD75" s="32">
        <v>16</v>
      </c>
      <c r="AE75" s="32" t="s">
        <v>95</v>
      </c>
      <c r="AF75" s="32" t="s">
        <v>95</v>
      </c>
      <c r="AG75" s="32" t="s">
        <v>95</v>
      </c>
      <c r="AH75" s="36" t="s">
        <v>95</v>
      </c>
      <c r="AI75" s="36" t="s">
        <v>95</v>
      </c>
      <c r="AJ75" s="26" t="e">
        <f>_xlfn.CONCAT(#REF!,#REF!)</f>
        <v>#REF!</v>
      </c>
      <c r="AK75" s="27">
        <f t="shared" si="11"/>
        <v>82</v>
      </c>
      <c r="AL75" s="27" t="e">
        <f>MARZEC!AK75</f>
        <v>#REF!</v>
      </c>
      <c r="AM75" s="28">
        <f t="shared" si="13"/>
        <v>24</v>
      </c>
      <c r="AN75">
        <f t="shared" si="14"/>
        <v>168</v>
      </c>
      <c r="AO75" s="29">
        <f t="shared" si="15"/>
        <v>42</v>
      </c>
      <c r="AP75" s="1">
        <f t="shared" si="12"/>
        <v>0</v>
      </c>
    </row>
    <row r="76" spans="3:42" ht="15.9">
      <c r="C76" s="172" t="s">
        <v>36</v>
      </c>
      <c r="D76" s="170" t="e">
        <f>#REF!</f>
        <v>#REF!</v>
      </c>
      <c r="E76" s="168"/>
      <c r="F76" s="36"/>
      <c r="G76" s="36"/>
      <c r="H76" s="32"/>
      <c r="I76" s="32"/>
      <c r="J76" s="36"/>
      <c r="K76" s="32"/>
      <c r="L76" s="32"/>
      <c r="M76" s="36"/>
      <c r="N76" s="36"/>
      <c r="O76" s="32"/>
      <c r="P76" s="32"/>
      <c r="Q76" s="32"/>
      <c r="R76" s="32"/>
      <c r="S76" s="32"/>
      <c r="T76" s="36"/>
      <c r="U76" s="36"/>
      <c r="V76" s="32"/>
      <c r="W76" s="32"/>
      <c r="X76" s="32"/>
      <c r="Y76" s="32"/>
      <c r="Z76" s="32"/>
      <c r="AA76" s="36"/>
      <c r="AB76" s="36"/>
      <c r="AC76" s="32"/>
      <c r="AD76" s="32">
        <v>17</v>
      </c>
      <c r="AE76" s="32" t="s">
        <v>95</v>
      </c>
      <c r="AF76" s="32" t="s">
        <v>95</v>
      </c>
      <c r="AG76" s="32" t="s">
        <v>95</v>
      </c>
      <c r="AH76" s="36" t="s">
        <v>95</v>
      </c>
      <c r="AI76" s="36" t="s">
        <v>95</v>
      </c>
      <c r="AJ76" s="26" t="e">
        <f>_xlfn.CONCAT(#REF!,#REF!)</f>
        <v>#REF!</v>
      </c>
      <c r="AK76" s="27">
        <f t="shared" si="11"/>
        <v>-15</v>
      </c>
      <c r="AL76" s="27" t="e">
        <f>MARZEC!AK76</f>
        <v>#REF!</v>
      </c>
      <c r="AM76" s="28">
        <f t="shared" si="13"/>
        <v>0</v>
      </c>
      <c r="AN76">
        <f t="shared" si="14"/>
        <v>120</v>
      </c>
      <c r="AO76" s="29">
        <f t="shared" si="15"/>
        <v>17</v>
      </c>
      <c r="AP76" s="1">
        <f t="shared" si="12"/>
        <v>0</v>
      </c>
    </row>
    <row r="77" spans="3:42" ht="15.9">
      <c r="C77" s="166" t="s">
        <v>37</v>
      </c>
      <c r="D77" s="170" t="e">
        <f>#REF!</f>
        <v>#REF!</v>
      </c>
      <c r="E77" s="168"/>
      <c r="F77" s="36"/>
      <c r="G77" s="36"/>
      <c r="H77" s="32">
        <v>7</v>
      </c>
      <c r="I77" s="32"/>
      <c r="J77" s="36"/>
      <c r="K77" s="32">
        <v>6</v>
      </c>
      <c r="L77" s="32">
        <v>5</v>
      </c>
      <c r="M77" s="36"/>
      <c r="N77" s="36"/>
      <c r="O77" s="32">
        <v>7</v>
      </c>
      <c r="P77" s="32">
        <v>7</v>
      </c>
      <c r="Q77" s="32">
        <v>6</v>
      </c>
      <c r="R77" s="32">
        <v>7</v>
      </c>
      <c r="S77" s="32"/>
      <c r="T77" s="36"/>
      <c r="U77" s="36">
        <v>8</v>
      </c>
      <c r="V77" s="32" t="s">
        <v>98</v>
      </c>
      <c r="W77" s="32" t="s">
        <v>98</v>
      </c>
      <c r="X77" s="32">
        <v>18</v>
      </c>
      <c r="Y77" s="32"/>
      <c r="Z77" s="32"/>
      <c r="AA77" s="36"/>
      <c r="AB77" s="36"/>
      <c r="AC77" s="32">
        <v>6</v>
      </c>
      <c r="AD77" s="32">
        <v>6</v>
      </c>
      <c r="AE77" s="32"/>
      <c r="AF77" s="32"/>
      <c r="AG77" s="32"/>
      <c r="AH77" s="36"/>
      <c r="AI77" s="36"/>
      <c r="AJ77" s="26" t="e">
        <f>_xlfn.CONCAT(#REF!,#REF!)</f>
        <v>#REF!</v>
      </c>
      <c r="AK77" s="27">
        <f t="shared" si="11"/>
        <v>-21</v>
      </c>
      <c r="AL77" s="27" t="e">
        <f>MARZEC!AK77</f>
        <v>#REF!</v>
      </c>
      <c r="AM77" s="28">
        <f t="shared" si="13"/>
        <v>0</v>
      </c>
      <c r="AN77">
        <f t="shared" si="14"/>
        <v>48</v>
      </c>
      <c r="AO77" s="29">
        <f t="shared" si="15"/>
        <v>83</v>
      </c>
      <c r="AP77" s="1">
        <f t="shared" si="12"/>
        <v>0</v>
      </c>
    </row>
    <row r="78" spans="3:42" ht="15.9">
      <c r="C78" s="166" t="s">
        <v>38</v>
      </c>
      <c r="D78" s="170" t="e">
        <f>#REF!</f>
        <v>#REF!</v>
      </c>
      <c r="E78" s="168"/>
      <c r="F78" s="36"/>
      <c r="G78" s="36"/>
      <c r="H78" s="32" t="s">
        <v>176</v>
      </c>
      <c r="I78" s="32" t="s">
        <v>176</v>
      </c>
      <c r="J78" s="36" t="s">
        <v>66</v>
      </c>
      <c r="K78" s="32" t="s">
        <v>176</v>
      </c>
      <c r="L78" s="32" t="s">
        <v>176</v>
      </c>
      <c r="M78" s="36" t="s">
        <v>66</v>
      </c>
      <c r="N78" s="36" t="s">
        <v>66</v>
      </c>
      <c r="O78" s="32" t="s">
        <v>176</v>
      </c>
      <c r="P78" s="32" t="s">
        <v>176</v>
      </c>
      <c r="Q78" s="32">
        <v>6.5</v>
      </c>
      <c r="R78" s="32">
        <v>6.5</v>
      </c>
      <c r="S78" s="32"/>
      <c r="T78" s="36"/>
      <c r="U78" s="36">
        <v>7</v>
      </c>
      <c r="V78" s="32" t="s">
        <v>98</v>
      </c>
      <c r="W78" s="32" t="s">
        <v>98</v>
      </c>
      <c r="X78" s="32">
        <v>18</v>
      </c>
      <c r="Y78" s="32"/>
      <c r="Z78" s="32"/>
      <c r="AA78" s="36"/>
      <c r="AB78" s="36"/>
      <c r="AC78" s="32"/>
      <c r="AD78" s="32"/>
      <c r="AE78" s="32" t="s">
        <v>113</v>
      </c>
      <c r="AF78" s="32"/>
      <c r="AG78" s="32"/>
      <c r="AH78" s="36"/>
      <c r="AI78" s="36"/>
      <c r="AJ78" s="26" t="e">
        <f>_xlfn.CONCAT(#REF!,#REF!)</f>
        <v>#REF!</v>
      </c>
      <c r="AK78" s="27">
        <f t="shared" si="11"/>
        <v>6</v>
      </c>
      <c r="AL78" s="27" t="e">
        <f>MARZEC!AK78</f>
        <v>#REF!</v>
      </c>
      <c r="AM78" s="28">
        <f t="shared" si="13"/>
        <v>24</v>
      </c>
      <c r="AN78">
        <f t="shared" si="14"/>
        <v>48</v>
      </c>
      <c r="AO78" s="29">
        <f t="shared" si="15"/>
        <v>86</v>
      </c>
      <c r="AP78" s="1">
        <f t="shared" si="12"/>
        <v>0</v>
      </c>
    </row>
    <row r="79" spans="3:42" ht="15.9">
      <c r="C79" s="169" t="s">
        <v>39</v>
      </c>
      <c r="D79" s="170" t="e">
        <f>#REF!</f>
        <v>#REF!</v>
      </c>
      <c r="E79" s="168"/>
      <c r="F79" s="36"/>
      <c r="G79" s="36"/>
      <c r="H79" s="32"/>
      <c r="I79" s="32">
        <v>16</v>
      </c>
      <c r="J79" s="36" t="s">
        <v>95</v>
      </c>
      <c r="K79" s="32" t="s">
        <v>95</v>
      </c>
      <c r="L79" s="32" t="s">
        <v>95</v>
      </c>
      <c r="M79" s="36" t="s">
        <v>95</v>
      </c>
      <c r="N79" s="36" t="s">
        <v>95</v>
      </c>
      <c r="O79" s="32" t="s">
        <v>95</v>
      </c>
      <c r="P79" s="32">
        <v>11</v>
      </c>
      <c r="Q79" s="32" t="s">
        <v>176</v>
      </c>
      <c r="R79" s="32" t="s">
        <v>176</v>
      </c>
      <c r="S79" s="32" t="s">
        <v>176</v>
      </c>
      <c r="T79" s="36"/>
      <c r="U79" s="36"/>
      <c r="V79" s="32"/>
      <c r="W79" s="32"/>
      <c r="X79" s="32"/>
      <c r="Y79" s="32"/>
      <c r="Z79" s="32"/>
      <c r="AA79" s="36"/>
      <c r="AB79" s="36"/>
      <c r="AC79" s="32"/>
      <c r="AD79" s="32"/>
      <c r="AE79" s="32"/>
      <c r="AF79" s="32"/>
      <c r="AG79" s="32"/>
      <c r="AH79" s="36"/>
      <c r="AI79" s="36"/>
      <c r="AJ79" s="26" t="e">
        <f>_xlfn.CONCAT(#REF!,#REF!)</f>
        <v>#REF!</v>
      </c>
      <c r="AK79" s="27">
        <f t="shared" si="11"/>
        <v>43</v>
      </c>
      <c r="AL79" s="27" t="e">
        <f>MARZEC!AK79</f>
        <v>#REF!</v>
      </c>
      <c r="AM79" s="28">
        <f t="shared" si="13"/>
        <v>0</v>
      </c>
      <c r="AN79">
        <f t="shared" si="14"/>
        <v>144</v>
      </c>
      <c r="AO79" s="29">
        <f t="shared" si="15"/>
        <v>51</v>
      </c>
      <c r="AP79" s="1">
        <f t="shared" si="12"/>
        <v>0</v>
      </c>
    </row>
    <row r="80" spans="3:42" ht="15.9">
      <c r="C80" s="169" t="s">
        <v>40</v>
      </c>
      <c r="D80" s="170" t="e">
        <f>#REF!</f>
        <v>#REF!</v>
      </c>
      <c r="E80" s="168"/>
      <c r="F80" s="36"/>
      <c r="G80" s="36"/>
      <c r="H80" s="32"/>
      <c r="I80" s="32"/>
      <c r="J80" s="36"/>
      <c r="K80" s="32"/>
      <c r="L80" s="32"/>
      <c r="M80" s="36"/>
      <c r="N80" s="36"/>
      <c r="O80" s="32"/>
      <c r="P80" s="32">
        <v>15</v>
      </c>
      <c r="Q80" s="32" t="s">
        <v>95</v>
      </c>
      <c r="R80" s="32" t="s">
        <v>95</v>
      </c>
      <c r="S80" s="32" t="s">
        <v>95</v>
      </c>
      <c r="T80" s="36" t="s">
        <v>95</v>
      </c>
      <c r="U80" s="36" t="s">
        <v>95</v>
      </c>
      <c r="V80" s="32" t="s">
        <v>95</v>
      </c>
      <c r="W80" s="32" t="s">
        <v>92</v>
      </c>
      <c r="X80" s="32"/>
      <c r="Y80" s="32"/>
      <c r="Z80" s="32"/>
      <c r="AA80" s="36"/>
      <c r="AB80" s="36"/>
      <c r="AC80" s="32"/>
      <c r="AD80" s="32"/>
      <c r="AE80" s="32"/>
      <c r="AF80" s="32"/>
      <c r="AG80" s="32"/>
      <c r="AH80" s="36"/>
      <c r="AI80" s="36"/>
      <c r="AJ80" s="26" t="e">
        <f>_xlfn.CONCAT(#REF!,#REF!)</f>
        <v>#REF!</v>
      </c>
      <c r="AK80" s="27">
        <f t="shared" si="11"/>
        <v>19</v>
      </c>
      <c r="AL80" s="27" t="e">
        <f>MARZEC!AK80</f>
        <v>#REF!</v>
      </c>
      <c r="AM80" s="28">
        <f t="shared" si="13"/>
        <v>0</v>
      </c>
      <c r="AN80">
        <f t="shared" si="14"/>
        <v>156</v>
      </c>
      <c r="AO80" s="29">
        <f t="shared" si="15"/>
        <v>15</v>
      </c>
      <c r="AP80" s="1">
        <f t="shared" si="12"/>
        <v>0</v>
      </c>
    </row>
    <row r="81" spans="2:42" ht="15.9">
      <c r="C81" s="169" t="s">
        <v>41</v>
      </c>
      <c r="D81" s="170" t="e">
        <f>#REF!</f>
        <v>#REF!</v>
      </c>
      <c r="E81" s="168"/>
      <c r="F81" s="36"/>
      <c r="G81" s="36"/>
      <c r="H81" s="32"/>
      <c r="I81" s="32"/>
      <c r="J81" s="36"/>
      <c r="K81" s="32"/>
      <c r="L81" s="32"/>
      <c r="M81" s="36"/>
      <c r="N81" s="36"/>
      <c r="O81" s="32"/>
      <c r="P81" s="32"/>
      <c r="Q81" s="32"/>
      <c r="R81" s="32"/>
      <c r="S81" s="32"/>
      <c r="T81" s="36"/>
      <c r="U81" s="36"/>
      <c r="V81" s="32"/>
      <c r="W81" s="32"/>
      <c r="X81" s="32"/>
      <c r="Y81" s="32"/>
      <c r="Z81" s="32"/>
      <c r="AA81" s="36"/>
      <c r="AB81" s="36"/>
      <c r="AC81" s="32"/>
      <c r="AD81" s="32"/>
      <c r="AE81" s="32">
        <v>7</v>
      </c>
      <c r="AF81" s="32"/>
      <c r="AG81" s="32"/>
      <c r="AH81" s="36"/>
      <c r="AI81" s="36"/>
      <c r="AJ81" s="26" t="e">
        <f>_xlfn.CONCAT(#REF!,#REF!)</f>
        <v>#REF!</v>
      </c>
      <c r="AK81" s="27">
        <f t="shared" si="11"/>
        <v>-145</v>
      </c>
      <c r="AL81" s="27" t="e">
        <f>MARZEC!AK81</f>
        <v>#REF!</v>
      </c>
      <c r="AM81" s="28">
        <f t="shared" si="13"/>
        <v>0</v>
      </c>
      <c r="AN81">
        <f t="shared" si="14"/>
        <v>0</v>
      </c>
      <c r="AO81" s="29">
        <f t="shared" si="15"/>
        <v>7</v>
      </c>
      <c r="AP81" s="1">
        <f t="shared" si="12"/>
        <v>0</v>
      </c>
    </row>
    <row r="82" spans="2:42" ht="15.9">
      <c r="C82" s="169" t="s">
        <v>42</v>
      </c>
      <c r="D82" s="170" t="e">
        <f>#REF!</f>
        <v>#REF!</v>
      </c>
      <c r="E82" s="168" t="s">
        <v>95</v>
      </c>
      <c r="F82" s="36" t="s">
        <v>95</v>
      </c>
      <c r="G82" s="36" t="s">
        <v>95</v>
      </c>
      <c r="H82" s="32" t="s">
        <v>95</v>
      </c>
      <c r="I82" s="32">
        <v>13</v>
      </c>
      <c r="J82" s="36"/>
      <c r="K82" s="32"/>
      <c r="L82" s="32"/>
      <c r="M82" s="36"/>
      <c r="N82" s="36"/>
      <c r="O82" s="32"/>
      <c r="P82" s="32"/>
      <c r="Q82" s="32"/>
      <c r="R82" s="32"/>
      <c r="S82" s="32"/>
      <c r="T82" s="36"/>
      <c r="U82" s="36"/>
      <c r="V82" s="32"/>
      <c r="W82" s="32">
        <v>17</v>
      </c>
      <c r="X82" s="32" t="s">
        <v>95</v>
      </c>
      <c r="Y82" s="32" t="s">
        <v>95</v>
      </c>
      <c r="Z82" s="32">
        <v>19</v>
      </c>
      <c r="AA82" s="36" t="s">
        <v>95</v>
      </c>
      <c r="AB82" s="36" t="s">
        <v>95</v>
      </c>
      <c r="AC82" s="32" t="s">
        <v>95</v>
      </c>
      <c r="AD82" s="32">
        <v>13</v>
      </c>
      <c r="AE82" s="32"/>
      <c r="AF82" s="32"/>
      <c r="AG82" s="32"/>
      <c r="AH82" s="36"/>
      <c r="AI82" s="36"/>
      <c r="AJ82" s="26" t="e">
        <f>_xlfn.CONCAT(#REF!,#REF!)</f>
        <v>#REF!</v>
      </c>
      <c r="AK82" s="27">
        <f t="shared" si="11"/>
        <v>126</v>
      </c>
      <c r="AL82" s="27" t="e">
        <f>MARZEC!AK82</f>
        <v>#REF!</v>
      </c>
      <c r="AM82" s="28">
        <f t="shared" si="13"/>
        <v>0</v>
      </c>
      <c r="AN82">
        <f t="shared" si="14"/>
        <v>216</v>
      </c>
      <c r="AO82" s="29">
        <f t="shared" si="15"/>
        <v>62</v>
      </c>
      <c r="AP82" s="1">
        <f t="shared" si="12"/>
        <v>0</v>
      </c>
    </row>
    <row r="83" spans="2:42" ht="15.9">
      <c r="C83" s="169" t="s">
        <v>43</v>
      </c>
      <c r="D83" s="170" t="e">
        <f>#REF!</f>
        <v>#REF!</v>
      </c>
      <c r="E83" s="168" t="s">
        <v>95</v>
      </c>
      <c r="F83" s="36" t="s">
        <v>95</v>
      </c>
      <c r="G83" s="36" t="s">
        <v>95</v>
      </c>
      <c r="H83" s="32" t="s">
        <v>95</v>
      </c>
      <c r="I83" s="32">
        <v>15</v>
      </c>
      <c r="J83" s="36"/>
      <c r="K83" s="32"/>
      <c r="L83" s="32"/>
      <c r="M83" s="36"/>
      <c r="N83" s="36"/>
      <c r="O83" s="32"/>
      <c r="P83" s="32">
        <v>17</v>
      </c>
      <c r="Q83" s="32" t="s">
        <v>95</v>
      </c>
      <c r="R83" s="32" t="s">
        <v>95</v>
      </c>
      <c r="S83" s="32" t="s">
        <v>95</v>
      </c>
      <c r="T83" s="36" t="s">
        <v>95</v>
      </c>
      <c r="U83" s="36" t="s">
        <v>95</v>
      </c>
      <c r="V83" s="32" t="s">
        <v>95</v>
      </c>
      <c r="W83" s="32" t="s">
        <v>92</v>
      </c>
      <c r="X83" s="32"/>
      <c r="Y83" s="32"/>
      <c r="Z83" s="32"/>
      <c r="AA83" s="36"/>
      <c r="AB83" s="36"/>
      <c r="AC83" s="32"/>
      <c r="AD83" s="32"/>
      <c r="AE83" s="32"/>
      <c r="AF83" s="32"/>
      <c r="AG83" s="32"/>
      <c r="AH83" s="36"/>
      <c r="AI83" s="36"/>
      <c r="AJ83" s="26" t="e">
        <f>_xlfn.CONCAT(#REF!,#REF!)</f>
        <v>#REF!</v>
      </c>
      <c r="AK83" s="27">
        <f t="shared" si="11"/>
        <v>132</v>
      </c>
      <c r="AL83" s="27" t="e">
        <f>MARZEC!AK83</f>
        <v>#REF!</v>
      </c>
      <c r="AM83" s="28">
        <f t="shared" si="13"/>
        <v>0</v>
      </c>
      <c r="AN83">
        <f t="shared" si="14"/>
        <v>252</v>
      </c>
      <c r="AO83" s="29">
        <f t="shared" si="15"/>
        <v>32</v>
      </c>
      <c r="AP83" s="1">
        <f t="shared" si="12"/>
        <v>0</v>
      </c>
    </row>
    <row r="84" spans="2:42" ht="15.9">
      <c r="C84" s="166" t="s">
        <v>44</v>
      </c>
      <c r="D84" s="170" t="e">
        <f>#REF!</f>
        <v>#REF!</v>
      </c>
      <c r="E84" s="168">
        <v>8</v>
      </c>
      <c r="F84" s="36"/>
      <c r="G84" s="36"/>
      <c r="H84" s="32"/>
      <c r="I84" s="32"/>
      <c r="J84" s="36"/>
      <c r="K84" s="32"/>
      <c r="L84" s="32"/>
      <c r="M84" s="36"/>
      <c r="N84" s="36"/>
      <c r="O84" s="32">
        <v>8</v>
      </c>
      <c r="P84" s="32"/>
      <c r="Q84" s="32"/>
      <c r="R84" s="32"/>
      <c r="S84" s="32" t="s">
        <v>176</v>
      </c>
      <c r="T84" s="36"/>
      <c r="U84" s="36">
        <v>8</v>
      </c>
      <c r="V84" s="32" t="s">
        <v>98</v>
      </c>
      <c r="W84" s="32" t="s">
        <v>98</v>
      </c>
      <c r="X84" s="32">
        <v>18</v>
      </c>
      <c r="Y84" s="32"/>
      <c r="Z84" s="32"/>
      <c r="AA84" s="36"/>
      <c r="AB84" s="36"/>
      <c r="AC84" s="32"/>
      <c r="AD84" s="32" t="s">
        <v>113</v>
      </c>
      <c r="AE84" s="32"/>
      <c r="AF84" s="32"/>
      <c r="AG84" s="32"/>
      <c r="AH84" s="36"/>
      <c r="AI84" s="36"/>
      <c r="AJ84" s="26" t="e">
        <f>_xlfn.CONCAT(#REF!,#REF!)</f>
        <v>#REF!</v>
      </c>
      <c r="AK84" s="27">
        <f t="shared" si="11"/>
        <v>-30</v>
      </c>
      <c r="AL84" s="27" t="e">
        <f>MARZEC!AK84</f>
        <v>#REF!</v>
      </c>
      <c r="AM84" s="28">
        <f t="shared" si="13"/>
        <v>24</v>
      </c>
      <c r="AN84">
        <f t="shared" si="14"/>
        <v>48</v>
      </c>
      <c r="AO84" s="29">
        <f t="shared" si="15"/>
        <v>50</v>
      </c>
      <c r="AP84" s="1">
        <f t="shared" si="12"/>
        <v>0</v>
      </c>
    </row>
    <row r="85" spans="2:42" ht="15.9">
      <c r="C85" s="166" t="s">
        <v>163</v>
      </c>
      <c r="D85" s="170" t="e">
        <f>#REF!</f>
        <v>#REF!</v>
      </c>
      <c r="E85" s="168"/>
      <c r="F85" s="36"/>
      <c r="G85" s="36"/>
      <c r="H85" s="32"/>
      <c r="I85" s="32"/>
      <c r="J85" s="36"/>
      <c r="K85" s="32"/>
      <c r="L85" s="32" t="s">
        <v>113</v>
      </c>
      <c r="M85" s="36"/>
      <c r="N85" s="36"/>
      <c r="O85" s="32">
        <v>7</v>
      </c>
      <c r="P85" s="32">
        <v>7</v>
      </c>
      <c r="Q85" s="32">
        <v>7</v>
      </c>
      <c r="R85" s="32">
        <v>8</v>
      </c>
      <c r="S85" s="32"/>
      <c r="T85" s="36"/>
      <c r="U85" s="36">
        <v>9</v>
      </c>
      <c r="V85" s="32" t="s">
        <v>98</v>
      </c>
      <c r="W85" s="32" t="s">
        <v>98</v>
      </c>
      <c r="X85" s="32">
        <v>18</v>
      </c>
      <c r="Y85" s="32"/>
      <c r="Z85" s="32"/>
      <c r="AA85" s="36"/>
      <c r="AB85" s="36"/>
      <c r="AC85" s="32">
        <v>7</v>
      </c>
      <c r="AD85" s="32"/>
      <c r="AE85" s="32">
        <v>1</v>
      </c>
      <c r="AF85" s="32"/>
      <c r="AG85" s="32"/>
      <c r="AH85" s="36"/>
      <c r="AI85" s="36"/>
      <c r="AJ85" s="26" t="e">
        <f>_xlfn.CONCAT(#REF!,#REF!)</f>
        <v>#REF!</v>
      </c>
      <c r="AK85" s="27">
        <f t="shared" si="11"/>
        <v>-16</v>
      </c>
      <c r="AL85" s="27" t="e">
        <f>MARZEC!AK85</f>
        <v>#REF!</v>
      </c>
      <c r="AM85" s="28">
        <f t="shared" si="13"/>
        <v>24</v>
      </c>
      <c r="AN85">
        <f t="shared" si="14"/>
        <v>48</v>
      </c>
      <c r="AO85" s="29">
        <f t="shared" si="15"/>
        <v>64</v>
      </c>
      <c r="AP85" s="1">
        <f t="shared" si="12"/>
        <v>0</v>
      </c>
    </row>
    <row r="86" spans="2:42" ht="15.9">
      <c r="C86" s="166" t="s">
        <v>45</v>
      </c>
      <c r="D86" s="170" t="e">
        <f>#REF!</f>
        <v>#REF!</v>
      </c>
      <c r="E86" s="168"/>
      <c r="F86" s="36"/>
      <c r="G86" s="36"/>
      <c r="H86" s="32" t="s">
        <v>113</v>
      </c>
      <c r="I86" s="32"/>
      <c r="J86" s="36"/>
      <c r="K86" s="32"/>
      <c r="L86" s="32"/>
      <c r="M86" s="36"/>
      <c r="N86" s="36"/>
      <c r="O86" s="32">
        <v>8</v>
      </c>
      <c r="P86" s="32">
        <v>8</v>
      </c>
      <c r="Q86" s="32">
        <v>8</v>
      </c>
      <c r="R86" s="32" t="s">
        <v>113</v>
      </c>
      <c r="S86" s="32"/>
      <c r="T86" s="36"/>
      <c r="U86" s="36">
        <v>8</v>
      </c>
      <c r="V86" s="32" t="s">
        <v>98</v>
      </c>
      <c r="W86" s="32" t="s">
        <v>98</v>
      </c>
      <c r="X86" s="32">
        <v>18</v>
      </c>
      <c r="Y86" s="32"/>
      <c r="Z86" s="32"/>
      <c r="AA86" s="36"/>
      <c r="AB86" s="36"/>
      <c r="AC86" s="32" t="s">
        <v>113</v>
      </c>
      <c r="AD86" s="32"/>
      <c r="AE86" s="32"/>
      <c r="AF86" s="32"/>
      <c r="AG86" s="32"/>
      <c r="AH86" s="36" t="s">
        <v>113</v>
      </c>
      <c r="AI86" s="36"/>
      <c r="AJ86" s="26" t="e">
        <f>_xlfn.CONCAT(#REF!,#REF!)</f>
        <v>#REF!</v>
      </c>
      <c r="AK86" s="27">
        <f t="shared" si="11"/>
        <v>42</v>
      </c>
      <c r="AL86" s="27" t="e">
        <f>MARZEC!AK86</f>
        <v>#REF!</v>
      </c>
      <c r="AM86" s="28">
        <f t="shared" si="13"/>
        <v>96</v>
      </c>
      <c r="AN86">
        <f t="shared" si="14"/>
        <v>48</v>
      </c>
      <c r="AO86" s="29">
        <f t="shared" si="15"/>
        <v>50</v>
      </c>
      <c r="AP86" s="1">
        <f t="shared" si="12"/>
        <v>0</v>
      </c>
    </row>
    <row r="87" spans="2:42" ht="15.9">
      <c r="C87" s="166" t="s">
        <v>46</v>
      </c>
      <c r="D87" s="170" t="e">
        <f>#REF!</f>
        <v>#REF!</v>
      </c>
      <c r="E87" s="168"/>
      <c r="F87" s="36"/>
      <c r="G87" s="36"/>
      <c r="H87" s="32"/>
      <c r="I87" s="32" t="s">
        <v>113</v>
      </c>
      <c r="J87" s="36"/>
      <c r="K87" s="32"/>
      <c r="L87" s="32"/>
      <c r="M87" s="36"/>
      <c r="N87" s="36"/>
      <c r="O87" s="32">
        <v>5.5</v>
      </c>
      <c r="P87" s="32">
        <v>7</v>
      </c>
      <c r="Q87" s="32" t="s">
        <v>113</v>
      </c>
      <c r="R87" s="32"/>
      <c r="S87" s="32"/>
      <c r="T87" s="36"/>
      <c r="U87" s="36"/>
      <c r="V87" s="32" t="s">
        <v>113</v>
      </c>
      <c r="W87" s="32"/>
      <c r="X87" s="32"/>
      <c r="Y87" s="32">
        <v>3</v>
      </c>
      <c r="Z87" s="32"/>
      <c r="AA87" s="36"/>
      <c r="AB87" s="36"/>
      <c r="AC87" s="32"/>
      <c r="AD87" s="32"/>
      <c r="AE87" s="32">
        <v>4</v>
      </c>
      <c r="AF87" s="32"/>
      <c r="AG87" s="32"/>
      <c r="AH87" s="36"/>
      <c r="AI87" s="36"/>
      <c r="AJ87" s="26" t="e">
        <f>_xlfn.CONCAT(#REF!,#REF!)</f>
        <v>#REF!</v>
      </c>
      <c r="AK87" s="27">
        <f t="shared" si="11"/>
        <v>-60.5</v>
      </c>
      <c r="AL87" s="27" t="e">
        <f>MARZEC!AK87</f>
        <v>#REF!</v>
      </c>
      <c r="AM87" s="28">
        <f t="shared" si="13"/>
        <v>72</v>
      </c>
      <c r="AN87">
        <f t="shared" si="14"/>
        <v>0</v>
      </c>
      <c r="AO87" s="29">
        <f t="shared" si="15"/>
        <v>19.5</v>
      </c>
      <c r="AP87" s="1">
        <f t="shared" si="12"/>
        <v>0</v>
      </c>
    </row>
    <row r="88" spans="2:42" ht="15.9">
      <c r="C88" s="166" t="s">
        <v>47</v>
      </c>
      <c r="D88" s="170" t="e">
        <f>#REF!</f>
        <v>#REF!</v>
      </c>
      <c r="E88" s="168"/>
      <c r="F88" s="36"/>
      <c r="G88" s="36"/>
      <c r="H88" s="32"/>
      <c r="I88" s="32"/>
      <c r="J88" s="36"/>
      <c r="K88" s="32">
        <v>5</v>
      </c>
      <c r="L88" s="32"/>
      <c r="M88" s="36"/>
      <c r="N88" s="36"/>
      <c r="O88" s="32">
        <v>8</v>
      </c>
      <c r="P88" s="32">
        <v>8</v>
      </c>
      <c r="Q88" s="32">
        <v>8</v>
      </c>
      <c r="R88" s="32">
        <v>8</v>
      </c>
      <c r="S88" s="32"/>
      <c r="T88" s="36"/>
      <c r="U88" s="36"/>
      <c r="V88" s="32"/>
      <c r="W88" s="32" t="s">
        <v>113</v>
      </c>
      <c r="X88" s="32"/>
      <c r="Y88" s="32"/>
      <c r="Z88" s="32"/>
      <c r="AA88" s="36"/>
      <c r="AB88" s="36"/>
      <c r="AC88" s="32"/>
      <c r="AD88" s="32"/>
      <c r="AE88" s="32"/>
      <c r="AF88" s="32"/>
      <c r="AG88" s="32"/>
      <c r="AH88" s="36"/>
      <c r="AI88" s="36"/>
      <c r="AJ88" s="26" t="e">
        <f>_xlfn.CONCAT(#REF!,#REF!)</f>
        <v>#REF!</v>
      </c>
      <c r="AK88" s="27">
        <f t="shared" si="11"/>
        <v>-91</v>
      </c>
      <c r="AL88" s="27" t="e">
        <f>MARZEC!AK88</f>
        <v>#REF!</v>
      </c>
      <c r="AM88" s="28">
        <f t="shared" si="13"/>
        <v>24</v>
      </c>
      <c r="AN88">
        <f t="shared" si="14"/>
        <v>0</v>
      </c>
      <c r="AO88" s="29">
        <f t="shared" si="15"/>
        <v>37</v>
      </c>
      <c r="AP88" s="1">
        <f t="shared" si="12"/>
        <v>0</v>
      </c>
    </row>
    <row r="89" spans="2:42" ht="15.9">
      <c r="C89" s="166" t="s">
        <v>48</v>
      </c>
      <c r="D89" s="170" t="e">
        <f>#REF!</f>
        <v>#REF!</v>
      </c>
      <c r="E89" s="168"/>
      <c r="F89" s="36"/>
      <c r="G89" s="36"/>
      <c r="H89" s="32"/>
      <c r="I89" s="32"/>
      <c r="J89" s="36"/>
      <c r="K89" s="32"/>
      <c r="L89" s="32"/>
      <c r="M89" s="36"/>
      <c r="N89" s="36"/>
      <c r="O89" s="32">
        <v>8</v>
      </c>
      <c r="P89" s="32">
        <v>8</v>
      </c>
      <c r="Q89" s="32">
        <v>8</v>
      </c>
      <c r="R89" s="32">
        <v>8</v>
      </c>
      <c r="S89" s="32" t="s">
        <v>113</v>
      </c>
      <c r="T89" s="36"/>
      <c r="U89" s="36">
        <v>8.5</v>
      </c>
      <c r="V89" s="32" t="s">
        <v>98</v>
      </c>
      <c r="W89" s="32" t="s">
        <v>98</v>
      </c>
      <c r="X89" s="32">
        <v>18</v>
      </c>
      <c r="Y89" s="32"/>
      <c r="Z89" s="32"/>
      <c r="AA89" s="36"/>
      <c r="AB89" s="36"/>
      <c r="AC89" s="32"/>
      <c r="AD89" s="32"/>
      <c r="AE89" s="32"/>
      <c r="AF89" s="32"/>
      <c r="AG89" s="32"/>
      <c r="AH89" s="36"/>
      <c r="AI89" s="36"/>
      <c r="AJ89" s="26" t="e">
        <f>_xlfn.CONCAT(#REF!,#REF!)</f>
        <v>#REF!</v>
      </c>
      <c r="AK89" s="27">
        <f t="shared" si="11"/>
        <v>-21.5</v>
      </c>
      <c r="AL89" s="27" t="e">
        <f>MARZEC!AK89</f>
        <v>#REF!</v>
      </c>
      <c r="AM89" s="28">
        <f t="shared" si="13"/>
        <v>24</v>
      </c>
      <c r="AN89">
        <f t="shared" si="14"/>
        <v>48</v>
      </c>
      <c r="AO89" s="29">
        <f t="shared" si="15"/>
        <v>58.5</v>
      </c>
      <c r="AP89" s="1">
        <f t="shared" si="12"/>
        <v>0</v>
      </c>
    </row>
    <row r="90" spans="2:42" ht="15.9">
      <c r="C90" s="169" t="s">
        <v>49</v>
      </c>
      <c r="D90" s="170" t="e">
        <f>#REF!</f>
        <v>#REF!</v>
      </c>
      <c r="E90" s="168"/>
      <c r="F90" s="36"/>
      <c r="G90" s="36"/>
      <c r="H90" s="32"/>
      <c r="I90" s="32"/>
      <c r="J90" s="36"/>
      <c r="K90" s="32"/>
      <c r="L90" s="32"/>
      <c r="M90" s="36"/>
      <c r="N90" s="36"/>
      <c r="O90" s="32"/>
      <c r="P90" s="32"/>
      <c r="Q90" s="32"/>
      <c r="R90" s="32"/>
      <c r="S90" s="32"/>
      <c r="T90" s="36"/>
      <c r="U90" s="36"/>
      <c r="V90" s="32"/>
      <c r="W90" s="32"/>
      <c r="X90" s="32"/>
      <c r="Y90" s="32"/>
      <c r="Z90" s="32"/>
      <c r="AA90" s="36"/>
      <c r="AB90" s="36"/>
      <c r="AC90" s="32"/>
      <c r="AD90" s="32"/>
      <c r="AE90" s="32"/>
      <c r="AF90" s="32"/>
      <c r="AG90" s="32"/>
      <c r="AH90" s="36"/>
      <c r="AI90" s="36"/>
      <c r="AJ90" s="26" t="e">
        <f>_xlfn.CONCAT(#REF!,#REF!)</f>
        <v>#REF!</v>
      </c>
      <c r="AK90" s="27">
        <f t="shared" si="11"/>
        <v>-152</v>
      </c>
      <c r="AL90" s="27" t="e">
        <f>MARZEC!AK90</f>
        <v>#REF!</v>
      </c>
      <c r="AM90" s="28">
        <f t="shared" si="13"/>
        <v>0</v>
      </c>
      <c r="AN90">
        <f t="shared" si="14"/>
        <v>0</v>
      </c>
      <c r="AO90" s="29">
        <f t="shared" si="15"/>
        <v>0</v>
      </c>
      <c r="AP90" s="1">
        <f t="shared" si="12"/>
        <v>0</v>
      </c>
    </row>
    <row r="91" spans="2:42" ht="15.9">
      <c r="C91" s="169" t="s">
        <v>50</v>
      </c>
      <c r="D91" s="170" t="e">
        <f>#REF!</f>
        <v>#REF!</v>
      </c>
      <c r="E91" s="168"/>
      <c r="F91" s="36"/>
      <c r="G91" s="36"/>
      <c r="H91" s="32"/>
      <c r="I91" s="32">
        <v>16</v>
      </c>
      <c r="J91" s="36" t="s">
        <v>95</v>
      </c>
      <c r="K91" s="32" t="s">
        <v>95</v>
      </c>
      <c r="L91" s="32" t="s">
        <v>95</v>
      </c>
      <c r="M91" s="36" t="s">
        <v>95</v>
      </c>
      <c r="N91" s="36" t="s">
        <v>95</v>
      </c>
      <c r="O91" s="32" t="s">
        <v>95</v>
      </c>
      <c r="P91" s="32">
        <v>11</v>
      </c>
      <c r="Q91" s="32"/>
      <c r="R91" s="32"/>
      <c r="S91" s="32"/>
      <c r="T91" s="36"/>
      <c r="U91" s="36"/>
      <c r="V91" s="32"/>
      <c r="W91" s="32"/>
      <c r="X91" s="32"/>
      <c r="Y91" s="32"/>
      <c r="Z91" s="32"/>
      <c r="AA91" s="36"/>
      <c r="AB91" s="36"/>
      <c r="AC91" s="32"/>
      <c r="AD91" s="32"/>
      <c r="AE91" s="32"/>
      <c r="AF91" s="32"/>
      <c r="AG91" s="32"/>
      <c r="AH91" s="36"/>
      <c r="AI91" s="36"/>
      <c r="AJ91" s="26" t="e">
        <f>_xlfn.CONCAT(#REF!,#REF!)</f>
        <v>#REF!</v>
      </c>
      <c r="AK91" s="27">
        <f t="shared" si="11"/>
        <v>19</v>
      </c>
      <c r="AL91" s="27" t="e">
        <f>MARZEC!AK91</f>
        <v>#REF!</v>
      </c>
      <c r="AM91" s="28">
        <f t="shared" si="13"/>
        <v>0</v>
      </c>
      <c r="AN91">
        <f t="shared" si="14"/>
        <v>144</v>
      </c>
      <c r="AO91" s="29">
        <f t="shared" si="15"/>
        <v>27</v>
      </c>
      <c r="AP91" s="1">
        <f t="shared" si="12"/>
        <v>0</v>
      </c>
    </row>
    <row r="92" spans="2:42" ht="15.9">
      <c r="C92" s="174" t="s">
        <v>51</v>
      </c>
      <c r="D92" s="175" t="e">
        <f>#REF!</f>
        <v>#REF!</v>
      </c>
      <c r="E92" s="168"/>
      <c r="F92" s="36"/>
      <c r="G92" s="36"/>
      <c r="H92" s="32"/>
      <c r="I92" s="32"/>
      <c r="J92" s="36"/>
      <c r="K92" s="32"/>
      <c r="L92" s="32"/>
      <c r="M92" s="36"/>
      <c r="N92" s="36"/>
      <c r="O92" s="32"/>
      <c r="P92" s="32">
        <v>16</v>
      </c>
      <c r="Q92" s="32" t="s">
        <v>95</v>
      </c>
      <c r="R92" s="32" t="s">
        <v>95</v>
      </c>
      <c r="S92" s="32" t="s">
        <v>95</v>
      </c>
      <c r="T92" s="36" t="s">
        <v>95</v>
      </c>
      <c r="U92" s="36" t="s">
        <v>95</v>
      </c>
      <c r="V92" s="32" t="s">
        <v>95</v>
      </c>
      <c r="W92" s="32" t="s">
        <v>103</v>
      </c>
      <c r="X92" s="32"/>
      <c r="Y92" s="32"/>
      <c r="Z92" s="32"/>
      <c r="AA92" s="36"/>
      <c r="AB92" s="36"/>
      <c r="AC92" s="32"/>
      <c r="AD92" s="32"/>
      <c r="AE92" s="32"/>
      <c r="AF92" s="32"/>
      <c r="AG92" s="32"/>
      <c r="AH92" s="36"/>
      <c r="AI92" s="36"/>
      <c r="AJ92" s="26" t="e">
        <f>_xlfn.CONCAT(#REF!,#REF!)</f>
        <v>#REF!</v>
      </c>
      <c r="AK92" s="27">
        <f t="shared" si="11"/>
        <v>8</v>
      </c>
      <c r="AL92" s="27" t="e">
        <f>MARZEC!AK92</f>
        <v>#REF!</v>
      </c>
      <c r="AM92" s="28">
        <f t="shared" si="13"/>
        <v>0</v>
      </c>
      <c r="AN92">
        <f t="shared" si="14"/>
        <v>144</v>
      </c>
      <c r="AO92" s="29">
        <f t="shared" si="15"/>
        <v>16</v>
      </c>
      <c r="AP92" s="1">
        <f t="shared" si="12"/>
        <v>0</v>
      </c>
    </row>
    <row r="93" spans="2:42" ht="15.9">
      <c r="B93" s="61"/>
      <c r="C93" s="148" t="s">
        <v>171</v>
      </c>
      <c r="D93" s="149"/>
      <c r="E93" s="59">
        <f t="shared" ref="E93:AI93" si="16">COUNTIF(E42:E92,"D")</f>
        <v>2</v>
      </c>
      <c r="F93" s="59">
        <f t="shared" si="16"/>
        <v>1</v>
      </c>
      <c r="G93" s="59">
        <f t="shared" si="16"/>
        <v>2</v>
      </c>
      <c r="H93" s="59">
        <f t="shared" si="16"/>
        <v>1</v>
      </c>
      <c r="I93" s="59">
        <f t="shared" si="16"/>
        <v>2</v>
      </c>
      <c r="J93" s="59">
        <f t="shared" si="16"/>
        <v>1</v>
      </c>
      <c r="K93" s="59">
        <f t="shared" si="16"/>
        <v>1</v>
      </c>
      <c r="L93" s="59">
        <f t="shared" si="16"/>
        <v>2</v>
      </c>
      <c r="M93" s="59">
        <f t="shared" si="16"/>
        <v>2</v>
      </c>
      <c r="N93" s="59">
        <f t="shared" si="16"/>
        <v>2</v>
      </c>
      <c r="O93" s="59">
        <f t="shared" si="16"/>
        <v>1</v>
      </c>
      <c r="P93" s="59">
        <f t="shared" si="16"/>
        <v>2</v>
      </c>
      <c r="Q93" s="59">
        <f t="shared" si="16"/>
        <v>2</v>
      </c>
      <c r="R93" s="59">
        <f t="shared" si="16"/>
        <v>2</v>
      </c>
      <c r="S93" s="59">
        <f t="shared" si="16"/>
        <v>2</v>
      </c>
      <c r="T93" s="59">
        <f t="shared" si="16"/>
        <v>2</v>
      </c>
      <c r="U93" s="59">
        <f t="shared" si="16"/>
        <v>1</v>
      </c>
      <c r="V93" s="59">
        <f t="shared" si="16"/>
        <v>1</v>
      </c>
      <c r="W93" s="59">
        <f t="shared" si="16"/>
        <v>2</v>
      </c>
      <c r="X93" s="59">
        <f t="shared" si="16"/>
        <v>2</v>
      </c>
      <c r="Y93" s="59">
        <f t="shared" si="16"/>
        <v>2</v>
      </c>
      <c r="Z93" s="59">
        <f t="shared" si="16"/>
        <v>1</v>
      </c>
      <c r="AA93" s="59">
        <f t="shared" si="16"/>
        <v>2</v>
      </c>
      <c r="AB93" s="59">
        <f t="shared" si="16"/>
        <v>2</v>
      </c>
      <c r="AC93" s="59">
        <f t="shared" si="16"/>
        <v>2</v>
      </c>
      <c r="AD93" s="59">
        <f t="shared" si="16"/>
        <v>2</v>
      </c>
      <c r="AE93" s="59">
        <f t="shared" si="16"/>
        <v>1</v>
      </c>
      <c r="AF93" s="59">
        <f t="shared" si="16"/>
        <v>2</v>
      </c>
      <c r="AG93" s="59">
        <f t="shared" si="16"/>
        <v>2</v>
      </c>
      <c r="AH93" s="59">
        <f t="shared" si="16"/>
        <v>2</v>
      </c>
      <c r="AI93" s="59">
        <f t="shared" si="16"/>
        <v>0</v>
      </c>
      <c r="AJ93" s="59"/>
      <c r="AK93" s="27"/>
      <c r="AL93" s="27"/>
      <c r="AM93" s="28"/>
      <c r="AN93"/>
      <c r="AO93" s="29"/>
    </row>
  </sheetData>
  <mergeCells count="36">
    <mergeCell ref="AH36:AJ36"/>
    <mergeCell ref="E37:G37"/>
    <mergeCell ref="I37:K37"/>
    <mergeCell ref="M37:N37"/>
    <mergeCell ref="P37:R37"/>
    <mergeCell ref="T37:U37"/>
    <mergeCell ref="W37:Y37"/>
    <mergeCell ref="AA37:AB37"/>
    <mergeCell ref="AD37:AF37"/>
    <mergeCell ref="AH37:AJ37"/>
    <mergeCell ref="E36:G36"/>
    <mergeCell ref="I36:K36"/>
    <mergeCell ref="M36:N36"/>
    <mergeCell ref="P36:R36"/>
    <mergeCell ref="T36:U36"/>
    <mergeCell ref="W36:Y36"/>
    <mergeCell ref="AA36:AB36"/>
    <mergeCell ref="AD36:AF36"/>
    <mergeCell ref="W38:Y38"/>
    <mergeCell ref="AA38:AB38"/>
    <mergeCell ref="AD38:AF38"/>
    <mergeCell ref="AH38:AJ38"/>
    <mergeCell ref="E39:G39"/>
    <mergeCell ref="I39:K39"/>
    <mergeCell ref="M39:N39"/>
    <mergeCell ref="P39:R39"/>
    <mergeCell ref="T39:U39"/>
    <mergeCell ref="W39:Y39"/>
    <mergeCell ref="AA39:AB39"/>
    <mergeCell ref="AD39:AF39"/>
    <mergeCell ref="AH39:AJ39"/>
    <mergeCell ref="E38:G38"/>
    <mergeCell ref="I38:K38"/>
    <mergeCell ref="M38:N38"/>
    <mergeCell ref="P38:R38"/>
    <mergeCell ref="T38:U38"/>
  </mergeCells>
  <conditionalFormatting sqref="A2:A32">
    <cfRule type="containsText" dxfId="1424" priority="2" operator="containsText" text="SG007">
      <formula>NOT(ISERROR(SEARCH("SG007",A2)))</formula>
    </cfRule>
    <cfRule type="containsText" dxfId="1423" priority="3" operator="containsText" text="SG068">
      <formula>NOT(ISERROR(SEARCH("SG068",A2)))</formula>
    </cfRule>
    <cfRule type="containsText" dxfId="1422" priority="4" operator="containsText" text="SG214">
      <formula>NOT(ISERROR(SEARCH("SG214",A2)))</formula>
    </cfRule>
    <cfRule type="containsText" dxfId="1421" priority="5" operator="containsText" text="SG212">
      <formula>NOT(ISERROR(SEARCH("SG212",A2)))</formula>
    </cfRule>
  </conditionalFormatting>
  <conditionalFormatting sqref="A5:A32">
    <cfRule type="containsText" dxfId="1420" priority="6" operator="containsText" text="SG070">
      <formula>NOT(ISERROR(SEARCH("SG070",A5)))</formula>
    </cfRule>
  </conditionalFormatting>
  <conditionalFormatting sqref="E42:U92">
    <cfRule type="containsText" dxfId="1419" priority="34" operator="containsText" text="wse">
      <formula>NOT(ISERROR(SEARCH("wse",E42)))</formula>
    </cfRule>
    <cfRule type="containsText" dxfId="1418" priority="38" operator="containsText" text="d">
      <formula>NOT(ISERROR(SEARCH("d",E42)))</formula>
    </cfRule>
    <cfRule type="containsText" dxfId="1416" priority="37" operator="containsText" text="s">
      <formula>NOT(ISERROR(SEARCH("s",E42)))</formula>
    </cfRule>
    <cfRule type="containsText" dxfId="1415" priority="36" operator="containsText" text="u">
      <formula>NOT(ISERROR(SEARCH("u",E42)))</formula>
    </cfRule>
    <cfRule type="containsText" dxfId="1414" priority="35" operator="containsText" text="k">
      <formula>NOT(ISERROR(SEARCH("k",E42)))</formula>
    </cfRule>
  </conditionalFormatting>
  <conditionalFormatting sqref="E2:AI32">
    <cfRule type="containsText" dxfId="1413" priority="7" operator="containsText" text="l4">
      <formula>NOT(ISERROR(SEARCH("l4",E2)))</formula>
    </cfRule>
    <cfRule type="containsText" dxfId="1412" priority="8" operator="containsText" text="12g">
      <formula>NOT(ISERROR(SEARCH("12g",E2)))</formula>
    </cfRule>
    <cfRule type="containsText" dxfId="1410" priority="10" operator="containsText" text="wse">
      <formula>NOT(ISERROR(SEARCH("wse",E2)))</formula>
    </cfRule>
    <cfRule type="containsText" dxfId="1409" priority="11" operator="containsText" text="k">
      <formula>NOT(ISERROR(SEARCH("k",E2)))</formula>
    </cfRule>
    <cfRule type="containsText" dxfId="1408" priority="12" operator="containsText" text="u">
      <formula>NOT(ISERROR(SEARCH("u",E2)))</formula>
    </cfRule>
    <cfRule type="containsText" dxfId="1407" priority="13" operator="containsText" text="s">
      <formula>NOT(ISERROR(SEARCH("s",E2)))</formula>
    </cfRule>
    <cfRule type="containsText" dxfId="1406" priority="14" operator="containsText" text="d">
      <formula>NOT(ISERROR(SEARCH("d",E2)))</formula>
    </cfRule>
  </conditionalFormatting>
  <conditionalFormatting sqref="E5:AI32">
    <cfRule type="cellIs" dxfId="1405" priority="22" operator="greaterThan">
      <formula>0</formula>
    </cfRule>
  </conditionalFormatting>
  <conditionalFormatting sqref="E42:AI92">
    <cfRule type="containsText" dxfId="1404" priority="32" operator="containsText" text="12g">
      <formula>NOT(ISERROR(SEARCH("12g",E42)))</formula>
    </cfRule>
    <cfRule type="containsText" dxfId="1403" priority="31" operator="containsText" text="l4">
      <formula>NOT(ISERROR(SEARCH("l4",E42)))</formula>
    </cfRule>
  </conditionalFormatting>
  <conditionalFormatting sqref="O42:U92">
    <cfRule type="cellIs" dxfId="1402" priority="55" operator="greaterThan">
      <formula>0</formula>
    </cfRule>
  </conditionalFormatting>
  <conditionalFormatting sqref="V42:Z92">
    <cfRule type="containsText" dxfId="1401" priority="90" operator="containsText" text="d">
      <formula>NOT(ISERROR(SEARCH("d",V42)))</formula>
    </cfRule>
    <cfRule type="containsText" dxfId="1400" priority="89" operator="containsText" text="s">
      <formula>NOT(ISERROR(SEARCH("s",V42)))</formula>
    </cfRule>
    <cfRule type="containsText" dxfId="1399" priority="88" operator="containsText" text="u">
      <formula>NOT(ISERROR(SEARCH("u",V42)))</formula>
    </cfRule>
    <cfRule type="containsText" dxfId="1398" priority="87" operator="containsText" text="k">
      <formula>NOT(ISERROR(SEARCH("k",V42)))</formula>
    </cfRule>
    <cfRule type="containsText" dxfId="1397" priority="86" operator="containsText" text="wse">
      <formula>NOT(ISERROR(SEARCH("wse",V42)))</formula>
    </cfRule>
    <cfRule type="cellIs" dxfId="1395" priority="91" operator="greaterThan">
      <formula>0</formula>
    </cfRule>
  </conditionalFormatting>
  <conditionalFormatting sqref="AA42:AB92">
    <cfRule type="containsText" dxfId="1394" priority="69" operator="containsText" text="k">
      <formula>NOT(ISERROR(SEARCH("k",AA42)))</formula>
    </cfRule>
    <cfRule type="containsText" dxfId="1393" priority="68" operator="containsText" text="wse">
      <formula>NOT(ISERROR(SEARCH("wse",AA42)))</formula>
    </cfRule>
    <cfRule type="cellIs" dxfId="1392" priority="73" operator="greaterThan">
      <formula>0</formula>
    </cfRule>
    <cfRule type="containsText" dxfId="1391" priority="72" operator="containsText" text="d">
      <formula>NOT(ISERROR(SEARCH("d",AA42)))</formula>
    </cfRule>
    <cfRule type="containsText" dxfId="1390" priority="71" operator="containsText" text="s">
      <formula>NOT(ISERROR(SEARCH("s",AA42)))</formula>
    </cfRule>
    <cfRule type="containsText" dxfId="1389" priority="70" operator="containsText" text="u">
      <formula>NOT(ISERROR(SEARCH("u",AA42)))</formula>
    </cfRule>
  </conditionalFormatting>
  <conditionalFormatting sqref="AC42:AI92">
    <cfRule type="containsText" dxfId="1387" priority="79" operator="containsText" text="u">
      <formula>NOT(ISERROR(SEARCH("u",AC42)))</formula>
    </cfRule>
    <cfRule type="containsText" dxfId="1386" priority="80" operator="containsText" text="s">
      <formula>NOT(ISERROR(SEARCH("s",AC42)))</formula>
    </cfRule>
    <cfRule type="containsText" dxfId="1385" priority="81" operator="containsText" text="d">
      <formula>NOT(ISERROR(SEARCH("d",AC42)))</formula>
    </cfRule>
    <cfRule type="cellIs" dxfId="1384" priority="82" operator="greaterThan">
      <formula>0</formula>
    </cfRule>
    <cfRule type="containsText" dxfId="1383" priority="77" operator="containsText" text="wse">
      <formula>NOT(ISERROR(SEARCH("wse",AC42)))</formula>
    </cfRule>
    <cfRule type="containsText" dxfId="1382" priority="78" operator="containsText" text="k">
      <formula>NOT(ISERROR(SEARCH("k",AC42)))</formula>
    </cfRule>
  </conditionalFormatting>
  <conditionalFormatting sqref="AR5:AR14">
    <cfRule type="containsText" dxfId="1379" priority="17" operator="containsText" text="wse">
      <formula>NOT(ISERROR(SEARCH("wse",AR5)))</formula>
    </cfRule>
    <cfRule type="containsText" dxfId="1378" priority="18" operator="containsText" text="k">
      <formula>NOT(ISERROR(SEARCH("k",AR5)))</formula>
    </cfRule>
    <cfRule type="containsText" dxfId="1377" priority="21" operator="containsText" text="d">
      <formula>NOT(ISERROR(SEARCH("d",AR5)))</formula>
    </cfRule>
    <cfRule type="containsText" dxfId="1376" priority="20" operator="containsText" text="s">
      <formula>NOT(ISERROR(SEARCH("s",AR5)))</formula>
    </cfRule>
    <cfRule type="containsText" dxfId="1375" priority="19" operator="containsText" text="u">
      <formula>NOT(ISERROR(SEARCH("u",AR5)))</formula>
    </cfRule>
    <cfRule type="containsText" dxfId="1374" priority="15" operator="containsText" text="12g">
      <formula>NOT(ISERROR(SEARCH("12g",AR5)))</formula>
    </cfRule>
  </conditionalFormatting>
  <conditionalFormatting sqref="AR15">
    <cfRule type="containsText" dxfId="1373" priority="24" operator="containsText" text="12g">
      <formula>NOT(ISERROR(SEARCH("12g",AR15)))</formula>
    </cfRule>
    <cfRule type="containsText" dxfId="1372" priority="26" operator="containsText" text="wse">
      <formula>NOT(ISERROR(SEARCH("wse",AR15)))</formula>
    </cfRule>
    <cfRule type="containsText" dxfId="1371" priority="27" operator="containsText" text="k">
      <formula>NOT(ISERROR(SEARCH("k",AR15)))</formula>
    </cfRule>
    <cfRule type="containsText" dxfId="1370" priority="28" operator="containsText" text="u">
      <formula>NOT(ISERROR(SEARCH("u",AR15)))</formula>
    </cfRule>
    <cfRule type="containsText" dxfId="1369" priority="29" operator="containsText" text="s">
      <formula>NOT(ISERROR(SEARCH("s",AR15)))</formula>
    </cfRule>
    <cfRule type="containsText" dxfId="1368" priority="30" operator="containsText" text="d">
      <formula>NOT(ISERROR(SEARCH("d",AR15)))</formula>
    </cfRule>
    <cfRule type="containsText" dxfId="1366" priority="23" operator="containsText" text="l4">
      <formula>NOT(ISERROR(SEARCH("l4",AR15)))</formula>
    </cfRule>
  </conditionalFormatting>
  <pageMargins left="0.118055555555556" right="0.118055555555556" top="0.15763888888888899" bottom="0.55138888888888904" header="0.51180555555555496" footer="0.51180555555555496"/>
  <pageSetup paperSize="9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3" operator="containsText" id="{E6C899B9-4E46-4036-ABAC-5F8BC26B675B}">
            <xm:f>NOT(ISERROR(SEARCH("-",E42)))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E42:U92</xm:sqref>
        </x14:conditionalFormatting>
        <x14:conditionalFormatting xmlns:xm="http://schemas.microsoft.com/office/excel/2006/main">
          <x14:cfRule type="containsText" priority="9" operator="containsText" id="{F3545090-7500-462F-BDF7-9CAA2E567CE5}">
            <xm:f>NOT(ISERROR(SEARCH("-",E2)))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E2:AI32</xm:sqref>
        </x14:conditionalFormatting>
        <x14:conditionalFormatting xmlns:xm="http://schemas.microsoft.com/office/excel/2006/main">
          <x14:cfRule type="containsText" priority="85" operator="containsText" id="{B6887D9F-6269-434E-9FF0-5A561FEB2612}">
            <xm:f>NOT(ISERROR(SEARCH("-",V42)))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V42:Z92</xm:sqref>
        </x14:conditionalFormatting>
        <x14:conditionalFormatting xmlns:xm="http://schemas.microsoft.com/office/excel/2006/main">
          <x14:cfRule type="containsText" priority="67" operator="containsText" id="{7B3CCF38-D915-4D48-80ED-717A589CB3CB}">
            <xm:f>NOT(ISERROR(SEARCH("-",AA42)))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AA42:AG92</xm:sqref>
        </x14:conditionalFormatting>
        <x14:conditionalFormatting xmlns:xm="http://schemas.microsoft.com/office/excel/2006/main">
          <x14:cfRule type="containsText" priority="76" operator="containsText" id="{DE8B8162-8F2C-413B-AB53-7FB052F29A73}">
            <xm:f>NOT(ISERROR(SEARCH("-",AH42)))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AH42:AI92</xm:sqref>
        </x14:conditionalFormatting>
        <x14:conditionalFormatting xmlns:xm="http://schemas.microsoft.com/office/excel/2006/main">
          <x14:cfRule type="containsText" priority="16" operator="containsText" id="{F235C4DC-5422-4B66-8151-00E21958B890}">
            <xm:f>NOT(ISERROR(SEARCH("-",AR5)))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AR5:AR14</xm:sqref>
        </x14:conditionalFormatting>
        <x14:conditionalFormatting xmlns:xm="http://schemas.microsoft.com/office/excel/2006/main">
          <x14:cfRule type="containsText" priority="25" operator="containsText" id="{2462B262-8D8C-4920-8416-2FF070DFD021}">
            <xm:f>NOT(ISERROR(SEARCH("-",AR15)))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AR15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4"/>
  <sheetViews>
    <sheetView zoomScaleNormal="100" workbookViewId="0">
      <selection activeCell="AE73" sqref="AE73"/>
    </sheetView>
  </sheetViews>
  <sheetFormatPr defaultColWidth="8.69140625" defaultRowHeight="14.6"/>
  <cols>
    <col min="1" max="1" width="3.84375" style="176" customWidth="1"/>
    <col min="2" max="2" width="6" style="177" customWidth="1"/>
    <col min="3" max="3" width="28.84375" style="178" customWidth="1"/>
    <col min="4" max="4" width="23.84375" customWidth="1"/>
    <col min="5" max="5" width="24.53515625" customWidth="1"/>
  </cols>
  <sheetData>
    <row r="1" spans="1:11" ht="30.9">
      <c r="B1" s="686" t="s">
        <v>177</v>
      </c>
      <c r="C1" s="686"/>
      <c r="D1" s="686"/>
      <c r="E1" s="686"/>
      <c r="K1" s="179"/>
    </row>
    <row r="2" spans="1:11" ht="28.3">
      <c r="A2" s="687" t="s">
        <v>178</v>
      </c>
      <c r="B2" s="687"/>
      <c r="C2" s="687"/>
      <c r="D2" s="687"/>
      <c r="E2" s="687"/>
      <c r="K2" s="179"/>
    </row>
    <row r="3" spans="1:11" ht="23.15">
      <c r="A3" s="688">
        <v>44197</v>
      </c>
      <c r="B3" s="688"/>
      <c r="C3" s="180" t="s">
        <v>179</v>
      </c>
      <c r="D3" s="181" t="s">
        <v>180</v>
      </c>
      <c r="E3" s="181" t="s">
        <v>180</v>
      </c>
      <c r="K3" s="179"/>
    </row>
    <row r="4" spans="1:11" ht="19.3">
      <c r="A4" s="182">
        <v>1</v>
      </c>
      <c r="B4" s="183" t="s">
        <v>181</v>
      </c>
      <c r="C4" s="184" t="e">
        <f>VLOOKUP("D",STYCZEŃ!$E$2:$AJ$32,32,0)</f>
        <v>#REF!</v>
      </c>
      <c r="D4" s="185"/>
      <c r="E4" s="185"/>
      <c r="K4" s="179"/>
    </row>
    <row r="5" spans="1:11" ht="19.3">
      <c r="A5" s="186">
        <v>2</v>
      </c>
      <c r="B5" s="183" t="s">
        <v>182</v>
      </c>
      <c r="C5" s="184" t="e">
        <f>VLOOKUP("D",STYCZEŃ!F$2:$AJ$32,31,0)</f>
        <v>#REF!</v>
      </c>
      <c r="D5" s="187"/>
      <c r="E5" s="188"/>
      <c r="K5" s="179"/>
    </row>
    <row r="6" spans="1:11" ht="21.75" customHeight="1">
      <c r="A6" s="186">
        <v>3</v>
      </c>
      <c r="B6" s="183" t="s">
        <v>183</v>
      </c>
      <c r="C6" s="184" t="e">
        <f>VLOOKUP("D",STYCZEŃ!G$2:$AJ$32,30,0)</f>
        <v>#REF!</v>
      </c>
      <c r="D6" s="188"/>
      <c r="E6" s="188"/>
      <c r="K6" s="179"/>
    </row>
    <row r="7" spans="1:11" ht="21.75" customHeight="1">
      <c r="A7" s="189">
        <v>4</v>
      </c>
      <c r="B7" s="190" t="s">
        <v>184</v>
      </c>
      <c r="C7" s="191" t="e">
        <f>VLOOKUP("D",STYCZEŃ!H$2:$AJ$32,29,0)</f>
        <v>#REF!</v>
      </c>
      <c r="D7" s="192"/>
      <c r="E7" s="192"/>
      <c r="K7" s="179"/>
    </row>
    <row r="8" spans="1:11" ht="21.75" customHeight="1">
      <c r="A8" s="189">
        <v>5</v>
      </c>
      <c r="B8" s="190" t="s">
        <v>185</v>
      </c>
      <c r="C8" s="191" t="e">
        <f>VLOOKUP("D",STYCZEŃ!I$2:$AJ$32,28,0)</f>
        <v>#REF!</v>
      </c>
      <c r="D8" s="192"/>
      <c r="E8" s="192"/>
      <c r="K8" s="179"/>
    </row>
    <row r="9" spans="1:11" ht="21.75" customHeight="1">
      <c r="A9" s="189">
        <v>6</v>
      </c>
      <c r="B9" s="183" t="s">
        <v>186</v>
      </c>
      <c r="C9" s="184" t="e">
        <f>VLOOKUP("D",STYCZEŃ!J$2:$AJ$32,27,0)</f>
        <v>#REF!</v>
      </c>
      <c r="D9" s="188"/>
      <c r="E9" s="188"/>
      <c r="K9" s="179"/>
    </row>
    <row r="10" spans="1:11" ht="21.75" customHeight="1">
      <c r="A10" s="189">
        <v>7</v>
      </c>
      <c r="B10" s="190" t="s">
        <v>187</v>
      </c>
      <c r="C10" s="191" t="e">
        <f>VLOOKUP("D",STYCZEŃ!K$2:$AJ$32,26,0)</f>
        <v>#REF!</v>
      </c>
      <c r="D10" s="192"/>
      <c r="E10" s="192"/>
      <c r="K10" s="179"/>
    </row>
    <row r="11" spans="1:11" ht="21.75" customHeight="1">
      <c r="A11" s="189">
        <v>8</v>
      </c>
      <c r="B11" s="190" t="s">
        <v>181</v>
      </c>
      <c r="C11" s="191" t="e">
        <f>VLOOKUP("D",STYCZEŃ!L$2:$AJ$32,25,0)</f>
        <v>#REF!</v>
      </c>
      <c r="D11" s="193" t="s">
        <v>188</v>
      </c>
      <c r="E11" s="192"/>
      <c r="K11" s="179"/>
    </row>
    <row r="12" spans="1:11" ht="21.75" customHeight="1">
      <c r="A12" s="186">
        <v>9</v>
      </c>
      <c r="B12" s="183" t="s">
        <v>182</v>
      </c>
      <c r="C12" s="184" t="e">
        <f>VLOOKUP("D",STYCZEŃ!M$2:$AJ$32,24,0)</f>
        <v>#REF!</v>
      </c>
      <c r="D12" s="188"/>
      <c r="E12" s="188"/>
      <c r="K12" s="179"/>
    </row>
    <row r="13" spans="1:11" ht="21.75" customHeight="1">
      <c r="A13" s="186">
        <v>10</v>
      </c>
      <c r="B13" s="183" t="s">
        <v>183</v>
      </c>
      <c r="C13" s="184" t="e">
        <f>VLOOKUP("D",STYCZEŃ!N$2:$AJ$32,23,0)</f>
        <v>#REF!</v>
      </c>
      <c r="D13" s="188"/>
      <c r="E13" s="188"/>
      <c r="K13" s="179"/>
    </row>
    <row r="14" spans="1:11" ht="21.75" customHeight="1">
      <c r="A14" s="189">
        <v>11</v>
      </c>
      <c r="B14" s="190" t="s">
        <v>184</v>
      </c>
      <c r="C14" s="191" t="e">
        <f>VLOOKUP("D",STYCZEŃ!O$2:$AJ$32,22,0)</f>
        <v>#REF!</v>
      </c>
      <c r="D14" s="192"/>
      <c r="E14" s="192"/>
      <c r="K14" s="179"/>
    </row>
    <row r="15" spans="1:11" ht="21.75" customHeight="1">
      <c r="A15" s="189">
        <v>12</v>
      </c>
      <c r="B15" s="190" t="s">
        <v>185</v>
      </c>
      <c r="C15" s="191" t="e">
        <f>VLOOKUP("D",STYCZEŃ!P$2:$AJ$32,21,0)</f>
        <v>#REF!</v>
      </c>
      <c r="D15" s="192"/>
      <c r="E15" s="192"/>
      <c r="K15" s="179"/>
    </row>
    <row r="16" spans="1:11" ht="21.75" customHeight="1">
      <c r="A16" s="189">
        <v>13</v>
      </c>
      <c r="B16" s="190" t="s">
        <v>186</v>
      </c>
      <c r="C16" s="191" t="e">
        <f>VLOOKUP("D",STYCZEŃ!Q$2:$AJ$32,20,0)</f>
        <v>#REF!</v>
      </c>
      <c r="D16" s="192"/>
      <c r="E16" s="192"/>
      <c r="K16" s="179"/>
    </row>
    <row r="17" spans="1:11" ht="21.75" customHeight="1">
      <c r="A17" s="189">
        <v>14</v>
      </c>
      <c r="B17" s="190" t="s">
        <v>187</v>
      </c>
      <c r="C17" s="191" t="e">
        <f>VLOOKUP("D",STYCZEŃ!R$2:$AJ$32,19,0)</f>
        <v>#REF!</v>
      </c>
      <c r="D17" s="192"/>
      <c r="E17" s="192"/>
      <c r="K17" s="179"/>
    </row>
    <row r="18" spans="1:11" ht="21.75" customHeight="1">
      <c r="A18" s="189">
        <v>15</v>
      </c>
      <c r="B18" s="190" t="s">
        <v>181</v>
      </c>
      <c r="C18" s="191" t="e">
        <f>VLOOKUP("D",STYCZEŃ!S$2:$AJ$32,18,0)</f>
        <v>#REF!</v>
      </c>
      <c r="D18" s="192"/>
      <c r="E18" s="192"/>
      <c r="K18" s="179"/>
    </row>
    <row r="19" spans="1:11" ht="21.75" customHeight="1">
      <c r="A19" s="186">
        <v>16</v>
      </c>
      <c r="B19" s="183" t="s">
        <v>182</v>
      </c>
      <c r="C19" s="184" t="e">
        <f>VLOOKUP("D",STYCZEŃ!T$2:$AJ$32,17,0)</f>
        <v>#REF!</v>
      </c>
      <c r="D19" s="188"/>
      <c r="E19" s="188"/>
      <c r="K19" s="179"/>
    </row>
    <row r="20" spans="1:11" ht="21.75" customHeight="1">
      <c r="A20" s="186">
        <v>17</v>
      </c>
      <c r="B20" s="183" t="s">
        <v>183</v>
      </c>
      <c r="C20" s="184" t="e">
        <f>VLOOKUP("D",STYCZEŃ!U$2:$AJ$32,16,0)</f>
        <v>#REF!</v>
      </c>
      <c r="D20" s="188"/>
      <c r="E20" s="188"/>
      <c r="K20" s="179"/>
    </row>
    <row r="21" spans="1:11" ht="21.75" customHeight="1">
      <c r="A21" s="189">
        <v>18</v>
      </c>
      <c r="B21" s="190" t="s">
        <v>184</v>
      </c>
      <c r="C21" s="191" t="e">
        <f>VLOOKUP("D",STYCZEŃ!V$2:$AJ$32,15,0)</f>
        <v>#REF!</v>
      </c>
      <c r="D21" s="192"/>
      <c r="E21" s="192"/>
      <c r="K21" s="179"/>
    </row>
    <row r="22" spans="1:11" ht="21.75" customHeight="1">
      <c r="A22" s="189">
        <v>19</v>
      </c>
      <c r="B22" s="190" t="s">
        <v>185</v>
      </c>
      <c r="C22" s="191" t="e">
        <f>VLOOKUP("D",STYCZEŃ!W$2:$AJ$32,14,0)</f>
        <v>#REF!</v>
      </c>
      <c r="D22" s="192"/>
      <c r="E22" s="192"/>
      <c r="K22" s="179"/>
    </row>
    <row r="23" spans="1:11" ht="21.75" customHeight="1">
      <c r="A23" s="189">
        <v>20</v>
      </c>
      <c r="B23" s="190" t="s">
        <v>186</v>
      </c>
      <c r="C23" s="191" t="e">
        <f>VLOOKUP("D",STYCZEŃ!X$2:$AJ$32,13,0)</f>
        <v>#REF!</v>
      </c>
      <c r="D23" s="192"/>
      <c r="E23" s="192"/>
      <c r="K23" s="179"/>
    </row>
    <row r="24" spans="1:11" ht="21.75" customHeight="1">
      <c r="A24" s="189">
        <v>21</v>
      </c>
      <c r="B24" s="190" t="s">
        <v>187</v>
      </c>
      <c r="C24" s="191" t="e">
        <f>VLOOKUP("D",STYCZEŃ!Y$2:$AJ$32,12,0)</f>
        <v>#REF!</v>
      </c>
      <c r="D24" s="192"/>
      <c r="E24" s="192"/>
      <c r="K24" s="179"/>
    </row>
    <row r="25" spans="1:11" ht="21.75" customHeight="1">
      <c r="A25" s="189">
        <v>22</v>
      </c>
      <c r="B25" s="190" t="s">
        <v>181</v>
      </c>
      <c r="C25" s="191" t="e">
        <f>VLOOKUP("D",STYCZEŃ!Z$2:$AJ$32,11,0)</f>
        <v>#REF!</v>
      </c>
      <c r="D25" s="192"/>
      <c r="E25" s="192"/>
      <c r="K25" s="179"/>
    </row>
    <row r="26" spans="1:11" ht="21.75" customHeight="1">
      <c r="A26" s="186">
        <v>23</v>
      </c>
      <c r="B26" s="183" t="s">
        <v>182</v>
      </c>
      <c r="C26" s="184" t="e">
        <f>VLOOKUP("D",STYCZEŃ!AA$2:$AJ$32,10,0)</f>
        <v>#REF!</v>
      </c>
      <c r="D26" s="188"/>
      <c r="E26" s="188"/>
    </row>
    <row r="27" spans="1:11" ht="21.75" customHeight="1">
      <c r="A27" s="186">
        <v>24</v>
      </c>
      <c r="B27" s="183" t="s">
        <v>183</v>
      </c>
      <c r="C27" s="184" t="e">
        <f>VLOOKUP("D",STYCZEŃ!AB$2:$AJ$32,9,0)</f>
        <v>#REF!</v>
      </c>
      <c r="D27" s="188"/>
      <c r="E27" s="188"/>
    </row>
    <row r="28" spans="1:11" ht="21.75" customHeight="1">
      <c r="A28" s="189">
        <v>25</v>
      </c>
      <c r="B28" s="190" t="s">
        <v>184</v>
      </c>
      <c r="C28" s="191" t="e">
        <f>VLOOKUP("D",STYCZEŃ!AC$2:$AJ$32,8,0)</f>
        <v>#REF!</v>
      </c>
      <c r="D28" s="192"/>
      <c r="E28" s="192"/>
    </row>
    <row r="29" spans="1:11" ht="21.75" customHeight="1">
      <c r="A29" s="189">
        <v>26</v>
      </c>
      <c r="B29" s="190" t="s">
        <v>185</v>
      </c>
      <c r="C29" s="191" t="e">
        <f>VLOOKUP("D",STYCZEŃ!AD$2:$AJ$32,7,0)</f>
        <v>#REF!</v>
      </c>
      <c r="D29" s="192"/>
      <c r="E29" s="192"/>
    </row>
    <row r="30" spans="1:11" ht="21.75" customHeight="1">
      <c r="A30" s="189">
        <v>27</v>
      </c>
      <c r="B30" s="190" t="s">
        <v>186</v>
      </c>
      <c r="C30" s="191" t="e">
        <f>VLOOKUP("D",STYCZEŃ!AE$2:$AJ$32,6,0)</f>
        <v>#REF!</v>
      </c>
      <c r="D30" s="192"/>
      <c r="E30" s="192"/>
    </row>
    <row r="31" spans="1:11" ht="21.75" customHeight="1">
      <c r="A31" s="189">
        <v>28</v>
      </c>
      <c r="B31" s="190" t="s">
        <v>187</v>
      </c>
      <c r="C31" s="191" t="e">
        <f>VLOOKUP("D",STYCZEŃ!AF$2:$AJ$32,5,0)</f>
        <v>#REF!</v>
      </c>
      <c r="D31" s="192"/>
      <c r="E31" s="192"/>
    </row>
    <row r="32" spans="1:11" ht="21.75" customHeight="1">
      <c r="A32" s="189">
        <v>29</v>
      </c>
      <c r="B32" s="190" t="s">
        <v>181</v>
      </c>
      <c r="C32" s="191" t="e">
        <f>VLOOKUP("D",STYCZEŃ!AG$2:$AJ$32,4,0)</f>
        <v>#REF!</v>
      </c>
      <c r="D32" s="192"/>
      <c r="E32" s="192"/>
    </row>
    <row r="33" spans="1:5" ht="21.75" customHeight="1">
      <c r="A33" s="186">
        <v>30</v>
      </c>
      <c r="B33" s="183" t="s">
        <v>182</v>
      </c>
      <c r="C33" s="184" t="e">
        <f>VLOOKUP("D",STYCZEŃ!AH$2:$AJ$32,3,0)</f>
        <v>#REF!</v>
      </c>
      <c r="D33" s="188"/>
      <c r="E33" s="188"/>
    </row>
    <row r="34" spans="1:5" ht="19.5" customHeight="1">
      <c r="A34" s="186">
        <v>31</v>
      </c>
      <c r="B34" s="183" t="s">
        <v>183</v>
      </c>
      <c r="C34" s="184" t="e">
        <f>VLOOKUP("D",STYCZEŃ!AI$2:$AJ$32,2,0)</f>
        <v>#N/A</v>
      </c>
      <c r="D34" s="194"/>
      <c r="E34" s="194"/>
    </row>
  </sheetData>
  <mergeCells count="3">
    <mergeCell ref="B1:E1"/>
    <mergeCell ref="A2:E2"/>
    <mergeCell ref="A3:B3"/>
  </mergeCells>
  <pageMargins left="0.23611111111111099" right="0.23611111111111099" top="0.15763888888888899" bottom="0.15763888888888899" header="0.51180555555555496" footer="0.51180555555555496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MJ119"/>
  <sheetViews>
    <sheetView zoomScaleNormal="100" workbookViewId="0">
      <pane ySplit="1" topLeftCell="A62" activePane="bottomLeft" state="frozen"/>
      <selection pane="bottomLeft" activeCell="AE73" sqref="AE73"/>
    </sheetView>
  </sheetViews>
  <sheetFormatPr defaultColWidth="8.84375" defaultRowHeight="14.6"/>
  <cols>
    <col min="1" max="1" width="6" style="1" customWidth="1"/>
    <col min="2" max="2" width="4.3046875" style="1" customWidth="1"/>
    <col min="3" max="3" width="20" style="7" customWidth="1"/>
    <col min="4" max="4" width="6.3046875" style="1" customWidth="1"/>
    <col min="5" max="32" width="3.53515625" style="1" customWidth="1"/>
    <col min="33" max="33" width="18" style="1" hidden="1" customWidth="1"/>
    <col min="34" max="35" width="8.84375" style="8"/>
    <col min="36" max="36" width="7.3046875" style="1" customWidth="1"/>
    <col min="37" max="37" width="7.69140625" style="1" customWidth="1"/>
    <col min="38" max="38" width="7.3046875" style="1" customWidth="1"/>
    <col min="39" max="41" width="8.84375" style="1"/>
    <col min="42" max="42" width="20.3046875" style="1" customWidth="1"/>
    <col min="43" max="1024" width="8.84375" style="1"/>
  </cols>
  <sheetData>
    <row r="1" spans="1:43" ht="54" customHeight="1">
      <c r="A1" s="1" t="s">
        <v>52</v>
      </c>
      <c r="D1" s="123">
        <v>44228</v>
      </c>
      <c r="E1" s="84">
        <v>44228</v>
      </c>
      <c r="F1" s="195">
        <v>44229</v>
      </c>
      <c r="G1" s="195">
        <v>44230</v>
      </c>
      <c r="H1" s="195">
        <v>44231</v>
      </c>
      <c r="I1" s="195">
        <v>44232</v>
      </c>
      <c r="J1" s="196">
        <v>44233</v>
      </c>
      <c r="K1" s="196">
        <v>44234</v>
      </c>
      <c r="L1" s="195">
        <v>44235</v>
      </c>
      <c r="M1" s="195">
        <v>44236</v>
      </c>
      <c r="N1" s="195">
        <v>44237</v>
      </c>
      <c r="O1" s="195">
        <v>44238</v>
      </c>
      <c r="P1" s="195">
        <v>44239</v>
      </c>
      <c r="Q1" s="196">
        <v>44240</v>
      </c>
      <c r="R1" s="196">
        <v>44241</v>
      </c>
      <c r="S1" s="195">
        <v>44242</v>
      </c>
      <c r="T1" s="195">
        <v>44243</v>
      </c>
      <c r="U1" s="195">
        <v>44244</v>
      </c>
      <c r="V1" s="195">
        <v>44245</v>
      </c>
      <c r="W1" s="195">
        <v>44246</v>
      </c>
      <c r="X1" s="196">
        <v>44247</v>
      </c>
      <c r="Y1" s="196">
        <v>44248</v>
      </c>
      <c r="Z1" s="195">
        <v>44249</v>
      </c>
      <c r="AA1" s="195">
        <v>44250</v>
      </c>
      <c r="AB1" s="195">
        <v>44251</v>
      </c>
      <c r="AC1" s="195">
        <v>44252</v>
      </c>
      <c r="AD1" s="195">
        <v>44253</v>
      </c>
      <c r="AE1" s="196">
        <v>44254</v>
      </c>
      <c r="AF1" s="197">
        <v>44255</v>
      </c>
      <c r="AG1" s="128"/>
      <c r="AH1" s="15">
        <f>20*8</f>
        <v>160</v>
      </c>
      <c r="AI1" s="129">
        <v>44286</v>
      </c>
      <c r="AJ1" s="16" t="s">
        <v>53</v>
      </c>
      <c r="AK1" s="17" t="s">
        <v>54</v>
      </c>
      <c r="AL1" s="18" t="s">
        <v>55</v>
      </c>
      <c r="AM1" s="1" t="s">
        <v>56</v>
      </c>
      <c r="AN1" s="1" t="s">
        <v>57</v>
      </c>
    </row>
    <row r="2" spans="1:43" ht="15.9">
      <c r="A2" s="1" t="s">
        <v>58</v>
      </c>
      <c r="B2" s="1" t="s">
        <v>59</v>
      </c>
      <c r="C2" s="198" t="s">
        <v>60</v>
      </c>
      <c r="D2" s="199" t="e">
        <f>STYCZEŃ!AK2+STYCZEŃ!D2</f>
        <v>#REF!</v>
      </c>
      <c r="E2" s="200"/>
      <c r="F2" s="22"/>
      <c r="G2" s="22"/>
      <c r="H2" s="22"/>
      <c r="I2" s="22" t="s">
        <v>69</v>
      </c>
      <c r="J2" s="201" t="s">
        <v>70</v>
      </c>
      <c r="K2" s="201" t="s">
        <v>70</v>
      </c>
      <c r="L2" s="22" t="s">
        <v>69</v>
      </c>
      <c r="M2" s="22" t="s">
        <v>66</v>
      </c>
      <c r="N2" s="22" t="s">
        <v>66</v>
      </c>
      <c r="O2" s="22" t="s">
        <v>66</v>
      </c>
      <c r="P2" s="22" t="s">
        <v>66</v>
      </c>
      <c r="Q2" s="201"/>
      <c r="R2" s="201"/>
      <c r="S2" s="22" t="s">
        <v>69</v>
      </c>
      <c r="T2" s="22" t="s">
        <v>70</v>
      </c>
      <c r="U2" s="22" t="s">
        <v>70</v>
      </c>
      <c r="V2" s="22" t="s">
        <v>70</v>
      </c>
      <c r="W2" s="22" t="s">
        <v>70</v>
      </c>
      <c r="X2" s="201" t="s">
        <v>70</v>
      </c>
      <c r="Y2" s="201" t="s">
        <v>70</v>
      </c>
      <c r="Z2" s="22" t="s">
        <v>69</v>
      </c>
      <c r="AA2" s="22"/>
      <c r="AB2" s="22" t="s">
        <v>189</v>
      </c>
      <c r="AC2" s="22"/>
      <c r="AD2" s="22"/>
      <c r="AE2" s="201" t="s">
        <v>66</v>
      </c>
      <c r="AF2" s="202" t="s">
        <v>66</v>
      </c>
      <c r="AG2" s="26" t="e">
        <f>_xlfn.CONCAT(#REF!,Tabela13[[#This Row],[FUNKCJONARIUSZ]])</f>
        <v>#REF!</v>
      </c>
      <c r="AH2" s="27" t="e">
        <f t="shared" ref="AH2:AH32" si="0">AJ2+AK2+AL2-$AH$1+AM2+AN2+D2</f>
        <v>#REF!</v>
      </c>
      <c r="AI2" s="27" t="e">
        <f>MARZEC!AK2</f>
        <v>#REF!</v>
      </c>
      <c r="AJ2" s="28">
        <f t="shared" ref="AJ2:AJ32" si="1">COUNTIF(E2:AF2,"D")*24+COUNTIF(E2:AF2,"12g")*12</f>
        <v>0</v>
      </c>
      <c r="AK2">
        <f t="shared" ref="AK2:AK32" si="2">SUM(COUNTIF(E2:AF2,"k")+COUNTIF(E2:AF2,"s")+COUNTIF(E2:AF2,"wse"))*24+SUM(COUNTIF(E2:AF2,"Pk")+COUNTIF(E2:AF2,"Ps"))*12</f>
        <v>240</v>
      </c>
      <c r="AL2" s="29">
        <f t="shared" ref="AL2:AL32" si="3">SUM(E2:AF2)+COUNTIF(E2:AF2,"uw")*8+COUNTIF(E2:AF2,"us")*8+COUNTIF(E2:AF2,"uz")*8</f>
        <v>0</v>
      </c>
      <c r="AM2" s="1">
        <f t="shared" ref="AM2:AM32" si="4">COUNTIF(A2:AE2,"DT")*8</f>
        <v>0</v>
      </c>
      <c r="AN2" s="1">
        <v>0</v>
      </c>
    </row>
    <row r="3" spans="1:43" ht="15.9">
      <c r="A3" s="1" t="s">
        <v>63</v>
      </c>
      <c r="B3" s="1" t="s">
        <v>64</v>
      </c>
      <c r="C3" s="203" t="s">
        <v>65</v>
      </c>
      <c r="D3" s="199" t="e">
        <f>STYCZEŃ!AK3+STYCZEŃ!D3</f>
        <v>#REF!</v>
      </c>
      <c r="E3" s="204" t="s">
        <v>88</v>
      </c>
      <c r="F3" s="32" t="s">
        <v>88</v>
      </c>
      <c r="G3" s="32" t="s">
        <v>88</v>
      </c>
      <c r="H3" s="32" t="s">
        <v>88</v>
      </c>
      <c r="I3" s="32" t="s">
        <v>88</v>
      </c>
      <c r="J3" s="36" t="s">
        <v>66</v>
      </c>
      <c r="K3" s="36" t="s">
        <v>66</v>
      </c>
      <c r="L3" s="32" t="s">
        <v>88</v>
      </c>
      <c r="M3" s="32" t="s">
        <v>88</v>
      </c>
      <c r="N3" s="32" t="s">
        <v>75</v>
      </c>
      <c r="O3" s="32" t="s">
        <v>75</v>
      </c>
      <c r="P3" s="32" t="s">
        <v>75</v>
      </c>
      <c r="Q3" s="36" t="s">
        <v>66</v>
      </c>
      <c r="R3" s="36" t="s">
        <v>66</v>
      </c>
      <c r="S3" s="32" t="s">
        <v>75</v>
      </c>
      <c r="T3" s="32" t="s">
        <v>75</v>
      </c>
      <c r="U3" s="32" t="s">
        <v>75</v>
      </c>
      <c r="V3" s="32" t="s">
        <v>75</v>
      </c>
      <c r="W3" s="32" t="s">
        <v>75</v>
      </c>
      <c r="X3" s="36" t="s">
        <v>66</v>
      </c>
      <c r="Y3" s="36" t="s">
        <v>66</v>
      </c>
      <c r="Z3" s="32" t="s">
        <v>75</v>
      </c>
      <c r="AA3" s="32" t="s">
        <v>75</v>
      </c>
      <c r="AB3" s="32"/>
      <c r="AC3" s="32"/>
      <c r="AD3" s="32"/>
      <c r="AE3" s="36"/>
      <c r="AF3" s="205"/>
      <c r="AG3" s="26" t="e">
        <f>_xlfn.CONCAT(#REF!,Tabela13[[#This Row],[FUNKCJONARIUSZ]])</f>
        <v>#REF!</v>
      </c>
      <c r="AH3" s="27" t="e">
        <f t="shared" si="0"/>
        <v>#REF!</v>
      </c>
      <c r="AI3" s="27" t="e">
        <f>MARZEC!AK3</f>
        <v>#REF!</v>
      </c>
      <c r="AJ3" s="28">
        <f t="shared" si="1"/>
        <v>0</v>
      </c>
      <c r="AK3">
        <f t="shared" si="2"/>
        <v>0</v>
      </c>
      <c r="AL3" s="29">
        <f t="shared" si="3"/>
        <v>136</v>
      </c>
      <c r="AM3" s="1">
        <f t="shared" si="4"/>
        <v>0</v>
      </c>
      <c r="AN3" s="1">
        <v>0</v>
      </c>
    </row>
    <row r="4" spans="1:43" ht="15.9">
      <c r="A4" s="1" t="s">
        <v>67</v>
      </c>
      <c r="B4" s="1" t="s">
        <v>64</v>
      </c>
      <c r="C4" s="203" t="s">
        <v>68</v>
      </c>
      <c r="D4" s="199" t="e">
        <f>STYCZEŃ!AK4+STYCZEŃ!D4</f>
        <v>#REF!</v>
      </c>
      <c r="E4" s="204"/>
      <c r="F4" s="32"/>
      <c r="G4" s="32"/>
      <c r="H4" s="32"/>
      <c r="I4" s="32"/>
      <c r="J4" s="36"/>
      <c r="K4" s="36"/>
      <c r="L4" s="32"/>
      <c r="M4" s="32"/>
      <c r="N4" s="32"/>
      <c r="O4" s="32"/>
      <c r="P4" s="32"/>
      <c r="Q4" s="36"/>
      <c r="R4" s="36"/>
      <c r="S4" s="32" t="s">
        <v>69</v>
      </c>
      <c r="T4" s="32" t="s">
        <v>70</v>
      </c>
      <c r="U4" s="32" t="s">
        <v>70</v>
      </c>
      <c r="V4" s="32" t="s">
        <v>70</v>
      </c>
      <c r="W4" s="32" t="s">
        <v>70</v>
      </c>
      <c r="X4" s="36" t="s">
        <v>70</v>
      </c>
      <c r="Y4" s="36" t="s">
        <v>70</v>
      </c>
      <c r="Z4" s="32" t="s">
        <v>69</v>
      </c>
      <c r="AA4" s="32" t="s">
        <v>66</v>
      </c>
      <c r="AB4" s="32" t="s">
        <v>66</v>
      </c>
      <c r="AC4" s="32" t="s">
        <v>66</v>
      </c>
      <c r="AD4" s="32" t="s">
        <v>66</v>
      </c>
      <c r="AE4" s="36" t="s">
        <v>66</v>
      </c>
      <c r="AF4" s="205" t="s">
        <v>66</v>
      </c>
      <c r="AG4" s="26" t="e">
        <f>_xlfn.CONCAT(#REF!,Tabela13[[#This Row],[FUNKCJONARIUSZ]])</f>
        <v>#REF!</v>
      </c>
      <c r="AH4" s="27" t="e">
        <f t="shared" si="0"/>
        <v>#REF!</v>
      </c>
      <c r="AI4" s="27" t="e">
        <f>MARZEC!AK4</f>
        <v>#REF!</v>
      </c>
      <c r="AJ4" s="28">
        <f t="shared" si="1"/>
        <v>0</v>
      </c>
      <c r="AK4">
        <f t="shared" si="2"/>
        <v>168</v>
      </c>
      <c r="AL4" s="29">
        <f t="shared" si="3"/>
        <v>0</v>
      </c>
      <c r="AM4" s="1">
        <f t="shared" si="4"/>
        <v>0</v>
      </c>
      <c r="AN4" s="1">
        <v>0</v>
      </c>
    </row>
    <row r="5" spans="1:43" ht="15.9">
      <c r="A5" s="1" t="s">
        <v>63</v>
      </c>
      <c r="B5" s="1" t="s">
        <v>64</v>
      </c>
      <c r="C5" s="206" t="s">
        <v>71</v>
      </c>
      <c r="D5" s="199" t="e">
        <f>STYCZEŃ!AK5+STYCZEŃ!D5</f>
        <v>#REF!</v>
      </c>
      <c r="E5" s="204"/>
      <c r="F5" s="32"/>
      <c r="G5" s="32"/>
      <c r="H5" s="32"/>
      <c r="I5" s="32"/>
      <c r="J5" s="36"/>
      <c r="K5" s="36"/>
      <c r="L5" s="32" t="s">
        <v>69</v>
      </c>
      <c r="M5" s="32" t="s">
        <v>70</v>
      </c>
      <c r="N5" s="32" t="s">
        <v>70</v>
      </c>
      <c r="O5" s="32" t="s">
        <v>70</v>
      </c>
      <c r="P5" s="32" t="s">
        <v>70</v>
      </c>
      <c r="Q5" s="36" t="s">
        <v>70</v>
      </c>
      <c r="R5" s="36" t="s">
        <v>70</v>
      </c>
      <c r="S5" s="32" t="s">
        <v>69</v>
      </c>
      <c r="T5" s="32" t="s">
        <v>66</v>
      </c>
      <c r="U5" s="32" t="s">
        <v>66</v>
      </c>
      <c r="V5" s="32" t="s">
        <v>66</v>
      </c>
      <c r="W5" s="32" t="s">
        <v>66</v>
      </c>
      <c r="X5" s="36" t="s">
        <v>66</v>
      </c>
      <c r="Y5" s="36" t="s">
        <v>66</v>
      </c>
      <c r="Z5" s="32" t="s">
        <v>66</v>
      </c>
      <c r="AA5" s="32"/>
      <c r="AB5" s="32"/>
      <c r="AC5" s="32"/>
      <c r="AD5" s="32" t="s">
        <v>113</v>
      </c>
      <c r="AE5" s="36"/>
      <c r="AF5" s="205"/>
      <c r="AG5" s="26" t="e">
        <f>_xlfn.CONCAT(#REF!,Tabela13[[#This Row],[FUNKCJONARIUSZ]])</f>
        <v>#REF!</v>
      </c>
      <c r="AH5" s="27" t="e">
        <f t="shared" si="0"/>
        <v>#REF!</v>
      </c>
      <c r="AI5" s="27" t="e">
        <f>MARZEC!AK5</f>
        <v>#REF!</v>
      </c>
      <c r="AJ5" s="28">
        <f t="shared" si="1"/>
        <v>24</v>
      </c>
      <c r="AK5">
        <f t="shared" si="2"/>
        <v>168</v>
      </c>
      <c r="AL5" s="29">
        <f t="shared" si="3"/>
        <v>0</v>
      </c>
      <c r="AM5" s="1">
        <f t="shared" si="4"/>
        <v>0</v>
      </c>
      <c r="AN5" s="1">
        <v>0</v>
      </c>
      <c r="AO5" s="36" t="s">
        <v>59</v>
      </c>
      <c r="AP5" s="1" t="s">
        <v>72</v>
      </c>
      <c r="AQ5" s="1">
        <v>24</v>
      </c>
    </row>
    <row r="6" spans="1:43" ht="15.9">
      <c r="A6" s="1" t="s">
        <v>67</v>
      </c>
      <c r="B6" s="1" t="s">
        <v>73</v>
      </c>
      <c r="C6" s="203" t="s">
        <v>74</v>
      </c>
      <c r="D6" s="199" t="e">
        <f>STYCZEŃ!AK6+STYCZEŃ!D6</f>
        <v>#REF!</v>
      </c>
      <c r="E6" s="204" t="s">
        <v>69</v>
      </c>
      <c r="F6" s="32" t="s">
        <v>66</v>
      </c>
      <c r="G6" s="32" t="s">
        <v>66</v>
      </c>
      <c r="H6" s="32" t="s">
        <v>66</v>
      </c>
      <c r="I6" s="32" t="s">
        <v>66</v>
      </c>
      <c r="J6" s="36" t="s">
        <v>66</v>
      </c>
      <c r="K6" s="36" t="s">
        <v>66</v>
      </c>
      <c r="L6" s="32" t="s">
        <v>66</v>
      </c>
      <c r="M6" s="32" t="s">
        <v>66</v>
      </c>
      <c r="N6" s="32" t="s">
        <v>66</v>
      </c>
      <c r="O6" s="32" t="s">
        <v>66</v>
      </c>
      <c r="P6" s="32" t="s">
        <v>66</v>
      </c>
      <c r="Q6" s="36" t="s">
        <v>66</v>
      </c>
      <c r="R6" s="36" t="s">
        <v>66</v>
      </c>
      <c r="S6" s="32" t="s">
        <v>66</v>
      </c>
      <c r="T6" s="32" t="s">
        <v>66</v>
      </c>
      <c r="U6" s="32" t="s">
        <v>66</v>
      </c>
      <c r="V6" s="32" t="s">
        <v>66</v>
      </c>
      <c r="W6" s="32"/>
      <c r="X6" s="36"/>
      <c r="Y6" s="36"/>
      <c r="Z6" s="32"/>
      <c r="AA6" s="32"/>
      <c r="AB6" s="32"/>
      <c r="AC6" s="32"/>
      <c r="AD6" s="32"/>
      <c r="AE6" s="36"/>
      <c r="AF6" s="205"/>
      <c r="AG6" s="26" t="e">
        <f>_xlfn.CONCAT(#REF!,Tabela13[[#This Row],[FUNKCJONARIUSZ]])</f>
        <v>#REF!</v>
      </c>
      <c r="AH6" s="27" t="e">
        <f t="shared" si="0"/>
        <v>#REF!</v>
      </c>
      <c r="AI6" s="27" t="e">
        <f>MARZEC!AK6</f>
        <v>#REF!</v>
      </c>
      <c r="AJ6" s="28">
        <f t="shared" si="1"/>
        <v>0</v>
      </c>
      <c r="AK6">
        <f t="shared" si="2"/>
        <v>12</v>
      </c>
      <c r="AL6" s="29">
        <f t="shared" si="3"/>
        <v>0</v>
      </c>
      <c r="AM6" s="1">
        <f t="shared" si="4"/>
        <v>0</v>
      </c>
      <c r="AN6" s="1">
        <v>0</v>
      </c>
      <c r="AO6" s="36" t="s">
        <v>76</v>
      </c>
      <c r="AP6" s="1" t="s">
        <v>77</v>
      </c>
      <c r="AQ6" s="1">
        <v>12</v>
      </c>
    </row>
    <row r="7" spans="1:43" ht="15.9">
      <c r="A7" s="1" t="s">
        <v>67</v>
      </c>
      <c r="B7" s="1" t="s">
        <v>59</v>
      </c>
      <c r="C7" s="30" t="s">
        <v>78</v>
      </c>
      <c r="D7" s="199" t="e">
        <f>STYCZEŃ!AK7+STYCZEŃ!D7</f>
        <v>#REF!</v>
      </c>
      <c r="E7" s="204"/>
      <c r="F7" s="32"/>
      <c r="G7" s="32"/>
      <c r="H7" s="32" t="s">
        <v>88</v>
      </c>
      <c r="I7" s="32" t="s">
        <v>88</v>
      </c>
      <c r="J7" s="36" t="s">
        <v>66</v>
      </c>
      <c r="K7" s="36" t="s">
        <v>66</v>
      </c>
      <c r="L7" s="32"/>
      <c r="M7" s="32"/>
      <c r="N7" s="32"/>
      <c r="O7" s="32"/>
      <c r="P7" s="32" t="s">
        <v>69</v>
      </c>
      <c r="Q7" s="36" t="s">
        <v>70</v>
      </c>
      <c r="R7" s="36" t="s">
        <v>70</v>
      </c>
      <c r="S7" s="32" t="s">
        <v>69</v>
      </c>
      <c r="T7" s="32" t="s">
        <v>88</v>
      </c>
      <c r="U7" s="32" t="s">
        <v>88</v>
      </c>
      <c r="V7" s="32" t="s">
        <v>88</v>
      </c>
      <c r="W7" s="32" t="s">
        <v>88</v>
      </c>
      <c r="X7" s="36" t="s">
        <v>66</v>
      </c>
      <c r="Y7" s="36"/>
      <c r="Z7" s="32"/>
      <c r="AA7" s="32" t="s">
        <v>69</v>
      </c>
      <c r="AB7" s="32" t="s">
        <v>70</v>
      </c>
      <c r="AC7" s="32" t="s">
        <v>70</v>
      </c>
      <c r="AD7" s="32" t="s">
        <v>69</v>
      </c>
      <c r="AE7" s="36"/>
      <c r="AF7" s="205"/>
      <c r="AG7" s="26" t="e">
        <f>_xlfn.CONCAT(#REF!,Tabela13[[#This Row],[FUNKCJONARIUSZ]])</f>
        <v>#REF!</v>
      </c>
      <c r="AH7" s="27" t="e">
        <f t="shared" si="0"/>
        <v>#REF!</v>
      </c>
      <c r="AI7" s="27" t="e">
        <f>MARZEC!AK7</f>
        <v>#REF!</v>
      </c>
      <c r="AJ7" s="28">
        <f t="shared" si="1"/>
        <v>0</v>
      </c>
      <c r="AK7">
        <f t="shared" si="2"/>
        <v>144</v>
      </c>
      <c r="AL7" s="29">
        <f t="shared" si="3"/>
        <v>48</v>
      </c>
      <c r="AM7" s="1">
        <f t="shared" si="4"/>
        <v>0</v>
      </c>
      <c r="AN7" s="1">
        <v>0</v>
      </c>
      <c r="AO7" s="36" t="s">
        <v>69</v>
      </c>
      <c r="AP7" s="1" t="s">
        <v>79</v>
      </c>
      <c r="AQ7" s="1">
        <v>12</v>
      </c>
    </row>
    <row r="8" spans="1:43" ht="15.9">
      <c r="A8" s="1" t="s">
        <v>67</v>
      </c>
      <c r="B8" s="1" t="s">
        <v>59</v>
      </c>
      <c r="C8" s="203" t="s">
        <v>80</v>
      </c>
      <c r="D8" s="199" t="e">
        <f>STYCZEŃ!AK8+STYCZEŃ!D8</f>
        <v>#REF!</v>
      </c>
      <c r="E8" s="204" t="s">
        <v>69</v>
      </c>
      <c r="F8" s="32" t="s">
        <v>70</v>
      </c>
      <c r="G8" s="32" t="s">
        <v>70</v>
      </c>
      <c r="H8" s="32" t="s">
        <v>70</v>
      </c>
      <c r="I8" s="32" t="s">
        <v>69</v>
      </c>
      <c r="J8" s="36" t="s">
        <v>66</v>
      </c>
      <c r="K8" s="36" t="s">
        <v>66</v>
      </c>
      <c r="L8" s="32" t="s">
        <v>66</v>
      </c>
      <c r="M8" s="32" t="s">
        <v>66</v>
      </c>
      <c r="N8" s="32"/>
      <c r="O8" s="32"/>
      <c r="P8" s="32"/>
      <c r="Q8" s="36"/>
      <c r="R8" s="36"/>
      <c r="S8" s="32" t="s">
        <v>113</v>
      </c>
      <c r="T8" s="32"/>
      <c r="U8" s="32"/>
      <c r="V8" s="32"/>
      <c r="W8" s="32" t="s">
        <v>88</v>
      </c>
      <c r="X8" s="36" t="s">
        <v>66</v>
      </c>
      <c r="Y8" s="36" t="s">
        <v>66</v>
      </c>
      <c r="Z8" s="32" t="s">
        <v>88</v>
      </c>
      <c r="AA8" s="32" t="s">
        <v>88</v>
      </c>
      <c r="AB8" s="32" t="s">
        <v>88</v>
      </c>
      <c r="AC8" s="32"/>
      <c r="AD8" s="32" t="s">
        <v>69</v>
      </c>
      <c r="AE8" s="36" t="s">
        <v>70</v>
      </c>
      <c r="AF8" s="205" t="s">
        <v>70</v>
      </c>
      <c r="AG8" s="26" t="e">
        <f>_xlfn.CONCAT(#REF!,Tabela13[[#This Row],[FUNKCJONARIUSZ]])</f>
        <v>#REF!</v>
      </c>
      <c r="AH8" s="27" t="e">
        <f t="shared" si="0"/>
        <v>#REF!</v>
      </c>
      <c r="AI8" s="27" t="e">
        <f>MARZEC!AK8</f>
        <v>#REF!</v>
      </c>
      <c r="AJ8" s="28">
        <f t="shared" si="1"/>
        <v>24</v>
      </c>
      <c r="AK8">
        <f t="shared" si="2"/>
        <v>156</v>
      </c>
      <c r="AL8" s="29">
        <f t="shared" si="3"/>
        <v>32</v>
      </c>
      <c r="AM8" s="1">
        <f t="shared" si="4"/>
        <v>0</v>
      </c>
      <c r="AN8" s="1">
        <v>0</v>
      </c>
      <c r="AO8" s="36" t="s">
        <v>70</v>
      </c>
      <c r="AP8" s="1" t="s">
        <v>81</v>
      </c>
      <c r="AQ8" s="1">
        <v>24</v>
      </c>
    </row>
    <row r="9" spans="1:43" ht="15.9">
      <c r="A9" s="1" t="s">
        <v>67</v>
      </c>
      <c r="B9" s="1" t="s">
        <v>59</v>
      </c>
      <c r="C9" s="203" t="s">
        <v>82</v>
      </c>
      <c r="D9" s="199" t="e">
        <f>STYCZEŃ!AK9+STYCZEŃ!D9</f>
        <v>#REF!</v>
      </c>
      <c r="E9" s="204" t="s">
        <v>69</v>
      </c>
      <c r="F9" s="32" t="s">
        <v>66</v>
      </c>
      <c r="G9" s="32" t="s">
        <v>66</v>
      </c>
      <c r="H9" s="32" t="s">
        <v>66</v>
      </c>
      <c r="I9" s="32" t="s">
        <v>66</v>
      </c>
      <c r="J9" s="36" t="s">
        <v>66</v>
      </c>
      <c r="K9" s="36" t="s">
        <v>66</v>
      </c>
      <c r="L9" s="32" t="s">
        <v>66</v>
      </c>
      <c r="M9" s="32"/>
      <c r="N9" s="32"/>
      <c r="O9" s="32"/>
      <c r="P9" s="32"/>
      <c r="Q9" s="36"/>
      <c r="R9" s="36"/>
      <c r="S9" s="32"/>
      <c r="T9" s="32"/>
      <c r="U9" s="32"/>
      <c r="V9" s="32" t="s">
        <v>69</v>
      </c>
      <c r="W9" s="32" t="s">
        <v>70</v>
      </c>
      <c r="X9" s="36" t="s">
        <v>70</v>
      </c>
      <c r="Y9" s="36" t="s">
        <v>70</v>
      </c>
      <c r="Z9" s="32" t="s">
        <v>69</v>
      </c>
      <c r="AA9" s="32"/>
      <c r="AB9" s="32"/>
      <c r="AC9" s="32"/>
      <c r="AD9" s="32"/>
      <c r="AE9" s="36"/>
      <c r="AF9" s="205"/>
      <c r="AG9" s="26" t="e">
        <f>_xlfn.CONCAT(#REF!,Tabela13[[#This Row],[FUNKCJONARIUSZ]])</f>
        <v>#REF!</v>
      </c>
      <c r="AH9" s="27" t="e">
        <f t="shared" si="0"/>
        <v>#REF!</v>
      </c>
      <c r="AI9" s="27" t="e">
        <f>MARZEC!AK9</f>
        <v>#REF!</v>
      </c>
      <c r="AJ9" s="28">
        <f t="shared" si="1"/>
        <v>0</v>
      </c>
      <c r="AK9">
        <f t="shared" si="2"/>
        <v>108</v>
      </c>
      <c r="AL9" s="29">
        <f t="shared" si="3"/>
        <v>0</v>
      </c>
      <c r="AM9" s="1">
        <f t="shared" si="4"/>
        <v>0</v>
      </c>
      <c r="AN9" s="1">
        <v>0</v>
      </c>
      <c r="AO9" s="36" t="s">
        <v>83</v>
      </c>
      <c r="AP9" s="1" t="s">
        <v>84</v>
      </c>
      <c r="AQ9" s="1">
        <v>8</v>
      </c>
    </row>
    <row r="10" spans="1:43" ht="15.9">
      <c r="A10" s="1" t="s">
        <v>58</v>
      </c>
      <c r="B10" s="1" t="s">
        <v>73</v>
      </c>
      <c r="C10" s="203" t="s">
        <v>85</v>
      </c>
      <c r="D10" s="199" t="e">
        <f>STYCZEŃ!AK10+STYCZEŃ!D10</f>
        <v>#REF!</v>
      </c>
      <c r="E10" s="204"/>
      <c r="F10" s="32"/>
      <c r="G10" s="32"/>
      <c r="H10" s="32"/>
      <c r="I10" s="32"/>
      <c r="J10" s="36"/>
      <c r="K10" s="36"/>
      <c r="L10" s="32"/>
      <c r="M10" s="32"/>
      <c r="N10" s="32"/>
      <c r="O10" s="32"/>
      <c r="P10" s="32"/>
      <c r="Q10" s="36"/>
      <c r="R10" s="36"/>
      <c r="S10" s="32"/>
      <c r="T10" s="32"/>
      <c r="U10" s="32"/>
      <c r="V10" s="32"/>
      <c r="W10" s="32"/>
      <c r="X10" s="36"/>
      <c r="Y10" s="36"/>
      <c r="Z10" s="32" t="s">
        <v>69</v>
      </c>
      <c r="AA10" s="32" t="s">
        <v>69</v>
      </c>
      <c r="AB10" s="32" t="s">
        <v>103</v>
      </c>
      <c r="AC10" s="32" t="s">
        <v>103</v>
      </c>
      <c r="AD10" s="32" t="s">
        <v>103</v>
      </c>
      <c r="AE10" s="36" t="s">
        <v>103</v>
      </c>
      <c r="AF10" s="205" t="s">
        <v>103</v>
      </c>
      <c r="AG10" s="26" t="e">
        <f>_xlfn.CONCAT(#REF!,Tabela13[[#This Row],[FUNKCJONARIUSZ]])</f>
        <v>#REF!</v>
      </c>
      <c r="AH10" s="27" t="e">
        <f t="shared" si="0"/>
        <v>#REF!</v>
      </c>
      <c r="AI10" s="27" t="e">
        <f>MARZEC!AK10</f>
        <v>#REF!</v>
      </c>
      <c r="AJ10" s="28">
        <f t="shared" si="1"/>
        <v>0</v>
      </c>
      <c r="AK10">
        <f t="shared" si="2"/>
        <v>24</v>
      </c>
      <c r="AL10" s="29">
        <f t="shared" si="3"/>
        <v>0</v>
      </c>
      <c r="AM10" s="1">
        <f t="shared" si="4"/>
        <v>0</v>
      </c>
      <c r="AN10" s="1">
        <v>0</v>
      </c>
      <c r="AO10" s="36" t="s">
        <v>75</v>
      </c>
      <c r="AP10" s="1" t="s">
        <v>86</v>
      </c>
      <c r="AQ10" s="1">
        <v>8</v>
      </c>
    </row>
    <row r="11" spans="1:43" ht="15.9">
      <c r="A11" s="1" t="s">
        <v>58</v>
      </c>
      <c r="B11" s="1" t="s">
        <v>73</v>
      </c>
      <c r="C11" s="203" t="s">
        <v>87</v>
      </c>
      <c r="D11" s="199" t="e">
        <f>STYCZEŃ!AK11+STYCZEŃ!D11</f>
        <v>#REF!</v>
      </c>
      <c r="E11" s="204" t="s">
        <v>69</v>
      </c>
      <c r="F11" s="32" t="s">
        <v>70</v>
      </c>
      <c r="G11" s="32" t="s">
        <v>70</v>
      </c>
      <c r="H11" s="32" t="s">
        <v>70</v>
      </c>
      <c r="I11" s="32" t="s">
        <v>70</v>
      </c>
      <c r="J11" s="36" t="s">
        <v>70</v>
      </c>
      <c r="K11" s="36" t="s">
        <v>70</v>
      </c>
      <c r="L11" s="32" t="s">
        <v>69</v>
      </c>
      <c r="M11" s="32" t="s">
        <v>66</v>
      </c>
      <c r="N11" s="32" t="s">
        <v>66</v>
      </c>
      <c r="O11" s="32" t="s">
        <v>66</v>
      </c>
      <c r="P11" s="32" t="s">
        <v>66</v>
      </c>
      <c r="Q11" s="36" t="s">
        <v>66</v>
      </c>
      <c r="R11" s="36" t="s">
        <v>66</v>
      </c>
      <c r="S11" s="32" t="s">
        <v>66</v>
      </c>
      <c r="T11" s="32"/>
      <c r="U11" s="32"/>
      <c r="V11" s="32"/>
      <c r="W11" s="32"/>
      <c r="X11" s="36"/>
      <c r="Y11" s="36"/>
      <c r="Z11" s="32"/>
      <c r="AA11" s="32" t="s">
        <v>69</v>
      </c>
      <c r="AB11" s="32" t="s">
        <v>70</v>
      </c>
      <c r="AC11" s="32" t="s">
        <v>70</v>
      </c>
      <c r="AD11" s="32" t="s">
        <v>70</v>
      </c>
      <c r="AE11" s="36" t="s">
        <v>70</v>
      </c>
      <c r="AF11" s="205" t="s">
        <v>70</v>
      </c>
      <c r="AG11" s="26" t="e">
        <f>_xlfn.CONCAT(#REF!,Tabela13[[#This Row],[FUNKCJONARIUSZ]])</f>
        <v>#REF!</v>
      </c>
      <c r="AH11" s="27" t="e">
        <f t="shared" si="0"/>
        <v>#REF!</v>
      </c>
      <c r="AI11" s="27" t="e">
        <f>MARZEC!AK11</f>
        <v>#REF!</v>
      </c>
      <c r="AJ11" s="28">
        <f t="shared" si="1"/>
        <v>0</v>
      </c>
      <c r="AK11">
        <f t="shared" si="2"/>
        <v>300</v>
      </c>
      <c r="AL11" s="29">
        <f t="shared" si="3"/>
        <v>0</v>
      </c>
      <c r="AM11" s="1">
        <f t="shared" si="4"/>
        <v>0</v>
      </c>
      <c r="AN11" s="1">
        <v>0</v>
      </c>
      <c r="AO11" s="36" t="s">
        <v>88</v>
      </c>
      <c r="AP11" s="1" t="s">
        <v>89</v>
      </c>
      <c r="AQ11" s="1">
        <v>8</v>
      </c>
    </row>
    <row r="12" spans="1:43" ht="15.9">
      <c r="A12" s="1" t="s">
        <v>90</v>
      </c>
      <c r="B12" s="1" t="s">
        <v>64</v>
      </c>
      <c r="C12" s="203" t="s">
        <v>91</v>
      </c>
      <c r="D12" s="199" t="e">
        <f>STYCZEŃ!AK12+STYCZEŃ!D12</f>
        <v>#REF!</v>
      </c>
      <c r="E12" s="204">
        <v>17</v>
      </c>
      <c r="F12" s="32" t="s">
        <v>70</v>
      </c>
      <c r="G12" s="32" t="s">
        <v>70</v>
      </c>
      <c r="H12" s="32" t="s">
        <v>70</v>
      </c>
      <c r="I12" s="32" t="s">
        <v>70</v>
      </c>
      <c r="J12" s="36" t="s">
        <v>70</v>
      </c>
      <c r="K12" s="36" t="s">
        <v>70</v>
      </c>
      <c r="L12" s="32">
        <v>15</v>
      </c>
      <c r="M12" s="32"/>
      <c r="N12" s="32"/>
      <c r="O12" s="32"/>
      <c r="P12" s="32"/>
      <c r="Q12" s="36"/>
      <c r="R12" s="36"/>
      <c r="S12" s="32"/>
      <c r="T12" s="32"/>
      <c r="U12" s="32"/>
      <c r="V12" s="32"/>
      <c r="W12" s="32"/>
      <c r="X12" s="36"/>
      <c r="Y12" s="36"/>
      <c r="Z12" s="32"/>
      <c r="AA12" s="32"/>
      <c r="AB12" s="32"/>
      <c r="AC12" s="32"/>
      <c r="AD12" s="32"/>
      <c r="AE12" s="36"/>
      <c r="AF12" s="205"/>
      <c r="AG12" s="26" t="e">
        <f>_xlfn.CONCAT(#REF!,Tabela13[[#This Row],[FUNKCJONARIUSZ]])</f>
        <v>#REF!</v>
      </c>
      <c r="AH12" s="27" t="e">
        <f t="shared" si="0"/>
        <v>#REF!</v>
      </c>
      <c r="AI12" s="27" t="e">
        <f>MARZEC!AK12</f>
        <v>#REF!</v>
      </c>
      <c r="AJ12" s="28">
        <f t="shared" si="1"/>
        <v>0</v>
      </c>
      <c r="AK12">
        <f t="shared" si="2"/>
        <v>144</v>
      </c>
      <c r="AL12" s="29">
        <f t="shared" si="3"/>
        <v>32</v>
      </c>
      <c r="AM12" s="1">
        <f t="shared" si="4"/>
        <v>0</v>
      </c>
      <c r="AN12" s="1">
        <v>0</v>
      </c>
      <c r="AO12" s="36" t="s">
        <v>92</v>
      </c>
      <c r="AP12" s="1" t="s">
        <v>79</v>
      </c>
      <c r="AQ12" s="1">
        <v>12</v>
      </c>
    </row>
    <row r="13" spans="1:43" ht="15.9">
      <c r="A13" s="1" t="s">
        <v>58</v>
      </c>
      <c r="B13" s="1" t="s">
        <v>93</v>
      </c>
      <c r="C13" s="203" t="s">
        <v>94</v>
      </c>
      <c r="D13" s="199" t="e">
        <f>STYCZEŃ!AK13+STYCZEŃ!D13</f>
        <v>#REF!</v>
      </c>
      <c r="E13" s="204"/>
      <c r="F13" s="32"/>
      <c r="G13" s="32"/>
      <c r="H13" s="32"/>
      <c r="I13" s="32"/>
      <c r="J13" s="36"/>
      <c r="K13" s="36" t="s">
        <v>113</v>
      </c>
      <c r="L13" s="32"/>
      <c r="M13" s="32"/>
      <c r="N13" s="32"/>
      <c r="O13" s="32"/>
      <c r="P13" s="32"/>
      <c r="Q13" s="36"/>
      <c r="R13" s="36"/>
      <c r="S13" s="32"/>
      <c r="T13" s="32"/>
      <c r="U13" s="32"/>
      <c r="V13" s="32"/>
      <c r="W13" s="32"/>
      <c r="X13" s="36"/>
      <c r="Y13" s="36"/>
      <c r="Z13" s="32" t="s">
        <v>69</v>
      </c>
      <c r="AA13" s="32" t="s">
        <v>69</v>
      </c>
      <c r="AB13" s="32" t="s">
        <v>103</v>
      </c>
      <c r="AC13" s="32" t="s">
        <v>103</v>
      </c>
      <c r="AD13" s="32" t="s">
        <v>103</v>
      </c>
      <c r="AE13" s="36" t="s">
        <v>103</v>
      </c>
      <c r="AF13" s="205" t="s">
        <v>103</v>
      </c>
      <c r="AG13" s="26" t="e">
        <f>_xlfn.CONCAT(#REF!,Tabela13[[#This Row],[FUNKCJONARIUSZ]])</f>
        <v>#REF!</v>
      </c>
      <c r="AH13" s="27" t="e">
        <f t="shared" si="0"/>
        <v>#REF!</v>
      </c>
      <c r="AI13" s="27" t="e">
        <f>MARZEC!AK13</f>
        <v>#REF!</v>
      </c>
      <c r="AJ13" s="28">
        <f t="shared" si="1"/>
        <v>24</v>
      </c>
      <c r="AK13">
        <f t="shared" si="2"/>
        <v>24</v>
      </c>
      <c r="AL13" s="29">
        <f t="shared" si="3"/>
        <v>0</v>
      </c>
      <c r="AM13" s="1">
        <f t="shared" si="4"/>
        <v>0</v>
      </c>
      <c r="AN13" s="1">
        <v>0</v>
      </c>
      <c r="AO13" s="36" t="s">
        <v>95</v>
      </c>
      <c r="AP13" s="1" t="s">
        <v>96</v>
      </c>
      <c r="AQ13" s="1">
        <v>24</v>
      </c>
    </row>
    <row r="14" spans="1:43" ht="15.9">
      <c r="A14" s="1" t="s">
        <v>90</v>
      </c>
      <c r="B14" s="1" t="s">
        <v>59</v>
      </c>
      <c r="C14" s="203" t="s">
        <v>97</v>
      </c>
      <c r="D14" s="199" t="e">
        <f>STYCZEŃ!AK14+STYCZEŃ!D14</f>
        <v>#REF!</v>
      </c>
      <c r="E14" s="204"/>
      <c r="F14" s="32"/>
      <c r="G14" s="32" t="s">
        <v>113</v>
      </c>
      <c r="H14" s="32"/>
      <c r="I14" s="32"/>
      <c r="J14" s="36" t="s">
        <v>113</v>
      </c>
      <c r="K14" s="36"/>
      <c r="L14" s="32"/>
      <c r="M14" s="32"/>
      <c r="N14" s="32"/>
      <c r="O14" s="32"/>
      <c r="P14" s="32"/>
      <c r="Q14" s="36"/>
      <c r="R14" s="36"/>
      <c r="S14" s="32" t="s">
        <v>69</v>
      </c>
      <c r="T14" s="32" t="s">
        <v>70</v>
      </c>
      <c r="U14" s="32" t="s">
        <v>70</v>
      </c>
      <c r="V14" s="32" t="s">
        <v>70</v>
      </c>
      <c r="W14" s="32" t="s">
        <v>70</v>
      </c>
      <c r="X14" s="36" t="s">
        <v>70</v>
      </c>
      <c r="Y14" s="36" t="s">
        <v>70</v>
      </c>
      <c r="Z14" s="32" t="s">
        <v>69</v>
      </c>
      <c r="AA14" s="32" t="s">
        <v>66</v>
      </c>
      <c r="AB14" s="32" t="s">
        <v>66</v>
      </c>
      <c r="AC14" s="32" t="s">
        <v>66</v>
      </c>
      <c r="AD14" s="32" t="s">
        <v>66</v>
      </c>
      <c r="AE14" s="36" t="s">
        <v>66</v>
      </c>
      <c r="AF14" s="205" t="s">
        <v>66</v>
      </c>
      <c r="AG14" s="26" t="e">
        <f>_xlfn.CONCAT(#REF!,Tabela13[[#This Row],[FUNKCJONARIUSZ]])</f>
        <v>#REF!</v>
      </c>
      <c r="AH14" s="27" t="e">
        <f t="shared" si="0"/>
        <v>#REF!</v>
      </c>
      <c r="AI14" s="27" t="e">
        <f>MARZEC!AK14</f>
        <v>#REF!</v>
      </c>
      <c r="AJ14" s="28">
        <f t="shared" si="1"/>
        <v>48</v>
      </c>
      <c r="AK14">
        <f t="shared" si="2"/>
        <v>168</v>
      </c>
      <c r="AL14" s="29">
        <f t="shared" si="3"/>
        <v>0</v>
      </c>
      <c r="AM14" s="1">
        <f t="shared" si="4"/>
        <v>0</v>
      </c>
      <c r="AN14" s="1">
        <v>0</v>
      </c>
      <c r="AO14" s="36" t="s">
        <v>98</v>
      </c>
      <c r="AP14" s="1" t="s">
        <v>99</v>
      </c>
      <c r="AQ14" s="1">
        <v>24</v>
      </c>
    </row>
    <row r="15" spans="1:43" ht="15.9">
      <c r="A15" s="1" t="s">
        <v>58</v>
      </c>
      <c r="B15" s="1" t="s">
        <v>93</v>
      </c>
      <c r="C15" s="203" t="s">
        <v>100</v>
      </c>
      <c r="D15" s="199" t="e">
        <f>STYCZEŃ!AK15+STYCZEŃ!D15</f>
        <v>#REF!</v>
      </c>
      <c r="E15" s="204" t="s">
        <v>101</v>
      </c>
      <c r="F15" s="32" t="s">
        <v>101</v>
      </c>
      <c r="G15" s="32" t="s">
        <v>101</v>
      </c>
      <c r="H15" s="32" t="s">
        <v>101</v>
      </c>
      <c r="I15" s="32" t="s">
        <v>101</v>
      </c>
      <c r="J15" s="36" t="s">
        <v>66</v>
      </c>
      <c r="K15" s="36" t="s">
        <v>66</v>
      </c>
      <c r="L15" s="32" t="s">
        <v>101</v>
      </c>
      <c r="M15" s="32" t="s">
        <v>101</v>
      </c>
      <c r="N15" s="32" t="s">
        <v>101</v>
      </c>
      <c r="O15" s="32" t="s">
        <v>101</v>
      </c>
      <c r="P15" s="32" t="s">
        <v>101</v>
      </c>
      <c r="Q15" s="36" t="s">
        <v>66</v>
      </c>
      <c r="R15" s="36" t="s">
        <v>66</v>
      </c>
      <c r="S15" s="37" t="s">
        <v>101</v>
      </c>
      <c r="T15" s="37" t="s">
        <v>101</v>
      </c>
      <c r="U15" s="37" t="s">
        <v>66</v>
      </c>
      <c r="V15" s="37" t="s">
        <v>66</v>
      </c>
      <c r="W15" s="37"/>
      <c r="X15" s="207"/>
      <c r="Y15" s="207" t="s">
        <v>59</v>
      </c>
      <c r="Z15" s="37"/>
      <c r="AA15" s="32"/>
      <c r="AB15" s="32" t="s">
        <v>59</v>
      </c>
      <c r="AC15" s="32"/>
      <c r="AD15" s="32"/>
      <c r="AE15" s="36" t="s">
        <v>59</v>
      </c>
      <c r="AF15" s="205"/>
      <c r="AG15" s="26" t="e">
        <f>_xlfn.CONCAT(#REF!,Tabela13[[#This Row],[FUNKCJONARIUSZ]])</f>
        <v>#REF!</v>
      </c>
      <c r="AH15" s="27" t="e">
        <f t="shared" si="0"/>
        <v>#REF!</v>
      </c>
      <c r="AI15" s="27">
        <f>MARZEC!AK15</f>
        <v>-95</v>
      </c>
      <c r="AJ15" s="28">
        <f t="shared" si="1"/>
        <v>72</v>
      </c>
      <c r="AK15">
        <f t="shared" si="2"/>
        <v>0</v>
      </c>
      <c r="AL15" s="29">
        <f t="shared" si="3"/>
        <v>0</v>
      </c>
      <c r="AM15" s="1">
        <f t="shared" si="4"/>
        <v>0</v>
      </c>
      <c r="AN15" s="1">
        <f>11+(4*24)</f>
        <v>107</v>
      </c>
      <c r="AO15" s="32" t="s">
        <v>101</v>
      </c>
      <c r="AP15" s="1" t="s">
        <v>102</v>
      </c>
      <c r="AQ15" s="1" t="s">
        <v>103</v>
      </c>
    </row>
    <row r="16" spans="1:43" ht="15.9">
      <c r="A16" s="1" t="s">
        <v>90</v>
      </c>
      <c r="B16" s="1" t="s">
        <v>64</v>
      </c>
      <c r="C16" s="203" t="s">
        <v>104</v>
      </c>
      <c r="D16" s="199" t="e">
        <f>STYCZEŃ!AK16+STYCZEŃ!D16</f>
        <v>#REF!</v>
      </c>
      <c r="E16" s="204" t="s">
        <v>69</v>
      </c>
      <c r="F16" s="32" t="s">
        <v>66</v>
      </c>
      <c r="G16" s="32" t="s">
        <v>75</v>
      </c>
      <c r="H16" s="32" t="s">
        <v>75</v>
      </c>
      <c r="I16" s="32" t="s">
        <v>75</v>
      </c>
      <c r="J16" s="36"/>
      <c r="K16" s="36"/>
      <c r="L16" s="32" t="s">
        <v>75</v>
      </c>
      <c r="M16" s="32" t="s">
        <v>75</v>
      </c>
      <c r="N16" s="32"/>
      <c r="O16" s="32"/>
      <c r="P16" s="32"/>
      <c r="Q16" s="36"/>
      <c r="R16" s="36"/>
      <c r="S16" s="32" t="s">
        <v>69</v>
      </c>
      <c r="T16" s="32" t="s">
        <v>70</v>
      </c>
      <c r="U16" s="32" t="s">
        <v>70</v>
      </c>
      <c r="V16" s="32" t="s">
        <v>70</v>
      </c>
      <c r="W16" s="32" t="s">
        <v>70</v>
      </c>
      <c r="X16" s="36" t="s">
        <v>70</v>
      </c>
      <c r="Y16" s="36" t="s">
        <v>70</v>
      </c>
      <c r="Z16" s="32" t="s">
        <v>69</v>
      </c>
      <c r="AA16" s="32"/>
      <c r="AB16" s="32"/>
      <c r="AC16" s="32"/>
      <c r="AD16" s="32"/>
      <c r="AE16" s="36"/>
      <c r="AF16" s="205"/>
      <c r="AG16" s="26" t="e">
        <f>_xlfn.CONCAT(#REF!,Tabela13[[#This Row],[FUNKCJONARIUSZ]])</f>
        <v>#REF!</v>
      </c>
      <c r="AH16" s="27" t="e">
        <f t="shared" si="0"/>
        <v>#REF!</v>
      </c>
      <c r="AI16" s="27" t="e">
        <f>MARZEC!AK16</f>
        <v>#REF!</v>
      </c>
      <c r="AJ16" s="28">
        <f t="shared" si="1"/>
        <v>0</v>
      </c>
      <c r="AK16">
        <f t="shared" si="2"/>
        <v>180</v>
      </c>
      <c r="AL16" s="29">
        <f t="shared" si="3"/>
        <v>40</v>
      </c>
      <c r="AM16" s="1">
        <f t="shared" si="4"/>
        <v>0</v>
      </c>
      <c r="AN16" s="1">
        <v>0</v>
      </c>
    </row>
    <row r="17" spans="1:41" ht="15.9">
      <c r="A17" s="1" t="s">
        <v>58</v>
      </c>
      <c r="B17" s="1" t="s">
        <v>64</v>
      </c>
      <c r="C17" s="203" t="s">
        <v>161</v>
      </c>
      <c r="D17" s="199" t="e">
        <f>STYCZEŃ!AK17+STYCZEŃ!D17</f>
        <v>#REF!</v>
      </c>
      <c r="E17" s="204"/>
      <c r="F17" s="32" t="s">
        <v>113</v>
      </c>
      <c r="G17" s="32"/>
      <c r="H17" s="32"/>
      <c r="I17" s="32"/>
      <c r="J17" s="36"/>
      <c r="K17" s="36"/>
      <c r="L17" s="32" t="s">
        <v>66</v>
      </c>
      <c r="M17" s="32"/>
      <c r="N17" s="32"/>
      <c r="O17" s="32"/>
      <c r="P17" s="32"/>
      <c r="Q17" s="36" t="s">
        <v>113</v>
      </c>
      <c r="R17" s="36"/>
      <c r="S17" s="41"/>
      <c r="T17" s="41">
        <v>8</v>
      </c>
      <c r="U17" s="41">
        <v>8</v>
      </c>
      <c r="V17" s="41">
        <v>8</v>
      </c>
      <c r="W17" s="41"/>
      <c r="X17" s="208"/>
      <c r="Y17" s="208"/>
      <c r="Z17" s="41"/>
      <c r="AA17" s="32"/>
      <c r="AB17" s="32"/>
      <c r="AC17" s="32"/>
      <c r="AD17" s="32"/>
      <c r="AE17" s="36"/>
      <c r="AF17" s="205"/>
      <c r="AG17" s="26" t="e">
        <f>_xlfn.CONCAT(#REF!,Tabela13[[#This Row],[FUNKCJONARIUSZ]])</f>
        <v>#REF!</v>
      </c>
      <c r="AH17" s="27" t="e">
        <f t="shared" si="0"/>
        <v>#REF!</v>
      </c>
      <c r="AI17" s="27" t="e">
        <f>MARZEC!AK17</f>
        <v>#REF!</v>
      </c>
      <c r="AJ17" s="28">
        <f t="shared" si="1"/>
        <v>48</v>
      </c>
      <c r="AK17">
        <f t="shared" si="2"/>
        <v>0</v>
      </c>
      <c r="AL17" s="29">
        <f t="shared" si="3"/>
        <v>24</v>
      </c>
      <c r="AM17" s="1">
        <f t="shared" si="4"/>
        <v>0</v>
      </c>
      <c r="AN17" s="1">
        <v>0</v>
      </c>
    </row>
    <row r="18" spans="1:41" ht="15.9">
      <c r="A18" s="1" t="s">
        <v>105</v>
      </c>
      <c r="B18" s="1" t="s">
        <v>64</v>
      </c>
      <c r="C18" s="203" t="s">
        <v>106</v>
      </c>
      <c r="D18" s="199" t="e">
        <f>STYCZEŃ!AK18+STYCZEŃ!D18</f>
        <v>#REF!</v>
      </c>
      <c r="E18" s="204"/>
      <c r="F18" s="32"/>
      <c r="G18" s="32"/>
      <c r="H18" s="32"/>
      <c r="I18" s="32" t="s">
        <v>113</v>
      </c>
      <c r="J18" s="36"/>
      <c r="K18" s="36"/>
      <c r="L18" s="32"/>
      <c r="M18" s="32" t="s">
        <v>59</v>
      </c>
      <c r="N18" s="32"/>
      <c r="O18" s="32"/>
      <c r="P18" s="32"/>
      <c r="Q18" s="36"/>
      <c r="R18" s="36"/>
      <c r="S18" s="32" t="s">
        <v>69</v>
      </c>
      <c r="T18" s="32" t="s">
        <v>70</v>
      </c>
      <c r="U18" s="32" t="s">
        <v>70</v>
      </c>
      <c r="V18" s="32" t="s">
        <v>70</v>
      </c>
      <c r="W18" s="32" t="s">
        <v>70</v>
      </c>
      <c r="X18" s="36" t="s">
        <v>70</v>
      </c>
      <c r="Y18" s="36" t="s">
        <v>70</v>
      </c>
      <c r="Z18" s="32" t="s">
        <v>69</v>
      </c>
      <c r="AA18" s="32"/>
      <c r="AB18" s="32"/>
      <c r="AC18" s="32"/>
      <c r="AD18" s="32"/>
      <c r="AE18" s="36"/>
      <c r="AF18" s="205"/>
      <c r="AG18" s="26" t="e">
        <f>_xlfn.CONCAT(#REF!,Tabela13[[#This Row],[FUNKCJONARIUSZ]])</f>
        <v>#REF!</v>
      </c>
      <c r="AH18" s="27" t="e">
        <f t="shared" si="0"/>
        <v>#REF!</v>
      </c>
      <c r="AI18" s="27" t="e">
        <f>MARZEC!AK18</f>
        <v>#REF!</v>
      </c>
      <c r="AJ18" s="28">
        <f t="shared" si="1"/>
        <v>48</v>
      </c>
      <c r="AK18">
        <f t="shared" si="2"/>
        <v>168</v>
      </c>
      <c r="AL18" s="29">
        <f t="shared" si="3"/>
        <v>0</v>
      </c>
      <c r="AM18" s="1">
        <f t="shared" si="4"/>
        <v>0</v>
      </c>
      <c r="AN18" s="1">
        <v>0</v>
      </c>
    </row>
    <row r="19" spans="1:41" ht="15.9">
      <c r="A19" s="1" t="s">
        <v>67</v>
      </c>
      <c r="B19" s="1" t="s">
        <v>73</v>
      </c>
      <c r="C19" s="203" t="s">
        <v>107</v>
      </c>
      <c r="D19" s="199" t="e">
        <f>STYCZEŃ!AK19+STYCZEŃ!D19</f>
        <v>#REF!</v>
      </c>
      <c r="E19" s="204"/>
      <c r="F19" s="32"/>
      <c r="G19" s="32"/>
      <c r="H19" s="32"/>
      <c r="I19" s="32" t="s">
        <v>66</v>
      </c>
      <c r="J19" s="36"/>
      <c r="K19" s="36"/>
      <c r="L19" s="32"/>
      <c r="M19" s="32"/>
      <c r="N19" s="32"/>
      <c r="O19" s="32"/>
      <c r="P19" s="32"/>
      <c r="Q19" s="36"/>
      <c r="R19" s="36"/>
      <c r="S19" s="32" t="s">
        <v>69</v>
      </c>
      <c r="T19" s="32" t="s">
        <v>70</v>
      </c>
      <c r="U19" s="32" t="s">
        <v>70</v>
      </c>
      <c r="V19" s="32" t="s">
        <v>70</v>
      </c>
      <c r="W19" s="32" t="s">
        <v>70</v>
      </c>
      <c r="X19" s="36" t="s">
        <v>70</v>
      </c>
      <c r="Y19" s="36" t="s">
        <v>70</v>
      </c>
      <c r="Z19" s="32" t="s">
        <v>69</v>
      </c>
      <c r="AA19" s="32"/>
      <c r="AB19" s="32"/>
      <c r="AC19" s="32"/>
      <c r="AD19" s="32"/>
      <c r="AE19" s="36"/>
      <c r="AF19" s="205"/>
      <c r="AG19" s="26" t="e">
        <f>_xlfn.CONCAT(#REF!,Tabela13[[#This Row],[FUNKCJONARIUSZ]])</f>
        <v>#REF!</v>
      </c>
      <c r="AH19" s="27" t="e">
        <f t="shared" si="0"/>
        <v>#REF!</v>
      </c>
      <c r="AI19" s="27" t="e">
        <f>MARZEC!AK19</f>
        <v>#REF!</v>
      </c>
      <c r="AJ19" s="28">
        <f t="shared" si="1"/>
        <v>0</v>
      </c>
      <c r="AK19">
        <f t="shared" si="2"/>
        <v>168</v>
      </c>
      <c r="AL19" s="29">
        <f t="shared" si="3"/>
        <v>0</v>
      </c>
      <c r="AM19" s="1">
        <f t="shared" si="4"/>
        <v>0</v>
      </c>
      <c r="AN19" s="1">
        <v>0</v>
      </c>
    </row>
    <row r="20" spans="1:41" ht="15.9">
      <c r="A20" s="1" t="s">
        <v>90</v>
      </c>
      <c r="B20" s="1" t="s">
        <v>59</v>
      </c>
      <c r="C20" s="203" t="s">
        <v>108</v>
      </c>
      <c r="D20" s="199" t="e">
        <f>STYCZEŃ!AK20+STYCZEŃ!D20</f>
        <v>#REF!</v>
      </c>
      <c r="E20" s="204" t="s">
        <v>75</v>
      </c>
      <c r="F20" s="32" t="s">
        <v>75</v>
      </c>
      <c r="G20" s="32" t="s">
        <v>75</v>
      </c>
      <c r="H20" s="32" t="s">
        <v>75</v>
      </c>
      <c r="I20" s="32" t="s">
        <v>75</v>
      </c>
      <c r="J20" s="36"/>
      <c r="K20" s="36"/>
      <c r="L20" s="32" t="s">
        <v>190</v>
      </c>
      <c r="M20" s="32"/>
      <c r="N20" s="32"/>
      <c r="O20" s="32"/>
      <c r="P20" s="32" t="s">
        <v>59</v>
      </c>
      <c r="Q20" s="36"/>
      <c r="R20" s="36"/>
      <c r="S20" s="32" t="s">
        <v>66</v>
      </c>
      <c r="T20" s="37"/>
      <c r="U20" s="32"/>
      <c r="V20" s="32"/>
      <c r="W20" s="32"/>
      <c r="X20" s="207"/>
      <c r="Y20" s="36"/>
      <c r="Z20" s="32"/>
      <c r="AA20" s="32" t="s">
        <v>69</v>
      </c>
      <c r="AB20" s="32" t="s">
        <v>70</v>
      </c>
      <c r="AC20" s="32" t="s">
        <v>70</v>
      </c>
      <c r="AD20" s="32" t="s">
        <v>69</v>
      </c>
      <c r="AE20" s="36"/>
      <c r="AF20" s="205"/>
      <c r="AG20" s="26" t="e">
        <f>_xlfn.CONCAT(#REF!,Tabela13[[#This Row],[FUNKCJONARIUSZ]])</f>
        <v>#REF!</v>
      </c>
      <c r="AH20" s="27" t="e">
        <f t="shared" si="0"/>
        <v>#REF!</v>
      </c>
      <c r="AI20" s="27" t="e">
        <f>MARZEC!AK20</f>
        <v>#REF!</v>
      </c>
      <c r="AJ20" s="28">
        <f t="shared" si="1"/>
        <v>24</v>
      </c>
      <c r="AK20">
        <f t="shared" si="2"/>
        <v>72</v>
      </c>
      <c r="AL20" s="29">
        <f t="shared" si="3"/>
        <v>40</v>
      </c>
      <c r="AM20" s="1">
        <f t="shared" si="4"/>
        <v>0</v>
      </c>
      <c r="AN20" s="1">
        <v>0</v>
      </c>
    </row>
    <row r="21" spans="1:41" ht="15.9">
      <c r="A21" s="1" t="s">
        <v>58</v>
      </c>
      <c r="B21" s="1" t="s">
        <v>59</v>
      </c>
      <c r="C21" s="203" t="s">
        <v>109</v>
      </c>
      <c r="D21" s="199" t="e">
        <f>STYCZEŃ!AK21+STYCZEŃ!D21</f>
        <v>#REF!</v>
      </c>
      <c r="E21" s="204"/>
      <c r="F21" s="32"/>
      <c r="G21" s="32"/>
      <c r="H21" s="32"/>
      <c r="I21" s="32" t="s">
        <v>66</v>
      </c>
      <c r="J21" s="36"/>
      <c r="K21" s="36"/>
      <c r="L21" s="32"/>
      <c r="M21" s="32"/>
      <c r="N21" s="32"/>
      <c r="O21" s="32"/>
      <c r="P21" s="32"/>
      <c r="Q21" s="36"/>
      <c r="R21" s="36"/>
      <c r="S21" s="136"/>
      <c r="T21" s="137" t="s">
        <v>113</v>
      </c>
      <c r="U21" s="48"/>
      <c r="V21" s="32"/>
      <c r="W21" s="136"/>
      <c r="X21" s="209" t="s">
        <v>113</v>
      </c>
      <c r="Y21" s="168"/>
      <c r="Z21" s="32"/>
      <c r="AA21" s="32"/>
      <c r="AB21" s="32"/>
      <c r="AC21" s="32">
        <v>12</v>
      </c>
      <c r="AD21" s="32"/>
      <c r="AE21" s="36"/>
      <c r="AF21" s="205"/>
      <c r="AG21" s="26" t="e">
        <f>_xlfn.CONCAT(#REF!,Tabela13[[#This Row],[FUNKCJONARIUSZ]])</f>
        <v>#REF!</v>
      </c>
      <c r="AH21" s="27" t="e">
        <f t="shared" si="0"/>
        <v>#REF!</v>
      </c>
      <c r="AI21" s="27" t="e">
        <f>MARZEC!AK21</f>
        <v>#REF!</v>
      </c>
      <c r="AJ21" s="28">
        <f t="shared" si="1"/>
        <v>48</v>
      </c>
      <c r="AK21">
        <f t="shared" si="2"/>
        <v>0</v>
      </c>
      <c r="AL21" s="29">
        <f t="shared" si="3"/>
        <v>12</v>
      </c>
      <c r="AM21" s="1">
        <f t="shared" si="4"/>
        <v>0</v>
      </c>
      <c r="AN21" s="1">
        <v>0</v>
      </c>
    </row>
    <row r="22" spans="1:41" ht="15.9">
      <c r="A22" s="1" t="s">
        <v>63</v>
      </c>
      <c r="B22" s="1" t="s">
        <v>59</v>
      </c>
      <c r="C22" s="203" t="s">
        <v>162</v>
      </c>
      <c r="D22" s="199" t="e">
        <f>STYCZEŃ!AK22+STYCZEŃ!D22</f>
        <v>#REF!</v>
      </c>
      <c r="E22" s="204"/>
      <c r="F22" s="32"/>
      <c r="G22" s="32"/>
      <c r="H22" s="32"/>
      <c r="I22" s="32"/>
      <c r="J22" s="36"/>
      <c r="K22" s="36"/>
      <c r="L22" s="32" t="s">
        <v>69</v>
      </c>
      <c r="M22" s="32" t="s">
        <v>70</v>
      </c>
      <c r="N22" s="32" t="s">
        <v>70</v>
      </c>
      <c r="O22" s="32" t="s">
        <v>70</v>
      </c>
      <c r="P22" s="32" t="s">
        <v>70</v>
      </c>
      <c r="Q22" s="168" t="s">
        <v>70</v>
      </c>
      <c r="R22" s="36" t="s">
        <v>70</v>
      </c>
      <c r="S22" s="32" t="s">
        <v>69</v>
      </c>
      <c r="T22" s="41" t="s">
        <v>66</v>
      </c>
      <c r="U22" s="32" t="s">
        <v>66</v>
      </c>
      <c r="V22" s="32" t="s">
        <v>66</v>
      </c>
      <c r="W22" s="32" t="s">
        <v>66</v>
      </c>
      <c r="X22" s="208" t="s">
        <v>66</v>
      </c>
      <c r="Y22" s="36" t="s">
        <v>66</v>
      </c>
      <c r="Z22" s="32" t="s">
        <v>113</v>
      </c>
      <c r="AA22" s="32" t="s">
        <v>103</v>
      </c>
      <c r="AB22" s="32" t="s">
        <v>103</v>
      </c>
      <c r="AC22" s="32" t="s">
        <v>103</v>
      </c>
      <c r="AD22" s="32" t="s">
        <v>103</v>
      </c>
      <c r="AE22" s="36" t="s">
        <v>103</v>
      </c>
      <c r="AF22" s="205" t="s">
        <v>103</v>
      </c>
      <c r="AG22" s="26" t="e">
        <f>_xlfn.CONCAT(#REF!,Tabela13[[#This Row],[FUNKCJONARIUSZ]])</f>
        <v>#REF!</v>
      </c>
      <c r="AH22" s="27" t="e">
        <f t="shared" si="0"/>
        <v>#REF!</v>
      </c>
      <c r="AI22" s="27" t="e">
        <f>MARZEC!AK22</f>
        <v>#REF!</v>
      </c>
      <c r="AJ22" s="28">
        <f t="shared" si="1"/>
        <v>24</v>
      </c>
      <c r="AK22">
        <f t="shared" si="2"/>
        <v>168</v>
      </c>
      <c r="AL22" s="29">
        <f t="shared" si="3"/>
        <v>0</v>
      </c>
      <c r="AM22" s="1">
        <f t="shared" si="4"/>
        <v>0</v>
      </c>
      <c r="AN22" s="1">
        <v>0</v>
      </c>
    </row>
    <row r="23" spans="1:41" ht="15.9">
      <c r="A23" s="1" t="s">
        <v>67</v>
      </c>
      <c r="B23" s="1" t="s">
        <v>93</v>
      </c>
      <c r="C23" s="203" t="s">
        <v>110</v>
      </c>
      <c r="D23" s="199" t="e">
        <f>STYCZEŃ!AK23+STYCZEŃ!D23</f>
        <v>#REF!</v>
      </c>
      <c r="E23" s="204" t="s">
        <v>83</v>
      </c>
      <c r="F23" s="32" t="s">
        <v>83</v>
      </c>
      <c r="G23" s="32" t="s">
        <v>83</v>
      </c>
      <c r="H23" s="32" t="s">
        <v>83</v>
      </c>
      <c r="I23" s="32" t="s">
        <v>83</v>
      </c>
      <c r="J23" s="36" t="s">
        <v>66</v>
      </c>
      <c r="K23" s="36" t="s">
        <v>66</v>
      </c>
      <c r="L23" s="32" t="s">
        <v>83</v>
      </c>
      <c r="M23" s="32" t="s">
        <v>83</v>
      </c>
      <c r="N23" s="32" t="s">
        <v>83</v>
      </c>
      <c r="O23" s="32" t="s">
        <v>83</v>
      </c>
      <c r="P23" s="32" t="s">
        <v>83</v>
      </c>
      <c r="Q23" s="36"/>
      <c r="R23" s="36"/>
      <c r="S23" s="32" t="s">
        <v>75</v>
      </c>
      <c r="T23" s="37" t="s">
        <v>75</v>
      </c>
      <c r="U23" s="32" t="s">
        <v>75</v>
      </c>
      <c r="V23" s="32"/>
      <c r="W23" s="32"/>
      <c r="X23" s="36"/>
      <c r="Y23" s="36"/>
      <c r="Z23" s="32" t="s">
        <v>69</v>
      </c>
      <c r="AA23" s="32" t="s">
        <v>69</v>
      </c>
      <c r="AB23" s="32" t="s">
        <v>103</v>
      </c>
      <c r="AC23" s="32" t="s">
        <v>103</v>
      </c>
      <c r="AD23" s="37" t="s">
        <v>103</v>
      </c>
      <c r="AE23" s="36" t="s">
        <v>103</v>
      </c>
      <c r="AF23" s="205" t="s">
        <v>103</v>
      </c>
      <c r="AG23" s="26" t="e">
        <f>_xlfn.CONCAT(#REF!,Tabela13[[#This Row],[FUNKCJONARIUSZ]])</f>
        <v>#REF!</v>
      </c>
      <c r="AH23" s="27" t="e">
        <f t="shared" si="0"/>
        <v>#REF!</v>
      </c>
      <c r="AI23" s="27" t="e">
        <f>MARZEC!AK23</f>
        <v>#REF!</v>
      </c>
      <c r="AJ23" s="28">
        <f t="shared" si="1"/>
        <v>0</v>
      </c>
      <c r="AK23">
        <f t="shared" si="2"/>
        <v>24</v>
      </c>
      <c r="AL23" s="29">
        <f t="shared" si="3"/>
        <v>104</v>
      </c>
      <c r="AM23" s="1">
        <f t="shared" si="4"/>
        <v>0</v>
      </c>
      <c r="AN23" s="1">
        <v>0</v>
      </c>
    </row>
    <row r="24" spans="1:41" ht="15.9">
      <c r="A24" s="1" t="s">
        <v>58</v>
      </c>
      <c r="B24" s="1" t="s">
        <v>59</v>
      </c>
      <c r="C24" s="203" t="s">
        <v>111</v>
      </c>
      <c r="D24" s="199" t="e">
        <f>STYCZEŃ!AK24+STYCZEŃ!D24</f>
        <v>#REF!</v>
      </c>
      <c r="E24" s="204" t="s">
        <v>191</v>
      </c>
      <c r="F24" s="32"/>
      <c r="G24" s="32"/>
      <c r="H24" s="32" t="s">
        <v>113</v>
      </c>
      <c r="I24" s="32"/>
      <c r="J24" s="36"/>
      <c r="K24" s="36"/>
      <c r="L24" s="32" t="s">
        <v>69</v>
      </c>
      <c r="M24" s="32" t="s">
        <v>70</v>
      </c>
      <c r="N24" s="32" t="s">
        <v>70</v>
      </c>
      <c r="O24" s="32" t="s">
        <v>70</v>
      </c>
      <c r="P24" s="32" t="s">
        <v>70</v>
      </c>
      <c r="Q24" s="36" t="s">
        <v>70</v>
      </c>
      <c r="R24" s="36" t="s">
        <v>70</v>
      </c>
      <c r="S24" s="136" t="s">
        <v>69</v>
      </c>
      <c r="T24" s="137" t="s">
        <v>66</v>
      </c>
      <c r="U24" s="48" t="s">
        <v>66</v>
      </c>
      <c r="V24" s="32" t="s">
        <v>66</v>
      </c>
      <c r="W24" s="32" t="s">
        <v>66</v>
      </c>
      <c r="X24" s="36" t="s">
        <v>66</v>
      </c>
      <c r="Y24" s="36" t="s">
        <v>66</v>
      </c>
      <c r="Z24" s="32" t="s">
        <v>66</v>
      </c>
      <c r="AA24" s="32" t="s">
        <v>113</v>
      </c>
      <c r="AB24" s="32"/>
      <c r="AC24" s="136"/>
      <c r="AD24" s="137" t="s">
        <v>66</v>
      </c>
      <c r="AE24" s="168"/>
      <c r="AF24" s="205"/>
      <c r="AG24" s="26" t="e">
        <f>_xlfn.CONCAT(#REF!,Tabela13[[#This Row],[FUNKCJONARIUSZ]])</f>
        <v>#REF!</v>
      </c>
      <c r="AH24" s="27" t="e">
        <f t="shared" si="0"/>
        <v>#REF!</v>
      </c>
      <c r="AI24" s="27" t="e">
        <f>MARZEC!AK24</f>
        <v>#REF!</v>
      </c>
      <c r="AJ24" s="28">
        <f t="shared" si="1"/>
        <v>48</v>
      </c>
      <c r="AK24">
        <f t="shared" si="2"/>
        <v>168</v>
      </c>
      <c r="AL24" s="29">
        <f t="shared" si="3"/>
        <v>0</v>
      </c>
      <c r="AM24" s="1">
        <f t="shared" si="4"/>
        <v>0</v>
      </c>
      <c r="AN24" s="1">
        <v>0</v>
      </c>
    </row>
    <row r="25" spans="1:41" ht="15.9">
      <c r="A25" s="1" t="s">
        <v>63</v>
      </c>
      <c r="B25" s="1" t="s">
        <v>192</v>
      </c>
      <c r="C25" s="210" t="s">
        <v>112</v>
      </c>
      <c r="D25" s="199">
        <v>4</v>
      </c>
      <c r="E25" s="204"/>
      <c r="F25" s="32"/>
      <c r="G25" s="32">
        <v>12</v>
      </c>
      <c r="H25" s="32"/>
      <c r="I25" s="32"/>
      <c r="J25" s="36"/>
      <c r="K25" s="36"/>
      <c r="L25" s="32">
        <v>24</v>
      </c>
      <c r="M25" s="32"/>
      <c r="N25" s="32"/>
      <c r="O25" s="32"/>
      <c r="P25" s="32">
        <v>12</v>
      </c>
      <c r="Q25" s="36">
        <v>24</v>
      </c>
      <c r="R25" s="36"/>
      <c r="S25" s="32"/>
      <c r="T25" s="41">
        <v>12</v>
      </c>
      <c r="U25" s="32">
        <v>4</v>
      </c>
      <c r="V25" s="32">
        <v>8</v>
      </c>
      <c r="W25" s="32"/>
      <c r="X25" s="36"/>
      <c r="Y25" s="36">
        <v>16</v>
      </c>
      <c r="Z25" s="32">
        <v>8</v>
      </c>
      <c r="AA25" s="32"/>
      <c r="AB25" s="32">
        <v>12</v>
      </c>
      <c r="AC25" s="32">
        <v>4</v>
      </c>
      <c r="AD25" s="41">
        <v>8</v>
      </c>
      <c r="AE25" s="36"/>
      <c r="AF25" s="205">
        <v>16</v>
      </c>
      <c r="AG25" s="26" t="e">
        <f>_xlfn.CONCAT(#REF!,Tabela13[[#This Row],[FUNKCJONARIUSZ]])</f>
        <v>#REF!</v>
      </c>
      <c r="AH25" s="27">
        <f t="shared" si="0"/>
        <v>4</v>
      </c>
      <c r="AI25" s="27" t="e">
        <f>MARZEC!AK25</f>
        <v>#REF!</v>
      </c>
      <c r="AJ25" s="28">
        <f t="shared" si="1"/>
        <v>0</v>
      </c>
      <c r="AK25">
        <f t="shared" si="2"/>
        <v>0</v>
      </c>
      <c r="AL25" s="29">
        <f t="shared" si="3"/>
        <v>160</v>
      </c>
      <c r="AM25" s="1">
        <f t="shared" si="4"/>
        <v>0</v>
      </c>
      <c r="AN25" s="1">
        <v>0</v>
      </c>
      <c r="AO25" s="1">
        <f>SUM(G25:AF25)</f>
        <v>160</v>
      </c>
    </row>
    <row r="26" spans="1:41" ht="15.9">
      <c r="A26" s="1" t="s">
        <v>67</v>
      </c>
      <c r="B26" s="1" t="s">
        <v>93</v>
      </c>
      <c r="C26" s="203" t="s">
        <v>114</v>
      </c>
      <c r="D26" s="199" t="e">
        <f>STYCZEŃ!AK26+STYCZEŃ!D26</f>
        <v>#REF!</v>
      </c>
      <c r="E26" s="204" t="s">
        <v>69</v>
      </c>
      <c r="F26" s="32" t="s">
        <v>66</v>
      </c>
      <c r="G26" s="32" t="s">
        <v>66</v>
      </c>
      <c r="H26" s="32" t="s">
        <v>66</v>
      </c>
      <c r="I26" s="32" t="s">
        <v>66</v>
      </c>
      <c r="J26" s="36" t="s">
        <v>66</v>
      </c>
      <c r="K26" s="36" t="s">
        <v>66</v>
      </c>
      <c r="L26" s="32" t="s">
        <v>66</v>
      </c>
      <c r="M26" s="32"/>
      <c r="N26" s="32"/>
      <c r="O26" s="32"/>
      <c r="P26" s="32"/>
      <c r="Q26" s="36"/>
      <c r="R26" s="36"/>
      <c r="S26" s="32"/>
      <c r="T26" s="32" t="s">
        <v>76</v>
      </c>
      <c r="U26" s="32"/>
      <c r="V26" s="32" t="s">
        <v>113</v>
      </c>
      <c r="W26" s="32"/>
      <c r="X26" s="36"/>
      <c r="Y26" s="36"/>
      <c r="Z26" s="32"/>
      <c r="AA26" s="32"/>
      <c r="AB26" s="32" t="s">
        <v>76</v>
      </c>
      <c r="AC26" s="32"/>
      <c r="AD26" s="32"/>
      <c r="AE26" s="36"/>
      <c r="AF26" s="205"/>
      <c r="AG26" s="26" t="e">
        <f>_xlfn.CONCAT(#REF!,Tabela13[[#This Row],[FUNKCJONARIUSZ]])</f>
        <v>#REF!</v>
      </c>
      <c r="AH26" s="27" t="e">
        <f t="shared" si="0"/>
        <v>#REF!</v>
      </c>
      <c r="AI26" s="27" t="e">
        <f>MARZEC!AK26</f>
        <v>#REF!</v>
      </c>
      <c r="AJ26" s="28">
        <f t="shared" si="1"/>
        <v>48</v>
      </c>
      <c r="AK26">
        <f t="shared" si="2"/>
        <v>12</v>
      </c>
      <c r="AL26" s="29">
        <f t="shared" si="3"/>
        <v>0</v>
      </c>
      <c r="AM26" s="1">
        <f t="shared" si="4"/>
        <v>0</v>
      </c>
      <c r="AN26" s="1">
        <v>0</v>
      </c>
    </row>
    <row r="27" spans="1:41" ht="15.9">
      <c r="A27" s="1" t="s">
        <v>63</v>
      </c>
      <c r="B27" s="1" t="s">
        <v>59</v>
      </c>
      <c r="C27" s="203" t="s">
        <v>115</v>
      </c>
      <c r="D27" s="199" t="e">
        <f>STYCZEŃ!AK27+STYCZEŃ!D27</f>
        <v>#REF!</v>
      </c>
      <c r="E27" s="204">
        <v>8</v>
      </c>
      <c r="F27" s="32">
        <v>8</v>
      </c>
      <c r="G27" s="32">
        <v>8</v>
      </c>
      <c r="H27" s="32">
        <v>8</v>
      </c>
      <c r="I27" s="32">
        <v>1.5</v>
      </c>
      <c r="J27" s="36"/>
      <c r="K27" s="36"/>
      <c r="L27" s="32" t="s">
        <v>113</v>
      </c>
      <c r="M27" s="32"/>
      <c r="N27" s="32"/>
      <c r="O27" s="32" t="s">
        <v>59</v>
      </c>
      <c r="P27" s="32"/>
      <c r="Q27" s="36"/>
      <c r="R27" s="36" t="s">
        <v>113</v>
      </c>
      <c r="S27" s="32"/>
      <c r="T27" s="32"/>
      <c r="U27" s="32" t="s">
        <v>113</v>
      </c>
      <c r="V27" s="32"/>
      <c r="W27" s="32"/>
      <c r="X27" s="36"/>
      <c r="Y27" s="36"/>
      <c r="Z27" s="32"/>
      <c r="AA27" s="32" t="s">
        <v>76</v>
      </c>
      <c r="AB27" s="32"/>
      <c r="AC27" s="32" t="s">
        <v>59</v>
      </c>
      <c r="AD27" s="32"/>
      <c r="AE27" s="36"/>
      <c r="AF27" s="205">
        <v>16</v>
      </c>
      <c r="AG27" s="26" t="e">
        <f>_xlfn.CONCAT(#REF!,Tabela13[[#This Row],[FUNKCJONARIUSZ]])</f>
        <v>#REF!</v>
      </c>
      <c r="AH27" s="27" t="e">
        <f t="shared" si="0"/>
        <v>#REF!</v>
      </c>
      <c r="AI27" s="27" t="e">
        <f>MARZEC!AK27</f>
        <v>#REF!</v>
      </c>
      <c r="AJ27" s="28">
        <f t="shared" si="1"/>
        <v>132</v>
      </c>
      <c r="AK27">
        <f t="shared" si="2"/>
        <v>0</v>
      </c>
      <c r="AL27" s="29">
        <f t="shared" si="3"/>
        <v>49.5</v>
      </c>
      <c r="AM27" s="1">
        <f t="shared" si="4"/>
        <v>0</v>
      </c>
      <c r="AN27" s="1">
        <v>0</v>
      </c>
    </row>
    <row r="28" spans="1:41" ht="15.9">
      <c r="A28" s="1" t="s">
        <v>58</v>
      </c>
      <c r="B28" s="1" t="s">
        <v>59</v>
      </c>
      <c r="C28" s="203" t="s">
        <v>170</v>
      </c>
      <c r="D28" s="199" t="e">
        <f>STYCZEŃ!AK28+STYCZEŃ!D28</f>
        <v>#REF!</v>
      </c>
      <c r="E28" s="204"/>
      <c r="F28" s="32"/>
      <c r="G28" s="32"/>
      <c r="H28" s="32"/>
      <c r="I28" s="32"/>
      <c r="J28" s="36"/>
      <c r="K28" s="36"/>
      <c r="L28" s="32"/>
      <c r="M28" s="32">
        <v>8</v>
      </c>
      <c r="N28" s="32" t="s">
        <v>59</v>
      </c>
      <c r="O28" s="32"/>
      <c r="P28" s="32"/>
      <c r="Q28" s="36"/>
      <c r="R28" s="36"/>
      <c r="S28" s="32">
        <v>17</v>
      </c>
      <c r="T28" s="32" t="s">
        <v>70</v>
      </c>
      <c r="U28" s="32" t="s">
        <v>70</v>
      </c>
      <c r="V28" s="32">
        <v>15</v>
      </c>
      <c r="W28" s="32">
        <v>8</v>
      </c>
      <c r="X28" s="36"/>
      <c r="Y28" s="36"/>
      <c r="Z28" s="32">
        <v>8</v>
      </c>
      <c r="AA28" s="32">
        <v>8</v>
      </c>
      <c r="AB28" s="32">
        <v>8</v>
      </c>
      <c r="AC28" s="32">
        <v>8</v>
      </c>
      <c r="AD28" s="32">
        <v>8</v>
      </c>
      <c r="AE28" s="36" t="s">
        <v>66</v>
      </c>
      <c r="AF28" s="205" t="s">
        <v>66</v>
      </c>
      <c r="AG28" s="26" t="e">
        <f>_xlfn.CONCAT(#REF!,Tabela13[[#This Row],[FUNKCJONARIUSZ]])</f>
        <v>#REF!</v>
      </c>
      <c r="AH28" s="27" t="e">
        <f t="shared" si="0"/>
        <v>#REF!</v>
      </c>
      <c r="AI28" s="27" t="e">
        <f>MARZEC!AK28</f>
        <v>#REF!</v>
      </c>
      <c r="AJ28" s="28">
        <f t="shared" si="1"/>
        <v>24</v>
      </c>
      <c r="AK28">
        <f t="shared" si="2"/>
        <v>48</v>
      </c>
      <c r="AL28" s="29">
        <f t="shared" si="3"/>
        <v>88</v>
      </c>
      <c r="AM28" s="1">
        <f t="shared" si="4"/>
        <v>0</v>
      </c>
      <c r="AN28" s="1">
        <v>0</v>
      </c>
    </row>
    <row r="29" spans="1:41" ht="15.9">
      <c r="A29" s="1" t="s">
        <v>63</v>
      </c>
      <c r="B29" s="1" t="s">
        <v>73</v>
      </c>
      <c r="C29" s="203" t="s">
        <v>116</v>
      </c>
      <c r="D29" s="199" t="e">
        <f>STYCZEŃ!AK29+STYCZEŃ!D29</f>
        <v>#REF!</v>
      </c>
      <c r="E29" s="204" t="s">
        <v>113</v>
      </c>
      <c r="F29" s="32"/>
      <c r="G29" s="32"/>
      <c r="H29" s="32"/>
      <c r="I29" s="32"/>
      <c r="J29" s="36"/>
      <c r="K29" s="36"/>
      <c r="L29" s="32"/>
      <c r="M29" s="32"/>
      <c r="N29" s="32"/>
      <c r="O29" s="32"/>
      <c r="P29" s="32" t="s">
        <v>88</v>
      </c>
      <c r="Q29" s="36" t="s">
        <v>66</v>
      </c>
      <c r="R29" s="36" t="s">
        <v>66</v>
      </c>
      <c r="S29" s="32" t="s">
        <v>88</v>
      </c>
      <c r="T29" s="32" t="s">
        <v>88</v>
      </c>
      <c r="U29" s="32" t="s">
        <v>88</v>
      </c>
      <c r="V29" s="32" t="s">
        <v>88</v>
      </c>
      <c r="W29" s="32"/>
      <c r="X29" s="36"/>
      <c r="Y29" s="36"/>
      <c r="Z29" s="32"/>
      <c r="AA29" s="32"/>
      <c r="AB29" s="32"/>
      <c r="AC29" s="32"/>
      <c r="AD29" s="32"/>
      <c r="AE29" s="36"/>
      <c r="AF29" s="205"/>
      <c r="AG29" s="26" t="e">
        <f>_xlfn.CONCAT(#REF!,Tabela13[[#This Row],[FUNKCJONARIUSZ]])</f>
        <v>#REF!</v>
      </c>
      <c r="AH29" s="27" t="e">
        <f t="shared" si="0"/>
        <v>#REF!</v>
      </c>
      <c r="AI29" s="27" t="e">
        <f>MARZEC!AK29</f>
        <v>#REF!</v>
      </c>
      <c r="AJ29" s="28">
        <f t="shared" si="1"/>
        <v>24</v>
      </c>
      <c r="AK29">
        <f t="shared" si="2"/>
        <v>0</v>
      </c>
      <c r="AL29" s="29">
        <f t="shared" si="3"/>
        <v>40</v>
      </c>
      <c r="AM29" s="1">
        <f t="shared" si="4"/>
        <v>0</v>
      </c>
      <c r="AN29" s="1">
        <v>0</v>
      </c>
    </row>
    <row r="30" spans="1:41" ht="15.9">
      <c r="A30" s="1" t="s">
        <v>58</v>
      </c>
      <c r="B30" s="1" t="s">
        <v>93</v>
      </c>
      <c r="C30" s="203" t="s">
        <v>117</v>
      </c>
      <c r="D30" s="199" t="e">
        <f>STYCZEŃ!AK30+STYCZEŃ!D30</f>
        <v>#REF!</v>
      </c>
      <c r="E30" s="204" t="s">
        <v>69</v>
      </c>
      <c r="F30" s="32" t="s">
        <v>70</v>
      </c>
      <c r="G30" s="32" t="s">
        <v>70</v>
      </c>
      <c r="H30" s="32" t="s">
        <v>70</v>
      </c>
      <c r="I30" s="32" t="s">
        <v>70</v>
      </c>
      <c r="J30" s="36" t="s">
        <v>70</v>
      </c>
      <c r="K30" s="36" t="s">
        <v>70</v>
      </c>
      <c r="L30" s="32" t="s">
        <v>69</v>
      </c>
      <c r="M30" s="32" t="s">
        <v>66</v>
      </c>
      <c r="N30" s="32" t="s">
        <v>66</v>
      </c>
      <c r="O30" s="32" t="s">
        <v>66</v>
      </c>
      <c r="P30" s="32" t="s">
        <v>66</v>
      </c>
      <c r="Q30" s="36" t="s">
        <v>66</v>
      </c>
      <c r="R30" s="36" t="s">
        <v>66</v>
      </c>
      <c r="S30" s="32" t="s">
        <v>66</v>
      </c>
      <c r="T30" s="32">
        <v>8</v>
      </c>
      <c r="U30" s="32">
        <v>8</v>
      </c>
      <c r="V30" s="32">
        <v>8</v>
      </c>
      <c r="W30" s="32" t="s">
        <v>113</v>
      </c>
      <c r="X30" s="36"/>
      <c r="Y30" s="207"/>
      <c r="Z30" s="37"/>
      <c r="AA30" s="37" t="s">
        <v>69</v>
      </c>
      <c r="AB30" s="37" t="s">
        <v>70</v>
      </c>
      <c r="AC30" s="37" t="s">
        <v>70</v>
      </c>
      <c r="AD30" s="37" t="s">
        <v>70</v>
      </c>
      <c r="AE30" s="207" t="s">
        <v>62</v>
      </c>
      <c r="AF30" s="205" t="s">
        <v>62</v>
      </c>
      <c r="AG30" s="26" t="e">
        <f>_xlfn.CONCAT(#REF!,Tabela13[[#This Row],[FUNKCJONARIUSZ]])</f>
        <v>#REF!</v>
      </c>
      <c r="AH30" s="27" t="e">
        <f t="shared" si="0"/>
        <v>#REF!</v>
      </c>
      <c r="AI30" s="27" t="e">
        <f>MARZEC!AK30</f>
        <v>#REF!</v>
      </c>
      <c r="AJ30" s="28">
        <f t="shared" si="1"/>
        <v>24</v>
      </c>
      <c r="AK30">
        <f t="shared" si="2"/>
        <v>300</v>
      </c>
      <c r="AL30" s="29">
        <f t="shared" si="3"/>
        <v>24</v>
      </c>
      <c r="AM30" s="1">
        <f t="shared" si="4"/>
        <v>0</v>
      </c>
      <c r="AN30" s="1">
        <v>0</v>
      </c>
    </row>
    <row r="31" spans="1:41" ht="15.9">
      <c r="A31" s="1" t="s">
        <v>105</v>
      </c>
      <c r="B31" s="1" t="s">
        <v>59</v>
      </c>
      <c r="C31" s="203" t="s">
        <v>118</v>
      </c>
      <c r="D31" s="199" t="e">
        <f>STYCZEŃ!AK31+STYCZEŃ!D31</f>
        <v>#REF!</v>
      </c>
      <c r="E31" s="204" t="s">
        <v>66</v>
      </c>
      <c r="F31" s="32" t="s">
        <v>66</v>
      </c>
      <c r="G31" s="32" t="s">
        <v>66</v>
      </c>
      <c r="H31" s="32" t="s">
        <v>66</v>
      </c>
      <c r="I31" s="32" t="s">
        <v>66</v>
      </c>
      <c r="J31" s="36" t="s">
        <v>66</v>
      </c>
      <c r="K31" s="36" t="s">
        <v>66</v>
      </c>
      <c r="L31" s="32" t="s">
        <v>88</v>
      </c>
      <c r="M31" s="32" t="s">
        <v>88</v>
      </c>
      <c r="N31" s="32" t="s">
        <v>88</v>
      </c>
      <c r="O31" s="32" t="s">
        <v>88</v>
      </c>
      <c r="P31" s="32" t="s">
        <v>88</v>
      </c>
      <c r="Q31" s="36" t="s">
        <v>66</v>
      </c>
      <c r="R31" s="36" t="s">
        <v>66</v>
      </c>
      <c r="S31" s="32" t="s">
        <v>88</v>
      </c>
      <c r="T31" s="32" t="s">
        <v>88</v>
      </c>
      <c r="U31" s="32" t="s">
        <v>88</v>
      </c>
      <c r="V31" s="32" t="s">
        <v>88</v>
      </c>
      <c r="W31" s="32" t="s">
        <v>88</v>
      </c>
      <c r="X31" s="145"/>
      <c r="Y31" s="36"/>
      <c r="Z31" s="32" t="s">
        <v>69</v>
      </c>
      <c r="AA31" s="32" t="s">
        <v>69</v>
      </c>
      <c r="AB31" s="32" t="s">
        <v>103</v>
      </c>
      <c r="AC31" s="32" t="s">
        <v>103</v>
      </c>
      <c r="AD31" s="32" t="s">
        <v>103</v>
      </c>
      <c r="AE31" s="36" t="s">
        <v>103</v>
      </c>
      <c r="AF31" s="211" t="s">
        <v>103</v>
      </c>
      <c r="AG31" s="26" t="e">
        <f>_xlfn.CONCAT(#REF!,Tabela13[[#This Row],[FUNKCJONARIUSZ]])</f>
        <v>#REF!</v>
      </c>
      <c r="AH31" s="27" t="e">
        <f t="shared" si="0"/>
        <v>#REF!</v>
      </c>
      <c r="AI31" s="27" t="e">
        <f>MARZEC!AK31</f>
        <v>#REF!</v>
      </c>
      <c r="AJ31" s="28">
        <f t="shared" si="1"/>
        <v>0</v>
      </c>
      <c r="AK31">
        <f t="shared" si="2"/>
        <v>24</v>
      </c>
      <c r="AL31" s="29">
        <f t="shared" si="3"/>
        <v>80</v>
      </c>
      <c r="AM31" s="1">
        <f t="shared" si="4"/>
        <v>0</v>
      </c>
      <c r="AN31" s="1">
        <v>0</v>
      </c>
    </row>
    <row r="32" spans="1:41" ht="15.9">
      <c r="A32" s="1" t="s">
        <v>58</v>
      </c>
      <c r="B32" s="1" t="s">
        <v>73</v>
      </c>
      <c r="C32" s="212" t="s">
        <v>119</v>
      </c>
      <c r="D32" s="199" t="e">
        <f>STYCZEŃ!AK32+STYCZEŃ!D32</f>
        <v>#REF!</v>
      </c>
      <c r="E32" s="96" t="s">
        <v>88</v>
      </c>
      <c r="F32" s="51" t="s">
        <v>88</v>
      </c>
      <c r="G32" s="51" t="s">
        <v>88</v>
      </c>
      <c r="H32" s="51" t="s">
        <v>88</v>
      </c>
      <c r="I32" s="51" t="s">
        <v>88</v>
      </c>
      <c r="J32" s="213" t="s">
        <v>66</v>
      </c>
      <c r="K32" s="213" t="s">
        <v>66</v>
      </c>
      <c r="L32" s="51" t="s">
        <v>88</v>
      </c>
      <c r="M32" s="51"/>
      <c r="N32" s="51"/>
      <c r="O32" s="51"/>
      <c r="P32" s="51"/>
      <c r="Q32" s="213"/>
      <c r="R32" s="213"/>
      <c r="S32" s="51" t="s">
        <v>69</v>
      </c>
      <c r="T32" s="51" t="s">
        <v>70</v>
      </c>
      <c r="U32" s="51" t="s">
        <v>70</v>
      </c>
      <c r="V32" s="51" t="s">
        <v>70</v>
      </c>
      <c r="W32" s="51" t="s">
        <v>70</v>
      </c>
      <c r="X32" s="213" t="s">
        <v>70</v>
      </c>
      <c r="Y32" s="214" t="s">
        <v>70</v>
      </c>
      <c r="Z32" s="215" t="s">
        <v>69</v>
      </c>
      <c r="AA32" s="215" t="s">
        <v>66</v>
      </c>
      <c r="AB32" s="215" t="s">
        <v>66</v>
      </c>
      <c r="AC32" s="215" t="s">
        <v>66</v>
      </c>
      <c r="AD32" s="215" t="s">
        <v>66</v>
      </c>
      <c r="AE32" s="214" t="s">
        <v>66</v>
      </c>
      <c r="AF32" s="216" t="s">
        <v>66</v>
      </c>
      <c r="AG32" s="26" t="e">
        <f>_xlfn.CONCAT(#REF!,Tabela13[[#This Row],[FUNKCJONARIUSZ]])</f>
        <v>#REF!</v>
      </c>
      <c r="AH32" s="27" t="e">
        <f t="shared" si="0"/>
        <v>#REF!</v>
      </c>
      <c r="AI32" s="27" t="e">
        <f>MARZEC!AK32</f>
        <v>#REF!</v>
      </c>
      <c r="AJ32" s="28">
        <f t="shared" si="1"/>
        <v>0</v>
      </c>
      <c r="AK32">
        <f t="shared" si="2"/>
        <v>168</v>
      </c>
      <c r="AL32" s="29">
        <f t="shared" si="3"/>
        <v>48</v>
      </c>
      <c r="AM32" s="1">
        <f t="shared" si="4"/>
        <v>0</v>
      </c>
      <c r="AN32" s="1">
        <v>0</v>
      </c>
    </row>
    <row r="33" spans="2:40" ht="15.9">
      <c r="C33" s="56"/>
      <c r="D33" s="57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9"/>
      <c r="AH33" s="27"/>
      <c r="AI33" s="27"/>
      <c r="AJ33" s="28"/>
      <c r="AK33"/>
      <c r="AL33" s="29"/>
    </row>
    <row r="34" spans="2:40" ht="15.9">
      <c r="B34" s="61"/>
      <c r="C34" s="62" t="s">
        <v>120</v>
      </c>
      <c r="D34" s="63"/>
      <c r="E34" s="64">
        <f t="shared" ref="E34:AF34" si="5">COUNTIF(E2:E32,"D")</f>
        <v>1</v>
      </c>
      <c r="F34" s="64">
        <f t="shared" si="5"/>
        <v>1</v>
      </c>
      <c r="G34" s="64">
        <f t="shared" si="5"/>
        <v>1</v>
      </c>
      <c r="H34" s="64">
        <f t="shared" si="5"/>
        <v>1</v>
      </c>
      <c r="I34" s="64">
        <f t="shared" si="5"/>
        <v>1</v>
      </c>
      <c r="J34" s="64">
        <f t="shared" si="5"/>
        <v>1</v>
      </c>
      <c r="K34" s="64">
        <f t="shared" si="5"/>
        <v>1</v>
      </c>
      <c r="L34" s="64">
        <f t="shared" si="5"/>
        <v>1</v>
      </c>
      <c r="M34" s="64">
        <f t="shared" si="5"/>
        <v>1</v>
      </c>
      <c r="N34" s="64">
        <f t="shared" si="5"/>
        <v>1</v>
      </c>
      <c r="O34" s="64">
        <f t="shared" si="5"/>
        <v>1</v>
      </c>
      <c r="P34" s="64">
        <f t="shared" si="5"/>
        <v>1</v>
      </c>
      <c r="Q34" s="64">
        <f t="shared" si="5"/>
        <v>1</v>
      </c>
      <c r="R34" s="64">
        <f t="shared" si="5"/>
        <v>1</v>
      </c>
      <c r="S34" s="64">
        <f t="shared" si="5"/>
        <v>1</v>
      </c>
      <c r="T34" s="64">
        <f t="shared" si="5"/>
        <v>1</v>
      </c>
      <c r="U34" s="64">
        <f t="shared" si="5"/>
        <v>1</v>
      </c>
      <c r="V34" s="64">
        <f t="shared" si="5"/>
        <v>1</v>
      </c>
      <c r="W34" s="64">
        <f t="shared" si="5"/>
        <v>1</v>
      </c>
      <c r="X34" s="64">
        <f t="shared" si="5"/>
        <v>1</v>
      </c>
      <c r="Y34" s="64">
        <f t="shared" si="5"/>
        <v>1</v>
      </c>
      <c r="Z34" s="64">
        <f t="shared" si="5"/>
        <v>1</v>
      </c>
      <c r="AA34" s="64">
        <f t="shared" si="5"/>
        <v>1</v>
      </c>
      <c r="AB34" s="64">
        <f t="shared" si="5"/>
        <v>1</v>
      </c>
      <c r="AC34" s="64">
        <f t="shared" si="5"/>
        <v>1</v>
      </c>
      <c r="AD34" s="64">
        <f t="shared" si="5"/>
        <v>1</v>
      </c>
      <c r="AE34" s="64">
        <f t="shared" si="5"/>
        <v>1</v>
      </c>
      <c r="AF34" s="64">
        <f t="shared" si="5"/>
        <v>0</v>
      </c>
      <c r="AH34" s="27"/>
      <c r="AI34" s="27"/>
      <c r="AJ34" s="28"/>
      <c r="AK34"/>
      <c r="AL34" s="29"/>
    </row>
    <row r="35" spans="2:40" ht="15.9">
      <c r="B35" s="61"/>
      <c r="C35" s="65" t="s">
        <v>121</v>
      </c>
      <c r="D35" s="66"/>
      <c r="E35" s="64">
        <f t="shared" ref="E35:AF35" si="6">COUNTIF(E54:E104,"D")</f>
        <v>2</v>
      </c>
      <c r="F35" s="64">
        <f t="shared" si="6"/>
        <v>2</v>
      </c>
      <c r="G35" s="64">
        <f t="shared" si="6"/>
        <v>2</v>
      </c>
      <c r="H35" s="64">
        <f t="shared" si="6"/>
        <v>2</v>
      </c>
      <c r="I35" s="64">
        <f t="shared" si="6"/>
        <v>2</v>
      </c>
      <c r="J35" s="64">
        <f t="shared" si="6"/>
        <v>2</v>
      </c>
      <c r="K35" s="64">
        <f t="shared" si="6"/>
        <v>2</v>
      </c>
      <c r="L35" s="64">
        <f t="shared" si="6"/>
        <v>2</v>
      </c>
      <c r="M35" s="64">
        <f t="shared" si="6"/>
        <v>2</v>
      </c>
      <c r="N35" s="64">
        <f t="shared" si="6"/>
        <v>1</v>
      </c>
      <c r="O35" s="64">
        <f t="shared" si="6"/>
        <v>2</v>
      </c>
      <c r="P35" s="64">
        <f t="shared" si="6"/>
        <v>1</v>
      </c>
      <c r="Q35" s="64">
        <f t="shared" si="6"/>
        <v>2</v>
      </c>
      <c r="R35" s="64">
        <f t="shared" si="6"/>
        <v>2</v>
      </c>
      <c r="S35" s="64">
        <f t="shared" si="6"/>
        <v>2</v>
      </c>
      <c r="T35" s="64">
        <f t="shared" si="6"/>
        <v>1</v>
      </c>
      <c r="U35" s="64">
        <f t="shared" si="6"/>
        <v>2</v>
      </c>
      <c r="V35" s="64">
        <f t="shared" si="6"/>
        <v>2</v>
      </c>
      <c r="W35" s="64">
        <f t="shared" si="6"/>
        <v>2</v>
      </c>
      <c r="X35" s="64">
        <f t="shared" si="6"/>
        <v>2</v>
      </c>
      <c r="Y35" s="64">
        <f t="shared" si="6"/>
        <v>2</v>
      </c>
      <c r="Z35" s="64">
        <f t="shared" si="6"/>
        <v>2</v>
      </c>
      <c r="AA35" s="64">
        <f t="shared" si="6"/>
        <v>2</v>
      </c>
      <c r="AB35" s="64">
        <f t="shared" si="6"/>
        <v>2</v>
      </c>
      <c r="AC35" s="64">
        <f t="shared" si="6"/>
        <v>1</v>
      </c>
      <c r="AD35" s="64">
        <f t="shared" si="6"/>
        <v>1</v>
      </c>
      <c r="AE35" s="64">
        <f t="shared" si="6"/>
        <v>2</v>
      </c>
      <c r="AF35" s="64">
        <f t="shared" si="6"/>
        <v>2</v>
      </c>
      <c r="AH35" s="27"/>
      <c r="AI35" s="27"/>
      <c r="AJ35" s="28"/>
      <c r="AK35"/>
      <c r="AL35" s="29"/>
    </row>
    <row r="36" spans="2:40">
      <c r="C36" s="67" t="s">
        <v>122</v>
      </c>
      <c r="D36" s="68"/>
      <c r="E36" s="64">
        <f t="shared" ref="E36:AF36" si="7">COUNTIF(E2:E32,"S")+COUNTIF(E54:E104,"S")</f>
        <v>0</v>
      </c>
      <c r="F36" s="64">
        <f t="shared" si="7"/>
        <v>4</v>
      </c>
      <c r="G36" s="64">
        <f t="shared" si="7"/>
        <v>4</v>
      </c>
      <c r="H36" s="64">
        <f t="shared" si="7"/>
        <v>4</v>
      </c>
      <c r="I36" s="64">
        <f t="shared" si="7"/>
        <v>3</v>
      </c>
      <c r="J36" s="64">
        <f t="shared" si="7"/>
        <v>4</v>
      </c>
      <c r="K36" s="64">
        <f t="shared" si="7"/>
        <v>4</v>
      </c>
      <c r="L36" s="64">
        <f t="shared" si="7"/>
        <v>0</v>
      </c>
      <c r="M36" s="64">
        <f t="shared" si="7"/>
        <v>4</v>
      </c>
      <c r="N36" s="64">
        <f t="shared" si="7"/>
        <v>4</v>
      </c>
      <c r="O36" s="64">
        <f t="shared" si="7"/>
        <v>4</v>
      </c>
      <c r="P36" s="64">
        <f t="shared" si="7"/>
        <v>4</v>
      </c>
      <c r="Q36" s="64">
        <f t="shared" si="7"/>
        <v>5</v>
      </c>
      <c r="R36" s="64">
        <f t="shared" si="7"/>
        <v>5</v>
      </c>
      <c r="S36" s="64">
        <f t="shared" si="7"/>
        <v>0</v>
      </c>
      <c r="T36" s="64">
        <f t="shared" si="7"/>
        <v>9</v>
      </c>
      <c r="U36" s="64">
        <f t="shared" si="7"/>
        <v>9</v>
      </c>
      <c r="V36" s="64">
        <f t="shared" si="7"/>
        <v>8</v>
      </c>
      <c r="W36" s="64">
        <f t="shared" si="7"/>
        <v>9</v>
      </c>
      <c r="X36" s="64">
        <f t="shared" si="7"/>
        <v>9</v>
      </c>
      <c r="Y36" s="64">
        <f t="shared" si="7"/>
        <v>9</v>
      </c>
      <c r="Z36" s="64">
        <f t="shared" si="7"/>
        <v>0</v>
      </c>
      <c r="AA36" s="64">
        <f t="shared" si="7"/>
        <v>0</v>
      </c>
      <c r="AB36" s="64">
        <f t="shared" si="7"/>
        <v>6</v>
      </c>
      <c r="AC36" s="64">
        <f t="shared" si="7"/>
        <v>6</v>
      </c>
      <c r="AD36" s="64">
        <f t="shared" si="7"/>
        <v>2</v>
      </c>
      <c r="AE36" s="64">
        <f t="shared" si="7"/>
        <v>6</v>
      </c>
      <c r="AF36" s="64">
        <f t="shared" si="7"/>
        <v>6</v>
      </c>
      <c r="AG36" s="217"/>
      <c r="AH36" s="27"/>
      <c r="AI36" s="27"/>
      <c r="AJ36" s="28"/>
      <c r="AK36"/>
      <c r="AL36" s="29"/>
    </row>
    <row r="37" spans="2:40">
      <c r="C37" s="69" t="s">
        <v>123</v>
      </c>
      <c r="D37" s="70"/>
      <c r="E37" s="64">
        <f t="shared" ref="E37:AF37" si="8">COUNTIF(E2:E32,"K")+COUNTIF(E54:E104,"K")</f>
        <v>4</v>
      </c>
      <c r="F37" s="64">
        <f t="shared" si="8"/>
        <v>0</v>
      </c>
      <c r="G37" s="64">
        <f t="shared" si="8"/>
        <v>4</v>
      </c>
      <c r="H37" s="64">
        <f t="shared" si="8"/>
        <v>4</v>
      </c>
      <c r="I37" s="64">
        <f t="shared" si="8"/>
        <v>3</v>
      </c>
      <c r="J37" s="64">
        <f t="shared" si="8"/>
        <v>4</v>
      </c>
      <c r="K37" s="64">
        <f t="shared" si="8"/>
        <v>4</v>
      </c>
      <c r="L37" s="64">
        <f t="shared" si="8"/>
        <v>4</v>
      </c>
      <c r="M37" s="64">
        <f t="shared" si="8"/>
        <v>0</v>
      </c>
      <c r="N37" s="64">
        <f t="shared" si="8"/>
        <v>4</v>
      </c>
      <c r="O37" s="64">
        <f t="shared" si="8"/>
        <v>4</v>
      </c>
      <c r="P37" s="64">
        <f t="shared" si="8"/>
        <v>4</v>
      </c>
      <c r="Q37" s="64">
        <f t="shared" si="8"/>
        <v>4</v>
      </c>
      <c r="R37" s="64">
        <f t="shared" si="8"/>
        <v>4</v>
      </c>
      <c r="S37" s="64">
        <f t="shared" si="8"/>
        <v>4</v>
      </c>
      <c r="T37" s="64">
        <f t="shared" si="8"/>
        <v>1</v>
      </c>
      <c r="U37" s="64">
        <f t="shared" si="8"/>
        <v>4</v>
      </c>
      <c r="V37" s="64">
        <f t="shared" si="8"/>
        <v>4</v>
      </c>
      <c r="W37" s="64">
        <f t="shared" si="8"/>
        <v>4</v>
      </c>
      <c r="X37" s="64">
        <f t="shared" si="8"/>
        <v>4</v>
      </c>
      <c r="Y37" s="64">
        <f t="shared" si="8"/>
        <v>4</v>
      </c>
      <c r="Z37" s="64">
        <f t="shared" si="8"/>
        <v>3</v>
      </c>
      <c r="AA37" s="64">
        <f t="shared" si="8"/>
        <v>0</v>
      </c>
      <c r="AB37" s="64">
        <f t="shared" si="8"/>
        <v>4</v>
      </c>
      <c r="AC37" s="64">
        <f t="shared" si="8"/>
        <v>4</v>
      </c>
      <c r="AD37" s="64">
        <f t="shared" si="8"/>
        <v>3</v>
      </c>
      <c r="AE37" s="64">
        <f t="shared" si="8"/>
        <v>4</v>
      </c>
      <c r="AF37" s="64">
        <f t="shared" si="8"/>
        <v>4</v>
      </c>
      <c r="AG37" s="217"/>
      <c r="AH37" s="27"/>
      <c r="AI37" s="27"/>
      <c r="AJ37" s="28"/>
      <c r="AK37"/>
      <c r="AL37" s="29"/>
    </row>
    <row r="38" spans="2:40" ht="15.9">
      <c r="C38" s="56"/>
      <c r="D38" s="57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27"/>
      <c r="AI38" s="27"/>
      <c r="AJ38" s="28"/>
      <c r="AK38"/>
      <c r="AL38" s="29"/>
    </row>
    <row r="39" spans="2:40" s="73" customFormat="1">
      <c r="C39" s="660" t="s">
        <v>122</v>
      </c>
      <c r="D39" s="660"/>
      <c r="E39" s="99"/>
      <c r="F39" s="661" t="s">
        <v>124</v>
      </c>
      <c r="G39" s="661"/>
      <c r="H39" s="661"/>
      <c r="I39" s="100"/>
      <c r="J39" s="661" t="s">
        <v>127</v>
      </c>
      <c r="K39" s="661"/>
      <c r="L39" s="100"/>
      <c r="M39" s="661" t="s">
        <v>125</v>
      </c>
      <c r="N39" s="661"/>
      <c r="O39" s="661"/>
      <c r="P39" s="100"/>
      <c r="Q39" s="661" t="s">
        <v>125</v>
      </c>
      <c r="R39" s="661"/>
      <c r="S39" s="100"/>
      <c r="T39" s="661" t="s">
        <v>193</v>
      </c>
      <c r="U39" s="661"/>
      <c r="V39" s="661"/>
      <c r="W39" s="100"/>
      <c r="X39" s="661" t="s">
        <v>129</v>
      </c>
      <c r="Y39" s="661"/>
      <c r="Z39" s="100"/>
      <c r="AA39" s="661"/>
      <c r="AB39" s="661"/>
      <c r="AC39" s="661"/>
      <c r="AD39" s="100"/>
      <c r="AE39" s="693" t="s">
        <v>124</v>
      </c>
      <c r="AF39" s="693"/>
      <c r="AG39" s="218"/>
      <c r="AH39" s="27"/>
      <c r="AI39" s="27"/>
      <c r="AJ39" s="28"/>
      <c r="AK39"/>
      <c r="AL39" s="29"/>
      <c r="AM39" s="1"/>
      <c r="AN39" s="1"/>
    </row>
    <row r="40" spans="2:40" s="73" customFormat="1">
      <c r="C40" s="660"/>
      <c r="D40" s="660"/>
      <c r="E40" s="102"/>
      <c r="F40" s="653" t="s">
        <v>194</v>
      </c>
      <c r="G40" s="653"/>
      <c r="H40" s="653"/>
      <c r="I40" s="103"/>
      <c r="J40" s="653" t="s">
        <v>194</v>
      </c>
      <c r="K40" s="653"/>
      <c r="L40" s="103"/>
      <c r="M40" s="653" t="s">
        <v>195</v>
      </c>
      <c r="N40" s="653"/>
      <c r="O40" s="653"/>
      <c r="P40" s="103"/>
      <c r="Q40" s="653" t="s">
        <v>195</v>
      </c>
      <c r="R40" s="653"/>
      <c r="S40" s="103"/>
      <c r="T40" s="653" t="s">
        <v>133</v>
      </c>
      <c r="U40" s="653"/>
      <c r="V40" s="653"/>
      <c r="W40" s="103"/>
      <c r="X40" s="653" t="s">
        <v>133</v>
      </c>
      <c r="Y40" s="653"/>
      <c r="Z40" s="103"/>
      <c r="AA40" s="653"/>
      <c r="AB40" s="653"/>
      <c r="AC40" s="653"/>
      <c r="AD40" s="103"/>
      <c r="AE40" s="654"/>
      <c r="AF40" s="654"/>
      <c r="AG40" s="219"/>
      <c r="AH40" s="27"/>
      <c r="AI40" s="27"/>
      <c r="AJ40" s="28"/>
      <c r="AK40"/>
      <c r="AL40" s="29"/>
      <c r="AM40" s="1"/>
      <c r="AN40" s="1"/>
    </row>
    <row r="41" spans="2:40" s="73" customFormat="1">
      <c r="C41" s="660"/>
      <c r="D41" s="660"/>
      <c r="E41" s="102"/>
      <c r="F41" s="653" t="s">
        <v>140</v>
      </c>
      <c r="G41" s="653"/>
      <c r="H41" s="653"/>
      <c r="I41" s="103"/>
      <c r="J41" s="653" t="s">
        <v>140</v>
      </c>
      <c r="K41" s="653"/>
      <c r="L41" s="103"/>
      <c r="M41" s="689" t="s">
        <v>196</v>
      </c>
      <c r="N41" s="689"/>
      <c r="O41" s="689"/>
      <c r="P41" s="103"/>
      <c r="Q41" s="653" t="s">
        <v>196</v>
      </c>
      <c r="R41" s="653"/>
      <c r="S41" s="103"/>
      <c r="T41" s="653" t="s">
        <v>197</v>
      </c>
      <c r="U41" s="653"/>
      <c r="V41" s="653"/>
      <c r="W41" s="103"/>
      <c r="X41" s="653" t="s">
        <v>197</v>
      </c>
      <c r="Y41" s="653"/>
      <c r="Z41" s="103"/>
      <c r="AA41" s="653"/>
      <c r="AB41" s="653"/>
      <c r="AC41" s="653"/>
      <c r="AD41" s="103"/>
      <c r="AE41" s="654" t="s">
        <v>198</v>
      </c>
      <c r="AF41" s="654"/>
      <c r="AG41" s="220"/>
      <c r="AH41" s="27"/>
      <c r="AI41" s="27"/>
      <c r="AJ41" s="28"/>
      <c r="AK41"/>
      <c r="AL41" s="29"/>
      <c r="AM41" s="1"/>
      <c r="AN41" s="1"/>
    </row>
    <row r="42" spans="2:40" s="73" customFormat="1" ht="15.9">
      <c r="C42" s="660"/>
      <c r="D42" s="660"/>
      <c r="E42" s="106"/>
      <c r="F42" s="649" t="s">
        <v>147</v>
      </c>
      <c r="G42" s="649"/>
      <c r="H42" s="649"/>
      <c r="I42" s="107"/>
      <c r="J42" s="649" t="s">
        <v>147</v>
      </c>
      <c r="K42" s="649"/>
      <c r="L42" s="107"/>
      <c r="M42" s="649" t="s">
        <v>143</v>
      </c>
      <c r="N42" s="649"/>
      <c r="O42" s="649"/>
      <c r="P42" s="107"/>
      <c r="Q42" s="649" t="s">
        <v>143</v>
      </c>
      <c r="R42" s="649"/>
      <c r="S42" s="107"/>
      <c r="T42" s="649" t="s">
        <v>137</v>
      </c>
      <c r="U42" s="649"/>
      <c r="V42" s="649"/>
      <c r="W42" s="107"/>
      <c r="X42" s="649" t="s">
        <v>137</v>
      </c>
      <c r="Y42" s="649"/>
      <c r="Z42" s="107"/>
      <c r="AA42" s="649"/>
      <c r="AB42" s="649"/>
      <c r="AC42" s="649"/>
      <c r="AD42" s="107"/>
      <c r="AE42" s="650"/>
      <c r="AF42" s="650"/>
      <c r="AG42" s="221"/>
      <c r="AH42" s="27"/>
      <c r="AI42" s="27"/>
      <c r="AJ42" s="28"/>
      <c r="AK42"/>
      <c r="AL42" s="29"/>
      <c r="AM42" s="1"/>
      <c r="AN42" s="1"/>
    </row>
    <row r="43" spans="2:40" s="73" customFormat="1" ht="15.9">
      <c r="C43" s="222"/>
      <c r="D43" s="222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690" t="s">
        <v>199</v>
      </c>
      <c r="U43" s="690"/>
      <c r="V43" s="690"/>
      <c r="W43" s="690"/>
      <c r="X43" s="690"/>
      <c r="Y43" s="690"/>
      <c r="Z43" s="78"/>
      <c r="AA43" s="78"/>
      <c r="AB43" s="78"/>
      <c r="AC43" s="78"/>
      <c r="AD43" s="78"/>
      <c r="AE43" s="78"/>
      <c r="AF43" s="78"/>
      <c r="AG43" s="221"/>
      <c r="AH43" s="27"/>
      <c r="AI43" s="27"/>
      <c r="AJ43" s="28"/>
      <c r="AK43"/>
      <c r="AL43" s="29"/>
      <c r="AM43" s="1"/>
      <c r="AN43" s="1"/>
    </row>
    <row r="44" spans="2:40" s="73" customFormat="1" ht="15.9">
      <c r="C44" s="222"/>
      <c r="D44" s="222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691" t="s">
        <v>149</v>
      </c>
      <c r="U44" s="691"/>
      <c r="V44" s="691"/>
      <c r="W44" s="691"/>
      <c r="X44" s="691"/>
      <c r="Y44" s="691"/>
      <c r="Z44" s="78"/>
      <c r="AA44" s="78"/>
      <c r="AB44" s="78"/>
      <c r="AC44" s="78"/>
      <c r="AD44" s="78"/>
      <c r="AE44" s="78"/>
      <c r="AF44" s="78"/>
      <c r="AG44" s="221"/>
      <c r="AH44" s="27"/>
      <c r="AI44" s="27"/>
      <c r="AJ44" s="28"/>
      <c r="AK44"/>
      <c r="AL44" s="29"/>
      <c r="AM44" s="1"/>
      <c r="AN44" s="1"/>
    </row>
    <row r="45" spans="2:40" s="73" customFormat="1" ht="15.9">
      <c r="C45" s="222"/>
      <c r="D45" s="222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692" t="s">
        <v>200</v>
      </c>
      <c r="U45" s="692"/>
      <c r="V45" s="692"/>
      <c r="W45" s="692"/>
      <c r="X45" s="692"/>
      <c r="Y45" s="692"/>
      <c r="Z45" s="78"/>
      <c r="AA45" s="78"/>
      <c r="AB45" s="78"/>
      <c r="AC45" s="78"/>
      <c r="AD45" s="78"/>
      <c r="AE45" s="78"/>
      <c r="AF45" s="78"/>
      <c r="AG45" s="221"/>
      <c r="AH45" s="27"/>
      <c r="AI45" s="27"/>
      <c r="AJ45" s="28"/>
      <c r="AK45"/>
      <c r="AL45" s="29"/>
      <c r="AM45" s="1"/>
      <c r="AN45" s="1"/>
    </row>
    <row r="46" spans="2:40" s="73" customFormat="1" ht="15.9">
      <c r="C46" s="77"/>
      <c r="D46" s="77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223"/>
      <c r="AH46" s="27"/>
      <c r="AI46" s="27"/>
      <c r="AJ46" s="28"/>
      <c r="AK46"/>
      <c r="AL46" s="29"/>
      <c r="AM46" s="1"/>
      <c r="AN46" s="1"/>
    </row>
    <row r="47" spans="2:40" s="73" customFormat="1" ht="11.25" customHeight="1">
      <c r="C47" s="655" t="s">
        <v>123</v>
      </c>
      <c r="D47" s="655"/>
      <c r="E47" s="99"/>
      <c r="F47" s="656" t="s">
        <v>201</v>
      </c>
      <c r="G47" s="656"/>
      <c r="H47" s="656"/>
      <c r="I47" s="100"/>
      <c r="J47" s="657" t="s">
        <v>201</v>
      </c>
      <c r="K47" s="657"/>
      <c r="L47" s="100"/>
      <c r="M47" s="656" t="s">
        <v>202</v>
      </c>
      <c r="N47" s="656"/>
      <c r="O47" s="656"/>
      <c r="P47" s="100"/>
      <c r="Q47" s="657" t="s">
        <v>202</v>
      </c>
      <c r="R47" s="657"/>
      <c r="S47" s="100"/>
      <c r="T47" s="656" t="s">
        <v>203</v>
      </c>
      <c r="U47" s="656"/>
      <c r="V47" s="656"/>
      <c r="W47" s="100"/>
      <c r="X47" s="656" t="s">
        <v>203</v>
      </c>
      <c r="Y47" s="656"/>
      <c r="Z47" s="100"/>
      <c r="AA47" s="656" t="s">
        <v>204</v>
      </c>
      <c r="AB47" s="656"/>
      <c r="AC47" s="656"/>
      <c r="AD47" s="100"/>
      <c r="AE47" s="657" t="s">
        <v>205</v>
      </c>
      <c r="AF47" s="657"/>
      <c r="AG47" s="221"/>
      <c r="AH47" s="27"/>
      <c r="AI47" s="27"/>
      <c r="AJ47" s="28"/>
      <c r="AK47"/>
      <c r="AL47" s="29"/>
      <c r="AM47" s="1"/>
      <c r="AN47" s="1"/>
    </row>
    <row r="48" spans="2:40" s="73" customFormat="1" ht="11.25" customHeight="1">
      <c r="C48" s="655"/>
      <c r="D48" s="655"/>
      <c r="E48" s="102"/>
      <c r="F48" s="653" t="s">
        <v>206</v>
      </c>
      <c r="G48" s="653"/>
      <c r="H48" s="653"/>
      <c r="I48" s="103"/>
      <c r="J48" s="654" t="s">
        <v>206</v>
      </c>
      <c r="K48" s="654"/>
      <c r="L48" s="103"/>
      <c r="M48" s="653" t="s">
        <v>207</v>
      </c>
      <c r="N48" s="653"/>
      <c r="O48" s="653"/>
      <c r="P48" s="103"/>
      <c r="Q48" s="654" t="s">
        <v>207</v>
      </c>
      <c r="R48" s="654"/>
      <c r="S48" s="103"/>
      <c r="T48" s="653" t="s">
        <v>208</v>
      </c>
      <c r="U48" s="653"/>
      <c r="V48" s="653"/>
      <c r="W48" s="103"/>
      <c r="X48" s="653" t="s">
        <v>208</v>
      </c>
      <c r="Y48" s="653"/>
      <c r="Z48" s="103"/>
      <c r="AA48" s="653" t="s">
        <v>209</v>
      </c>
      <c r="AB48" s="653"/>
      <c r="AC48" s="653"/>
      <c r="AD48" s="103"/>
      <c r="AE48" s="654" t="s">
        <v>209</v>
      </c>
      <c r="AF48" s="654"/>
      <c r="AG48" s="221"/>
      <c r="AH48" s="27"/>
      <c r="AI48" s="27"/>
      <c r="AJ48" s="28"/>
      <c r="AK48"/>
      <c r="AL48" s="29"/>
      <c r="AM48" s="1"/>
      <c r="AN48" s="1"/>
    </row>
    <row r="49" spans="1:40" s="73" customFormat="1" ht="11.25" customHeight="1">
      <c r="C49" s="655"/>
      <c r="D49" s="655"/>
      <c r="E49" s="102"/>
      <c r="F49" s="653" t="s">
        <v>210</v>
      </c>
      <c r="G49" s="653"/>
      <c r="H49" s="653"/>
      <c r="I49" s="103"/>
      <c r="J49" s="654" t="s">
        <v>210</v>
      </c>
      <c r="K49" s="654"/>
      <c r="L49" s="103"/>
      <c r="M49" s="653" t="s">
        <v>211</v>
      </c>
      <c r="N49" s="653"/>
      <c r="O49" s="653"/>
      <c r="P49" s="103"/>
      <c r="Q49" s="654" t="s">
        <v>211</v>
      </c>
      <c r="R49" s="654"/>
      <c r="S49" s="103"/>
      <c r="T49" s="653" t="s">
        <v>212</v>
      </c>
      <c r="U49" s="653"/>
      <c r="V49" s="653"/>
      <c r="W49" s="103"/>
      <c r="X49" s="653" t="s">
        <v>212</v>
      </c>
      <c r="Y49" s="653"/>
      <c r="Z49" s="103"/>
      <c r="AA49" s="653" t="s">
        <v>213</v>
      </c>
      <c r="AB49" s="653"/>
      <c r="AC49" s="653"/>
      <c r="AD49" s="103"/>
      <c r="AE49" s="654" t="s">
        <v>213</v>
      </c>
      <c r="AF49" s="654"/>
      <c r="AG49" s="221"/>
      <c r="AH49" s="27"/>
      <c r="AI49" s="27"/>
      <c r="AJ49" s="28"/>
      <c r="AK49"/>
      <c r="AL49" s="29"/>
      <c r="AM49" s="1"/>
      <c r="AN49" s="1"/>
    </row>
    <row r="50" spans="1:40" s="73" customFormat="1" ht="11.25" customHeight="1">
      <c r="C50" s="655"/>
      <c r="D50" s="655"/>
      <c r="E50" s="106"/>
      <c r="F50" s="649" t="s">
        <v>214</v>
      </c>
      <c r="G50" s="649"/>
      <c r="H50" s="649"/>
      <c r="I50" s="107"/>
      <c r="J50" s="650" t="s">
        <v>214</v>
      </c>
      <c r="K50" s="650"/>
      <c r="L50" s="107"/>
      <c r="M50" s="649" t="s">
        <v>215</v>
      </c>
      <c r="N50" s="649"/>
      <c r="O50" s="649"/>
      <c r="P50" s="107"/>
      <c r="Q50" s="650" t="s">
        <v>215</v>
      </c>
      <c r="R50" s="650"/>
      <c r="S50" s="107"/>
      <c r="T50" s="649" t="s">
        <v>210</v>
      </c>
      <c r="U50" s="649"/>
      <c r="V50" s="649"/>
      <c r="W50" s="107"/>
      <c r="X50" s="649" t="s">
        <v>210</v>
      </c>
      <c r="Y50" s="649"/>
      <c r="Z50" s="107"/>
      <c r="AA50" s="649" t="s">
        <v>216</v>
      </c>
      <c r="AB50" s="649"/>
      <c r="AC50" s="649"/>
      <c r="AD50" s="107"/>
      <c r="AE50" s="650" t="s">
        <v>216</v>
      </c>
      <c r="AF50" s="650"/>
      <c r="AG50" s="221"/>
      <c r="AH50" s="27"/>
      <c r="AI50" s="27"/>
      <c r="AJ50" s="28"/>
      <c r="AK50"/>
      <c r="AL50" s="29"/>
      <c r="AM50" s="1"/>
      <c r="AN50" s="1"/>
    </row>
    <row r="51" spans="1:40" s="73" customFormat="1" ht="11.25" customHeight="1">
      <c r="C51" s="77"/>
      <c r="D51" s="77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223"/>
      <c r="AH51" s="27"/>
      <c r="AI51" s="27"/>
      <c r="AJ51" s="28"/>
      <c r="AK51"/>
      <c r="AL51" s="29"/>
      <c r="AM51" s="1"/>
      <c r="AN51" s="1"/>
    </row>
    <row r="52" spans="1:40" s="3" customFormat="1" ht="15.75" customHeight="1">
      <c r="C52" s="61"/>
      <c r="D52" s="81"/>
      <c r="AG52" s="223"/>
      <c r="AH52" s="27"/>
      <c r="AI52" s="27"/>
      <c r="AJ52" s="28"/>
      <c r="AK52"/>
      <c r="AL52" s="29"/>
      <c r="AM52" s="1"/>
      <c r="AN52" s="1"/>
    </row>
    <row r="53" spans="1:40" ht="43.3">
      <c r="A53" s="1" t="s">
        <v>52</v>
      </c>
      <c r="E53" s="84">
        <v>44228</v>
      </c>
      <c r="F53" s="195">
        <v>44229</v>
      </c>
      <c r="G53" s="195">
        <v>44230</v>
      </c>
      <c r="H53" s="195">
        <v>44231</v>
      </c>
      <c r="I53" s="195">
        <v>44232</v>
      </c>
      <c r="J53" s="196">
        <v>44233</v>
      </c>
      <c r="K53" s="196">
        <v>44234</v>
      </c>
      <c r="L53" s="195">
        <v>44235</v>
      </c>
      <c r="M53" s="195">
        <v>44236</v>
      </c>
      <c r="N53" s="195">
        <v>44237</v>
      </c>
      <c r="O53" s="195">
        <v>44238</v>
      </c>
      <c r="P53" s="195">
        <v>44239</v>
      </c>
      <c r="Q53" s="196">
        <v>44240</v>
      </c>
      <c r="R53" s="196">
        <v>44241</v>
      </c>
      <c r="S53" s="195">
        <v>44242</v>
      </c>
      <c r="T53" s="195">
        <v>44243</v>
      </c>
      <c r="U53" s="195">
        <v>44244</v>
      </c>
      <c r="V53" s="195">
        <v>44245</v>
      </c>
      <c r="W53" s="195">
        <v>44246</v>
      </c>
      <c r="X53" s="196">
        <v>44247</v>
      </c>
      <c r="Y53" s="196">
        <v>44248</v>
      </c>
      <c r="Z53" s="195">
        <v>44249</v>
      </c>
      <c r="AA53" s="195">
        <v>44250</v>
      </c>
      <c r="AB53" s="195">
        <v>44251</v>
      </c>
      <c r="AC53" s="195">
        <v>44252</v>
      </c>
      <c r="AD53" s="195">
        <v>44253</v>
      </c>
      <c r="AE53" s="196">
        <v>44254</v>
      </c>
      <c r="AF53" s="128">
        <v>44255</v>
      </c>
      <c r="AG53" s="223"/>
      <c r="AH53" s="27">
        <v>160</v>
      </c>
      <c r="AI53" s="27"/>
      <c r="AJ53" s="28"/>
      <c r="AK53"/>
      <c r="AL53" s="29"/>
    </row>
    <row r="54" spans="1:40" ht="15.9">
      <c r="A54" s="1" t="s">
        <v>152</v>
      </c>
      <c r="B54" s="1" t="s">
        <v>93</v>
      </c>
      <c r="C54" s="224" t="s">
        <v>3</v>
      </c>
      <c r="D54" s="225" t="e">
        <f>#REF!</f>
        <v>#REF!</v>
      </c>
      <c r="E54" s="32"/>
      <c r="F54" s="32">
        <v>17</v>
      </c>
      <c r="G54" s="32" t="s">
        <v>95</v>
      </c>
      <c r="H54" s="32" t="s">
        <v>95</v>
      </c>
      <c r="I54" s="32">
        <v>15</v>
      </c>
      <c r="J54" s="36"/>
      <c r="K54" s="36"/>
      <c r="L54" s="32"/>
      <c r="M54" s="32"/>
      <c r="N54" s="32">
        <v>8</v>
      </c>
      <c r="O54" s="32">
        <v>8</v>
      </c>
      <c r="P54" s="32"/>
      <c r="Q54" s="36"/>
      <c r="R54" s="36"/>
      <c r="S54" s="32">
        <v>7</v>
      </c>
      <c r="T54" s="32"/>
      <c r="U54" s="32"/>
      <c r="V54" s="32"/>
      <c r="W54" s="32" t="s">
        <v>113</v>
      </c>
      <c r="X54" s="36"/>
      <c r="Y54" s="36"/>
      <c r="Z54" s="32"/>
      <c r="AA54" s="32">
        <v>7</v>
      </c>
      <c r="AB54" s="32">
        <v>8</v>
      </c>
      <c r="AC54" s="32"/>
      <c r="AD54" s="32"/>
      <c r="AE54" s="36"/>
      <c r="AF54" s="145"/>
      <c r="AG54" s="223" t="e">
        <f>_xlfn.CONCAT(#REF!,#REF!)</f>
        <v>#REF!</v>
      </c>
      <c r="AH54" s="27" t="e">
        <f t="shared" ref="AH54:AH85" si="9">D54+AJ54+AK54+AL54-$AH$1+AM54+AN54</f>
        <v>#REF!</v>
      </c>
      <c r="AI54" s="27" t="e">
        <f>MARZEC!AK51</f>
        <v>#REF!</v>
      </c>
      <c r="AJ54" s="28">
        <f t="shared" ref="AJ54:AJ85" si="10">COUNTIF(E54:AF54,"D")*24+COUNTIF(E54:AF54,"12g")*12</f>
        <v>24</v>
      </c>
      <c r="AK54">
        <f t="shared" ref="AK54:AK85" si="11">SUM(COUNTIF(E54:AF54,"k")+COUNTIF(E54:AF54,"s")+COUNTIF(E54:AF54,"wse"))*24+SUM(COUNTIF(E54:AF54,"Pk")+COUNTIF(E54:AF54,"Ps"))*12</f>
        <v>48</v>
      </c>
      <c r="AL54" s="29">
        <f t="shared" ref="AL54:AL85" si="12">SUM(E54:AF54)+COUNTIF(E54:AF54,"uw")*8+COUNTIF(E54:AF54,"us")*8+COUNTIF(E54:AF54,"uz")*8+COUNTIF(E54:AF54,"u")*8</f>
        <v>70</v>
      </c>
      <c r="AM54" s="1">
        <f t="shared" ref="AM54:AM85" si="13">COUNTIF(A54:AE54,"DT")*8</f>
        <v>0</v>
      </c>
    </row>
    <row r="55" spans="1:40" ht="15.9">
      <c r="A55" s="1" t="s">
        <v>155</v>
      </c>
      <c r="B55" s="1" t="s">
        <v>73</v>
      </c>
      <c r="C55" s="226" t="s">
        <v>4</v>
      </c>
      <c r="D55" s="225" t="e">
        <f>#REF!</f>
        <v>#REF!</v>
      </c>
      <c r="E55" s="32"/>
      <c r="F55" s="32"/>
      <c r="G55" s="32"/>
      <c r="H55" s="32" t="s">
        <v>88</v>
      </c>
      <c r="I55" s="32" t="s">
        <v>88</v>
      </c>
      <c r="J55" s="36"/>
      <c r="K55" s="36"/>
      <c r="L55" s="32">
        <v>17</v>
      </c>
      <c r="M55" s="32" t="s">
        <v>70</v>
      </c>
      <c r="N55" s="32" t="s">
        <v>70</v>
      </c>
      <c r="O55" s="32" t="s">
        <v>70</v>
      </c>
      <c r="P55" s="32" t="s">
        <v>70</v>
      </c>
      <c r="Q55" s="36" t="s">
        <v>70</v>
      </c>
      <c r="R55" s="36" t="s">
        <v>70</v>
      </c>
      <c r="S55" s="32">
        <v>15</v>
      </c>
      <c r="T55" s="32"/>
      <c r="U55" s="32"/>
      <c r="V55" s="32"/>
      <c r="W55" s="32"/>
      <c r="X55" s="36"/>
      <c r="Y55" s="36"/>
      <c r="Z55" s="32"/>
      <c r="AA55" s="32"/>
      <c r="AB55" s="32"/>
      <c r="AC55" s="32"/>
      <c r="AD55" s="32"/>
      <c r="AE55" s="36"/>
      <c r="AF55" s="145"/>
      <c r="AG55" s="223" t="e">
        <f>_xlfn.CONCAT(#REF!,#REF!)</f>
        <v>#REF!</v>
      </c>
      <c r="AH55" s="27" t="e">
        <f t="shared" si="9"/>
        <v>#REF!</v>
      </c>
      <c r="AI55" s="27" t="e">
        <f>MARZEC!AK52</f>
        <v>#REF!</v>
      </c>
      <c r="AJ55" s="28">
        <f t="shared" si="10"/>
        <v>0</v>
      </c>
      <c r="AK55">
        <f t="shared" si="11"/>
        <v>144</v>
      </c>
      <c r="AL55" s="29">
        <f t="shared" si="12"/>
        <v>48</v>
      </c>
      <c r="AM55" s="1">
        <f t="shared" si="13"/>
        <v>0</v>
      </c>
    </row>
    <row r="56" spans="1:40" ht="15.9">
      <c r="A56" s="1" t="s">
        <v>67</v>
      </c>
      <c r="B56" s="1" t="s">
        <v>73</v>
      </c>
      <c r="C56" s="226" t="s">
        <v>5</v>
      </c>
      <c r="D56" s="225" t="e">
        <f>#REF!</f>
        <v>#REF!</v>
      </c>
      <c r="E56" s="32">
        <v>8</v>
      </c>
      <c r="F56" s="32"/>
      <c r="G56" s="32"/>
      <c r="H56" s="32"/>
      <c r="I56" s="32"/>
      <c r="J56" s="36"/>
      <c r="K56" s="36"/>
      <c r="L56" s="32"/>
      <c r="M56" s="32">
        <v>15.5</v>
      </c>
      <c r="N56" s="32" t="s">
        <v>95</v>
      </c>
      <c r="O56" s="32" t="s">
        <v>95</v>
      </c>
      <c r="P56" s="32" t="s">
        <v>95</v>
      </c>
      <c r="Q56" s="36" t="s">
        <v>95</v>
      </c>
      <c r="R56" s="36" t="s">
        <v>95</v>
      </c>
      <c r="S56" s="32" t="s">
        <v>95</v>
      </c>
      <c r="T56" s="32">
        <v>13</v>
      </c>
      <c r="U56" s="32"/>
      <c r="V56" s="32"/>
      <c r="W56" s="32"/>
      <c r="X56" s="36"/>
      <c r="Y56" s="36"/>
      <c r="Z56" s="32"/>
      <c r="AA56" s="32"/>
      <c r="AB56" s="32"/>
      <c r="AC56" s="32"/>
      <c r="AD56" s="32"/>
      <c r="AE56" s="36"/>
      <c r="AF56" s="145"/>
      <c r="AG56" s="223" t="e">
        <f>_xlfn.CONCAT(#REF!,#REF!)</f>
        <v>#REF!</v>
      </c>
      <c r="AH56" s="27" t="e">
        <f t="shared" si="9"/>
        <v>#REF!</v>
      </c>
      <c r="AI56" s="27" t="e">
        <f>MARZEC!AK53</f>
        <v>#REF!</v>
      </c>
      <c r="AJ56" s="28">
        <f t="shared" si="10"/>
        <v>0</v>
      </c>
      <c r="AK56">
        <f t="shared" si="11"/>
        <v>144</v>
      </c>
      <c r="AL56" s="29">
        <f t="shared" si="12"/>
        <v>36.5</v>
      </c>
      <c r="AM56" s="1">
        <f t="shared" si="13"/>
        <v>0</v>
      </c>
    </row>
    <row r="57" spans="1:40" ht="15.9">
      <c r="A57" s="1" t="s">
        <v>152</v>
      </c>
      <c r="B57" s="1" t="s">
        <v>64</v>
      </c>
      <c r="C57" s="227" t="s">
        <v>6</v>
      </c>
      <c r="D57" s="225" t="e">
        <f>#REF!</f>
        <v>#REF!</v>
      </c>
      <c r="E57" s="32"/>
      <c r="F57" s="32"/>
      <c r="G57" s="32" t="s">
        <v>176</v>
      </c>
      <c r="H57" s="32"/>
      <c r="I57" s="32"/>
      <c r="J57" s="36"/>
      <c r="K57" s="36"/>
      <c r="L57" s="32" t="s">
        <v>113</v>
      </c>
      <c r="M57" s="32"/>
      <c r="N57" s="32">
        <v>8</v>
      </c>
      <c r="O57" s="32">
        <v>8</v>
      </c>
      <c r="P57" s="32"/>
      <c r="Q57" s="36"/>
      <c r="R57" s="36" t="s">
        <v>113</v>
      </c>
      <c r="S57" s="32"/>
      <c r="T57" s="32"/>
      <c r="U57" s="32"/>
      <c r="V57" s="32"/>
      <c r="W57" s="32"/>
      <c r="X57" s="36"/>
      <c r="Y57" s="36" t="s">
        <v>113</v>
      </c>
      <c r="Z57" s="32"/>
      <c r="AA57" s="32"/>
      <c r="AB57" s="32"/>
      <c r="AC57" s="32"/>
      <c r="AD57" s="32"/>
      <c r="AE57" s="36" t="s">
        <v>113</v>
      </c>
      <c r="AF57" s="145"/>
      <c r="AG57" s="223" t="e">
        <f>_xlfn.CONCAT(#REF!,#REF!)</f>
        <v>#REF!</v>
      </c>
      <c r="AH57" s="27" t="e">
        <f t="shared" si="9"/>
        <v>#REF!</v>
      </c>
      <c r="AI57" s="27" t="e">
        <f>MARZEC!AK54</f>
        <v>#REF!</v>
      </c>
      <c r="AJ57" s="28">
        <f t="shared" si="10"/>
        <v>96</v>
      </c>
      <c r="AK57">
        <f t="shared" si="11"/>
        <v>0</v>
      </c>
      <c r="AL57" s="29">
        <f t="shared" si="12"/>
        <v>24</v>
      </c>
      <c r="AM57" s="1">
        <f t="shared" si="13"/>
        <v>0</v>
      </c>
    </row>
    <row r="58" spans="1:40" ht="15.9">
      <c r="A58" s="1" t="s">
        <v>156</v>
      </c>
      <c r="B58" s="1" t="s">
        <v>59</v>
      </c>
      <c r="C58" s="228" t="s">
        <v>7</v>
      </c>
      <c r="D58" s="225" t="e">
        <f>#REF!</f>
        <v>#REF!</v>
      </c>
      <c r="E58" s="32">
        <v>8</v>
      </c>
      <c r="F58" s="32">
        <v>8</v>
      </c>
      <c r="G58" s="32">
        <v>8</v>
      </c>
      <c r="H58" s="32">
        <v>8</v>
      </c>
      <c r="I58" s="32"/>
      <c r="J58" s="36"/>
      <c r="K58" s="36"/>
      <c r="L58" s="32"/>
      <c r="M58" s="32" t="s">
        <v>217</v>
      </c>
      <c r="N58" s="32" t="s">
        <v>217</v>
      </c>
      <c r="O58" s="32" t="s">
        <v>217</v>
      </c>
      <c r="P58" s="32" t="s">
        <v>217</v>
      </c>
      <c r="Q58" s="36" t="s">
        <v>66</v>
      </c>
      <c r="R58" s="36" t="s">
        <v>66</v>
      </c>
      <c r="S58" s="32" t="s">
        <v>217</v>
      </c>
      <c r="T58" s="32"/>
      <c r="U58" s="32"/>
      <c r="V58" s="32"/>
      <c r="W58" s="32"/>
      <c r="X58" s="36"/>
      <c r="Y58" s="36"/>
      <c r="Z58" s="32"/>
      <c r="AA58" s="32"/>
      <c r="AB58" s="32"/>
      <c r="AC58" s="32"/>
      <c r="AD58" s="32"/>
      <c r="AE58" s="36"/>
      <c r="AF58" s="145"/>
      <c r="AG58" s="223" t="e">
        <f>_xlfn.CONCAT(#REF!,#REF!)</f>
        <v>#REF!</v>
      </c>
      <c r="AH58" s="27" t="e">
        <f t="shared" si="9"/>
        <v>#REF!</v>
      </c>
      <c r="AI58" s="27" t="e">
        <f>MARZEC!AK55</f>
        <v>#REF!</v>
      </c>
      <c r="AJ58" s="28">
        <f t="shared" si="10"/>
        <v>0</v>
      </c>
      <c r="AK58">
        <f t="shared" si="11"/>
        <v>0</v>
      </c>
      <c r="AL58" s="29">
        <f t="shared" si="12"/>
        <v>72</v>
      </c>
      <c r="AM58" s="1">
        <f t="shared" si="13"/>
        <v>0</v>
      </c>
    </row>
    <row r="59" spans="1:40" ht="15.9">
      <c r="A59" s="1" t="s">
        <v>58</v>
      </c>
      <c r="B59" s="1" t="s">
        <v>73</v>
      </c>
      <c r="C59" s="226" t="s">
        <v>8</v>
      </c>
      <c r="D59" s="225" t="e">
        <f>#REF!</f>
        <v>#REF!</v>
      </c>
      <c r="E59" s="32" t="s">
        <v>113</v>
      </c>
      <c r="F59" s="32"/>
      <c r="G59" s="32"/>
      <c r="H59" s="32"/>
      <c r="I59" s="32"/>
      <c r="J59" s="36"/>
      <c r="K59" s="36"/>
      <c r="L59" s="32" t="s">
        <v>176</v>
      </c>
      <c r="M59" s="32" t="s">
        <v>176</v>
      </c>
      <c r="N59" s="32" t="s">
        <v>176</v>
      </c>
      <c r="O59" s="32" t="s">
        <v>176</v>
      </c>
      <c r="P59" s="32" t="s">
        <v>176</v>
      </c>
      <c r="Q59" s="36"/>
      <c r="R59" s="36"/>
      <c r="S59" s="32"/>
      <c r="T59" s="32"/>
      <c r="U59" s="32"/>
      <c r="V59" s="32"/>
      <c r="W59" s="32"/>
      <c r="X59" s="36"/>
      <c r="Y59" s="36"/>
      <c r="Z59" s="32"/>
      <c r="AA59" s="32" t="s">
        <v>69</v>
      </c>
      <c r="AB59" s="32" t="s">
        <v>70</v>
      </c>
      <c r="AC59" s="32" t="s">
        <v>70</v>
      </c>
      <c r="AD59" s="32" t="s">
        <v>69</v>
      </c>
      <c r="AE59" s="36"/>
      <c r="AF59" s="145"/>
      <c r="AG59" s="223" t="e">
        <f>_xlfn.CONCAT(#REF!,#REF!)</f>
        <v>#REF!</v>
      </c>
      <c r="AH59" s="27" t="e">
        <f t="shared" si="9"/>
        <v>#REF!</v>
      </c>
      <c r="AI59" s="27" t="e">
        <f>MARZEC!AK56</f>
        <v>#REF!</v>
      </c>
      <c r="AJ59" s="28">
        <f t="shared" si="10"/>
        <v>24</v>
      </c>
      <c r="AK59">
        <f t="shared" si="11"/>
        <v>72</v>
      </c>
      <c r="AL59" s="29">
        <f t="shared" si="12"/>
        <v>40</v>
      </c>
      <c r="AM59" s="1">
        <f t="shared" si="13"/>
        <v>0</v>
      </c>
    </row>
    <row r="60" spans="1:40" ht="15.9">
      <c r="A60" s="1" t="s">
        <v>152</v>
      </c>
      <c r="B60" s="1" t="s">
        <v>59</v>
      </c>
      <c r="C60" s="227" t="s">
        <v>9</v>
      </c>
      <c r="D60" s="225" t="e">
        <f>#REF!</f>
        <v>#REF!</v>
      </c>
      <c r="E60" s="32">
        <v>7.5</v>
      </c>
      <c r="F60" s="32">
        <v>7.5</v>
      </c>
      <c r="G60" s="32">
        <v>8</v>
      </c>
      <c r="H60" s="32">
        <v>8.5</v>
      </c>
      <c r="I60" s="32">
        <v>1</v>
      </c>
      <c r="J60" s="36"/>
      <c r="K60" s="36"/>
      <c r="L60" s="32">
        <v>8</v>
      </c>
      <c r="M60" s="32">
        <v>6.5</v>
      </c>
      <c r="N60" s="32">
        <v>7</v>
      </c>
      <c r="O60" s="32" t="s">
        <v>113</v>
      </c>
      <c r="P60" s="32"/>
      <c r="Q60" s="36"/>
      <c r="R60" s="36"/>
      <c r="S60" s="32"/>
      <c r="T60" s="32"/>
      <c r="U60" s="32"/>
      <c r="V60" s="32"/>
      <c r="W60" s="32"/>
      <c r="X60" s="36"/>
      <c r="Y60" s="36"/>
      <c r="Z60" s="32"/>
      <c r="AA60" s="32"/>
      <c r="AB60" s="32"/>
      <c r="AC60" s="32"/>
      <c r="AD60" s="32"/>
      <c r="AE60" s="36"/>
      <c r="AF60" s="145"/>
      <c r="AG60" s="223" t="e">
        <f>_xlfn.CONCAT(#REF!,#REF!)</f>
        <v>#REF!</v>
      </c>
      <c r="AH60" s="27" t="e">
        <f t="shared" si="9"/>
        <v>#REF!</v>
      </c>
      <c r="AI60" s="27" t="e">
        <f>MARZEC!AK57</f>
        <v>#REF!</v>
      </c>
      <c r="AJ60" s="28">
        <f t="shared" si="10"/>
        <v>24</v>
      </c>
      <c r="AK60">
        <f t="shared" si="11"/>
        <v>0</v>
      </c>
      <c r="AL60" s="29">
        <f t="shared" si="12"/>
        <v>54</v>
      </c>
      <c r="AM60" s="1">
        <f t="shared" si="13"/>
        <v>0</v>
      </c>
    </row>
    <row r="61" spans="1:40" ht="15.9">
      <c r="A61" s="1" t="s">
        <v>157</v>
      </c>
      <c r="B61" s="1" t="s">
        <v>59</v>
      </c>
      <c r="C61" s="228" t="s">
        <v>10</v>
      </c>
      <c r="D61" s="225" t="e">
        <f>#REF!</f>
        <v>#REF!</v>
      </c>
      <c r="E61" s="32"/>
      <c r="F61" s="32">
        <v>17</v>
      </c>
      <c r="G61" s="32" t="s">
        <v>95</v>
      </c>
      <c r="H61" s="32" t="s">
        <v>95</v>
      </c>
      <c r="I61" s="32" t="s">
        <v>95</v>
      </c>
      <c r="J61" s="36" t="s">
        <v>95</v>
      </c>
      <c r="K61" s="36" t="s">
        <v>95</v>
      </c>
      <c r="L61" s="32" t="s">
        <v>95</v>
      </c>
      <c r="M61" s="32">
        <v>12</v>
      </c>
      <c r="N61" s="32"/>
      <c r="O61" s="32"/>
      <c r="P61" s="32">
        <v>8</v>
      </c>
      <c r="Q61" s="36"/>
      <c r="R61" s="36"/>
      <c r="S61" s="32">
        <v>8</v>
      </c>
      <c r="T61" s="32">
        <v>7</v>
      </c>
      <c r="U61" s="32"/>
      <c r="V61" s="32"/>
      <c r="W61" s="32"/>
      <c r="X61" s="36"/>
      <c r="Y61" s="36"/>
      <c r="Z61" s="32"/>
      <c r="AA61" s="32"/>
      <c r="AB61" s="32"/>
      <c r="AC61" s="32"/>
      <c r="AD61" s="32"/>
      <c r="AE61" s="36"/>
      <c r="AF61" s="145"/>
      <c r="AG61" s="223" t="e">
        <f>_xlfn.CONCAT(#REF!,#REF!)</f>
        <v>#REF!</v>
      </c>
      <c r="AH61" s="27" t="e">
        <f t="shared" si="9"/>
        <v>#REF!</v>
      </c>
      <c r="AI61" s="27" t="e">
        <f>MARZEC!AK58</f>
        <v>#REF!</v>
      </c>
      <c r="AJ61" s="28">
        <f t="shared" si="10"/>
        <v>0</v>
      </c>
      <c r="AK61">
        <f t="shared" si="11"/>
        <v>144</v>
      </c>
      <c r="AL61" s="29">
        <f t="shared" si="12"/>
        <v>52</v>
      </c>
      <c r="AM61" s="1">
        <f t="shared" si="13"/>
        <v>0</v>
      </c>
    </row>
    <row r="62" spans="1:40" ht="15.9">
      <c r="A62" s="1" t="s">
        <v>58</v>
      </c>
      <c r="B62" s="1" t="s">
        <v>59</v>
      </c>
      <c r="C62" s="226" t="s">
        <v>11</v>
      </c>
      <c r="D62" s="225" t="e">
        <f>#REF!</f>
        <v>#REF!</v>
      </c>
      <c r="E62" s="32"/>
      <c r="F62" s="32"/>
      <c r="G62" s="32"/>
      <c r="H62" s="32"/>
      <c r="I62" s="32">
        <v>17</v>
      </c>
      <c r="J62" s="36" t="s">
        <v>95</v>
      </c>
      <c r="K62" s="36" t="s">
        <v>95</v>
      </c>
      <c r="L62" s="32" t="s">
        <v>95</v>
      </c>
      <c r="M62" s="32" t="s">
        <v>92</v>
      </c>
      <c r="N62" s="32"/>
      <c r="O62" s="32"/>
      <c r="P62" s="32"/>
      <c r="Q62" s="36"/>
      <c r="R62" s="36"/>
      <c r="S62" s="32"/>
      <c r="T62" s="32"/>
      <c r="U62" s="32"/>
      <c r="V62" s="32"/>
      <c r="W62" s="32"/>
      <c r="X62" s="36"/>
      <c r="Y62" s="36"/>
      <c r="Z62" s="32"/>
      <c r="AA62" s="32" t="s">
        <v>92</v>
      </c>
      <c r="AB62" s="32" t="s">
        <v>95</v>
      </c>
      <c r="AC62" s="32" t="s">
        <v>95</v>
      </c>
      <c r="AD62" s="32" t="s">
        <v>92</v>
      </c>
      <c r="AE62" s="36"/>
      <c r="AF62" s="145"/>
      <c r="AG62" s="223" t="e">
        <f>_xlfn.CONCAT(#REF!,#REF!)</f>
        <v>#REF!</v>
      </c>
      <c r="AH62" s="27" t="e">
        <f t="shared" si="9"/>
        <v>#REF!</v>
      </c>
      <c r="AI62" s="27" t="e">
        <f>MARZEC!AK59</f>
        <v>#REF!</v>
      </c>
      <c r="AJ62" s="28">
        <f t="shared" si="10"/>
        <v>0</v>
      </c>
      <c r="AK62">
        <f t="shared" si="11"/>
        <v>156</v>
      </c>
      <c r="AL62" s="29">
        <f t="shared" si="12"/>
        <v>17</v>
      </c>
      <c r="AM62" s="1">
        <f t="shared" si="13"/>
        <v>0</v>
      </c>
    </row>
    <row r="63" spans="1:40" ht="15.9">
      <c r="A63" s="1" t="s">
        <v>152</v>
      </c>
      <c r="B63" s="1" t="s">
        <v>64</v>
      </c>
      <c r="C63" s="227" t="s">
        <v>12</v>
      </c>
      <c r="D63" s="225" t="e">
        <f>#REF!</f>
        <v>#REF!</v>
      </c>
      <c r="E63" s="32">
        <v>8</v>
      </c>
      <c r="F63" s="32" t="s">
        <v>113</v>
      </c>
      <c r="G63" s="32"/>
      <c r="H63" s="32"/>
      <c r="I63" s="32"/>
      <c r="J63" s="36" t="s">
        <v>113</v>
      </c>
      <c r="K63" s="36"/>
      <c r="L63" s="32">
        <v>8</v>
      </c>
      <c r="M63" s="32">
        <v>7</v>
      </c>
      <c r="N63" s="32">
        <v>8</v>
      </c>
      <c r="O63" s="32"/>
      <c r="P63" s="32"/>
      <c r="Q63" s="36" t="s">
        <v>113</v>
      </c>
      <c r="R63" s="36"/>
      <c r="S63" s="32"/>
      <c r="T63" s="32"/>
      <c r="U63" s="32"/>
      <c r="V63" s="32"/>
      <c r="W63" s="32"/>
      <c r="X63" s="36"/>
      <c r="Y63" s="36"/>
      <c r="Z63" s="32"/>
      <c r="AA63" s="32"/>
      <c r="AB63" s="32"/>
      <c r="AC63" s="32"/>
      <c r="AD63" s="32" t="s">
        <v>69</v>
      </c>
      <c r="AE63" s="36" t="s">
        <v>70</v>
      </c>
      <c r="AF63" s="145" t="s">
        <v>70</v>
      </c>
      <c r="AG63" s="223" t="e">
        <f>_xlfn.CONCAT(#REF!,#REF!)</f>
        <v>#REF!</v>
      </c>
      <c r="AH63" s="27" t="e">
        <f t="shared" si="9"/>
        <v>#REF!</v>
      </c>
      <c r="AI63" s="27" t="e">
        <f>MARZEC!AK60</f>
        <v>#REF!</v>
      </c>
      <c r="AJ63" s="28">
        <f t="shared" si="10"/>
        <v>72</v>
      </c>
      <c r="AK63">
        <f t="shared" si="11"/>
        <v>60</v>
      </c>
      <c r="AL63" s="29">
        <f t="shared" si="12"/>
        <v>31</v>
      </c>
      <c r="AM63" s="1">
        <f t="shared" si="13"/>
        <v>0</v>
      </c>
    </row>
    <row r="64" spans="1:40" ht="15.9">
      <c r="A64" s="1" t="s">
        <v>152</v>
      </c>
      <c r="B64" s="1" t="s">
        <v>93</v>
      </c>
      <c r="C64" s="227" t="s">
        <v>13</v>
      </c>
      <c r="D64" s="225" t="e">
        <f>#REF!</f>
        <v>#REF!</v>
      </c>
      <c r="E64" s="32">
        <v>8</v>
      </c>
      <c r="F64" s="32">
        <v>8</v>
      </c>
      <c r="G64" s="32">
        <v>8</v>
      </c>
      <c r="H64" s="32" t="s">
        <v>113</v>
      </c>
      <c r="I64" s="32"/>
      <c r="J64" s="36"/>
      <c r="K64" s="36"/>
      <c r="L64" s="32">
        <v>8</v>
      </c>
      <c r="M64" s="32">
        <v>8</v>
      </c>
      <c r="N64" s="32">
        <v>8</v>
      </c>
      <c r="O64" s="32" t="s">
        <v>113</v>
      </c>
      <c r="P64" s="32"/>
      <c r="Q64" s="36"/>
      <c r="R64" s="36"/>
      <c r="S64" s="32"/>
      <c r="T64" s="32"/>
      <c r="U64" s="32"/>
      <c r="V64" s="32"/>
      <c r="W64" s="32"/>
      <c r="X64" s="36"/>
      <c r="Y64" s="36"/>
      <c r="Z64" s="32"/>
      <c r="AA64" s="32"/>
      <c r="AB64" s="32"/>
      <c r="AC64" s="32"/>
      <c r="AD64" s="32"/>
      <c r="AE64" s="36"/>
      <c r="AF64" s="145"/>
      <c r="AG64" s="223" t="e">
        <f>_xlfn.CONCAT(#REF!,#REF!)</f>
        <v>#REF!</v>
      </c>
      <c r="AH64" s="27" t="e">
        <f t="shared" si="9"/>
        <v>#REF!</v>
      </c>
      <c r="AI64" s="27" t="e">
        <f>MARZEC!AK61</f>
        <v>#REF!</v>
      </c>
      <c r="AJ64" s="28">
        <f t="shared" si="10"/>
        <v>48</v>
      </c>
      <c r="AK64">
        <f t="shared" si="11"/>
        <v>0</v>
      </c>
      <c r="AL64" s="29">
        <f t="shared" si="12"/>
        <v>48</v>
      </c>
      <c r="AM64" s="1">
        <f t="shared" si="13"/>
        <v>0</v>
      </c>
    </row>
    <row r="65" spans="1:39" ht="15.9">
      <c r="A65" s="1" t="s">
        <v>152</v>
      </c>
      <c r="B65" s="1" t="s">
        <v>73</v>
      </c>
      <c r="C65" s="227" t="s">
        <v>14</v>
      </c>
      <c r="D65" s="225" t="e">
        <f>#REF!</f>
        <v>#REF!</v>
      </c>
      <c r="E65" s="32"/>
      <c r="F65" s="32" t="s">
        <v>113</v>
      </c>
      <c r="G65" s="32"/>
      <c r="H65" s="32"/>
      <c r="I65" s="32"/>
      <c r="J65" s="36"/>
      <c r="K65" s="36"/>
      <c r="L65" s="32">
        <v>7</v>
      </c>
      <c r="M65" s="32">
        <v>8</v>
      </c>
      <c r="N65" s="32">
        <v>8</v>
      </c>
      <c r="O65" s="32">
        <v>8</v>
      </c>
      <c r="P65" s="32"/>
      <c r="Q65" s="36"/>
      <c r="R65" s="36"/>
      <c r="S65" s="32"/>
      <c r="T65" s="32"/>
      <c r="U65" s="32"/>
      <c r="V65" s="32"/>
      <c r="W65" s="32"/>
      <c r="X65" s="36"/>
      <c r="Y65" s="36"/>
      <c r="Z65" s="32" t="s">
        <v>113</v>
      </c>
      <c r="AA65" s="32"/>
      <c r="AB65" s="32"/>
      <c r="AC65" s="32"/>
      <c r="AD65" s="32" t="s">
        <v>69</v>
      </c>
      <c r="AE65" s="36" t="s">
        <v>70</v>
      </c>
      <c r="AF65" s="145" t="s">
        <v>70</v>
      </c>
      <c r="AG65" s="223" t="e">
        <f>_xlfn.CONCAT(#REF!,#REF!)</f>
        <v>#REF!</v>
      </c>
      <c r="AH65" s="27" t="e">
        <f t="shared" si="9"/>
        <v>#REF!</v>
      </c>
      <c r="AI65" s="27" t="e">
        <f>MARZEC!AK62</f>
        <v>#REF!</v>
      </c>
      <c r="AJ65" s="28">
        <f t="shared" si="10"/>
        <v>48</v>
      </c>
      <c r="AK65">
        <f t="shared" si="11"/>
        <v>60</v>
      </c>
      <c r="AL65" s="29">
        <f t="shared" si="12"/>
        <v>31</v>
      </c>
      <c r="AM65" s="1">
        <f t="shared" si="13"/>
        <v>0</v>
      </c>
    </row>
    <row r="66" spans="1:39" ht="15.9">
      <c r="A66" s="1" t="s">
        <v>155</v>
      </c>
      <c r="B66" s="1" t="s">
        <v>64</v>
      </c>
      <c r="C66" s="226" t="s">
        <v>15</v>
      </c>
      <c r="D66" s="225" t="e">
        <f>#REF!</f>
        <v>#REF!</v>
      </c>
      <c r="E66" s="32"/>
      <c r="F66" s="32"/>
      <c r="G66" s="32"/>
      <c r="H66" s="32"/>
      <c r="I66" s="32"/>
      <c r="J66" s="36"/>
      <c r="K66" s="36"/>
      <c r="L66" s="32"/>
      <c r="M66" s="32"/>
      <c r="N66" s="32"/>
      <c r="O66" s="32"/>
      <c r="P66" s="32"/>
      <c r="Q66" s="36"/>
      <c r="R66" s="36"/>
      <c r="S66" s="32"/>
      <c r="T66" s="32"/>
      <c r="U66" s="32"/>
      <c r="V66" s="32"/>
      <c r="W66" s="32"/>
      <c r="X66" s="36"/>
      <c r="Y66" s="36"/>
      <c r="Z66" s="32"/>
      <c r="AA66" s="32"/>
      <c r="AB66" s="32"/>
      <c r="AC66" s="32"/>
      <c r="AD66" s="32"/>
      <c r="AE66" s="36"/>
      <c r="AF66" s="145"/>
      <c r="AG66" s="223" t="e">
        <f>_xlfn.CONCAT(#REF!,#REF!)</f>
        <v>#REF!</v>
      </c>
      <c r="AH66" s="27" t="e">
        <f t="shared" si="9"/>
        <v>#REF!</v>
      </c>
      <c r="AI66" s="27" t="e">
        <f>MARZEC!AK63</f>
        <v>#REF!</v>
      </c>
      <c r="AJ66" s="28">
        <f t="shared" si="10"/>
        <v>0</v>
      </c>
      <c r="AK66">
        <f t="shared" si="11"/>
        <v>0</v>
      </c>
      <c r="AL66" s="29">
        <f t="shared" si="12"/>
        <v>0</v>
      </c>
      <c r="AM66" s="1">
        <f t="shared" si="13"/>
        <v>0</v>
      </c>
    </row>
    <row r="67" spans="1:39" ht="15.9">
      <c r="A67" s="1" t="s">
        <v>67</v>
      </c>
      <c r="B67" s="1" t="s">
        <v>64</v>
      </c>
      <c r="C67" s="226" t="s">
        <v>16</v>
      </c>
      <c r="D67" s="225" t="e">
        <f>#REF!</f>
        <v>#REF!</v>
      </c>
      <c r="E67" s="32"/>
      <c r="F67" s="32">
        <v>17</v>
      </c>
      <c r="G67" s="32" t="s">
        <v>95</v>
      </c>
      <c r="H67" s="32" t="s">
        <v>95</v>
      </c>
      <c r="I67" s="32" t="s">
        <v>95</v>
      </c>
      <c r="J67" s="36" t="s">
        <v>95</v>
      </c>
      <c r="K67" s="36" t="s">
        <v>95</v>
      </c>
      <c r="L67" s="32" t="s">
        <v>95</v>
      </c>
      <c r="M67" s="32">
        <v>11</v>
      </c>
      <c r="N67" s="32"/>
      <c r="O67" s="32"/>
      <c r="P67" s="32"/>
      <c r="Q67" s="36"/>
      <c r="R67" s="36"/>
      <c r="S67" s="32"/>
      <c r="T67" s="32"/>
      <c r="U67" s="32"/>
      <c r="V67" s="32"/>
      <c r="W67" s="32"/>
      <c r="X67" s="36"/>
      <c r="Y67" s="36"/>
      <c r="Z67" s="32"/>
      <c r="AA67" s="32"/>
      <c r="AB67" s="32"/>
      <c r="AC67" s="32"/>
      <c r="AD67" s="32"/>
      <c r="AE67" s="36"/>
      <c r="AF67" s="145"/>
      <c r="AG67" s="223" t="e">
        <f>_xlfn.CONCAT(#REF!,#REF!)</f>
        <v>#REF!</v>
      </c>
      <c r="AH67" s="27" t="e">
        <f t="shared" si="9"/>
        <v>#REF!</v>
      </c>
      <c r="AI67" s="27" t="e">
        <f>MARZEC!AK64</f>
        <v>#REF!</v>
      </c>
      <c r="AJ67" s="28">
        <f t="shared" si="10"/>
        <v>0</v>
      </c>
      <c r="AK67">
        <f t="shared" si="11"/>
        <v>144</v>
      </c>
      <c r="AL67" s="29">
        <f t="shared" si="12"/>
        <v>28</v>
      </c>
      <c r="AM67" s="1">
        <f t="shared" si="13"/>
        <v>0</v>
      </c>
    </row>
    <row r="68" spans="1:39" ht="15.9">
      <c r="A68" s="1" t="s">
        <v>155</v>
      </c>
      <c r="B68" s="1" t="s">
        <v>93</v>
      </c>
      <c r="C68" s="226" t="s">
        <v>17</v>
      </c>
      <c r="D68" s="225" t="e">
        <f>#REF!</f>
        <v>#REF!</v>
      </c>
      <c r="E68" s="32"/>
      <c r="F68" s="32"/>
      <c r="G68" s="32" t="s">
        <v>113</v>
      </c>
      <c r="H68" s="32"/>
      <c r="I68" s="32"/>
      <c r="J68" s="36"/>
      <c r="K68" s="36"/>
      <c r="L68" s="32"/>
      <c r="M68" s="32"/>
      <c r="N68" s="32"/>
      <c r="O68" s="32"/>
      <c r="P68" s="32"/>
      <c r="Q68" s="36"/>
      <c r="R68" s="36"/>
      <c r="S68" s="32"/>
      <c r="T68" s="32"/>
      <c r="U68" s="32" t="s">
        <v>113</v>
      </c>
      <c r="V68" s="32"/>
      <c r="W68" s="32"/>
      <c r="X68" s="36"/>
      <c r="Y68" s="36"/>
      <c r="Z68" s="32"/>
      <c r="AA68" s="32" t="s">
        <v>92</v>
      </c>
      <c r="AB68" s="32" t="s">
        <v>95</v>
      </c>
      <c r="AC68" s="32" t="s">
        <v>95</v>
      </c>
      <c r="AD68" s="32" t="s">
        <v>95</v>
      </c>
      <c r="AE68" s="36" t="s">
        <v>95</v>
      </c>
      <c r="AF68" s="145" t="s">
        <v>95</v>
      </c>
      <c r="AG68" s="223" t="e">
        <f>_xlfn.CONCAT(#REF!,#REF!)</f>
        <v>#REF!</v>
      </c>
      <c r="AH68" s="27" t="e">
        <f t="shared" si="9"/>
        <v>#REF!</v>
      </c>
      <c r="AI68" s="27" t="e">
        <f>MARZEC!AK65</f>
        <v>#REF!</v>
      </c>
      <c r="AJ68" s="28">
        <f t="shared" si="10"/>
        <v>48</v>
      </c>
      <c r="AK68">
        <f t="shared" si="11"/>
        <v>132</v>
      </c>
      <c r="AL68" s="29">
        <f t="shared" si="12"/>
        <v>0</v>
      </c>
      <c r="AM68" s="1">
        <f t="shared" si="13"/>
        <v>0</v>
      </c>
    </row>
    <row r="69" spans="1:39" ht="15.9">
      <c r="A69" s="1" t="s">
        <v>155</v>
      </c>
      <c r="B69" s="1" t="s">
        <v>64</v>
      </c>
      <c r="C69" s="226" t="s">
        <v>18</v>
      </c>
      <c r="D69" s="225" t="e">
        <f>#REF!</f>
        <v>#REF!</v>
      </c>
      <c r="E69" s="32" t="s">
        <v>101</v>
      </c>
      <c r="F69" s="32" t="s">
        <v>101</v>
      </c>
      <c r="G69" s="32" t="s">
        <v>101</v>
      </c>
      <c r="H69" s="32" t="s">
        <v>101</v>
      </c>
      <c r="I69" s="32" t="s">
        <v>101</v>
      </c>
      <c r="J69" s="36" t="s">
        <v>101</v>
      </c>
      <c r="K69" s="36" t="s">
        <v>101</v>
      </c>
      <c r="L69" s="32" t="s">
        <v>101</v>
      </c>
      <c r="M69" s="32" t="s">
        <v>101</v>
      </c>
      <c r="N69" s="32" t="s">
        <v>101</v>
      </c>
      <c r="O69" s="32" t="s">
        <v>101</v>
      </c>
      <c r="P69" s="32" t="s">
        <v>101</v>
      </c>
      <c r="Q69" s="36" t="s">
        <v>101</v>
      </c>
      <c r="R69" s="36" t="s">
        <v>101</v>
      </c>
      <c r="S69" s="32" t="s">
        <v>101</v>
      </c>
      <c r="T69" s="32" t="s">
        <v>101</v>
      </c>
      <c r="U69" s="32" t="s">
        <v>101</v>
      </c>
      <c r="V69" s="32" t="s">
        <v>101</v>
      </c>
      <c r="W69" s="32" t="s">
        <v>101</v>
      </c>
      <c r="X69" s="36" t="s">
        <v>101</v>
      </c>
      <c r="Y69" s="36" t="s">
        <v>101</v>
      </c>
      <c r="Z69" s="32" t="s">
        <v>101</v>
      </c>
      <c r="AA69" s="32" t="s">
        <v>101</v>
      </c>
      <c r="AB69" s="32" t="s">
        <v>101</v>
      </c>
      <c r="AC69" s="32" t="s">
        <v>101</v>
      </c>
      <c r="AD69" s="32" t="s">
        <v>101</v>
      </c>
      <c r="AE69" s="36" t="s">
        <v>101</v>
      </c>
      <c r="AF69" s="145" t="s">
        <v>101</v>
      </c>
      <c r="AG69" s="223" t="e">
        <f>_xlfn.CONCAT(#REF!,#REF!)</f>
        <v>#REF!</v>
      </c>
      <c r="AH69" s="27" t="e">
        <f t="shared" si="9"/>
        <v>#REF!</v>
      </c>
      <c r="AI69" s="27">
        <f>MARZEC!AK66</f>
        <v>0</v>
      </c>
      <c r="AJ69" s="28">
        <f t="shared" si="10"/>
        <v>0</v>
      </c>
      <c r="AK69">
        <f t="shared" si="11"/>
        <v>0</v>
      </c>
      <c r="AL69" s="29">
        <f t="shared" si="12"/>
        <v>0</v>
      </c>
      <c r="AM69" s="1">
        <f t="shared" si="13"/>
        <v>0</v>
      </c>
    </row>
    <row r="70" spans="1:39" ht="15.9">
      <c r="A70" s="1" t="s">
        <v>157</v>
      </c>
      <c r="B70" s="1" t="s">
        <v>59</v>
      </c>
      <c r="C70" s="228" t="s">
        <v>19</v>
      </c>
      <c r="D70" s="225" t="e">
        <f>#REF!</f>
        <v>#REF!</v>
      </c>
      <c r="E70" s="32">
        <v>8</v>
      </c>
      <c r="F70" s="32">
        <v>7</v>
      </c>
      <c r="G70" s="32"/>
      <c r="H70" s="32"/>
      <c r="I70" s="32" t="s">
        <v>113</v>
      </c>
      <c r="J70" s="36"/>
      <c r="K70" s="36"/>
      <c r="L70" s="32">
        <v>8</v>
      </c>
      <c r="M70" s="32">
        <v>7</v>
      </c>
      <c r="N70" s="32"/>
      <c r="O70" s="32">
        <v>8</v>
      </c>
      <c r="P70" s="32">
        <v>7</v>
      </c>
      <c r="Q70" s="36"/>
      <c r="R70" s="36"/>
      <c r="S70" s="32">
        <v>6</v>
      </c>
      <c r="T70" s="32">
        <v>8</v>
      </c>
      <c r="U70" s="32"/>
      <c r="V70" s="32"/>
      <c r="W70" s="32"/>
      <c r="X70" s="36"/>
      <c r="Y70" s="36" t="s">
        <v>113</v>
      </c>
      <c r="Z70" s="32"/>
      <c r="AA70" s="32"/>
      <c r="AB70" s="32"/>
      <c r="AC70" s="32"/>
      <c r="AD70" s="32"/>
      <c r="AE70" s="36"/>
      <c r="AF70" s="145"/>
      <c r="AG70" s="223" t="e">
        <f>_xlfn.CONCAT(#REF!,#REF!)</f>
        <v>#REF!</v>
      </c>
      <c r="AH70" s="27" t="e">
        <f t="shared" si="9"/>
        <v>#REF!</v>
      </c>
      <c r="AI70" s="27" t="e">
        <f>MARZEC!AK67</f>
        <v>#REF!</v>
      </c>
      <c r="AJ70" s="28">
        <f t="shared" si="10"/>
        <v>48</v>
      </c>
      <c r="AK70">
        <f t="shared" si="11"/>
        <v>0</v>
      </c>
      <c r="AL70" s="29">
        <f t="shared" si="12"/>
        <v>59</v>
      </c>
      <c r="AM70" s="1">
        <f t="shared" si="13"/>
        <v>0</v>
      </c>
    </row>
    <row r="71" spans="1:39" ht="15.9">
      <c r="A71" s="1" t="s">
        <v>152</v>
      </c>
      <c r="B71" s="1" t="s">
        <v>64</v>
      </c>
      <c r="C71" s="227" t="s">
        <v>20</v>
      </c>
      <c r="D71" s="225" t="e">
        <f>#REF!</f>
        <v>#REF!</v>
      </c>
      <c r="E71" s="32"/>
      <c r="F71" s="32"/>
      <c r="G71" s="32">
        <v>8</v>
      </c>
      <c r="H71" s="32"/>
      <c r="I71" s="32"/>
      <c r="J71" s="36"/>
      <c r="K71" s="36"/>
      <c r="L71" s="32">
        <v>8</v>
      </c>
      <c r="M71" s="32">
        <v>8</v>
      </c>
      <c r="N71" s="32">
        <v>8</v>
      </c>
      <c r="O71" s="32">
        <v>8</v>
      </c>
      <c r="P71" s="32"/>
      <c r="Q71" s="36"/>
      <c r="R71" s="36"/>
      <c r="S71" s="32"/>
      <c r="T71" s="32"/>
      <c r="U71" s="32"/>
      <c r="V71" s="32"/>
      <c r="W71" s="32"/>
      <c r="X71" s="36"/>
      <c r="Y71" s="36"/>
      <c r="Z71" s="32"/>
      <c r="AA71" s="32"/>
      <c r="AB71" s="32" t="s">
        <v>113</v>
      </c>
      <c r="AC71" s="32"/>
      <c r="AD71" s="32"/>
      <c r="AE71" s="36"/>
      <c r="AF71" s="145" t="s">
        <v>113</v>
      </c>
      <c r="AG71" s="223" t="e">
        <f>_xlfn.CONCAT(#REF!,#REF!)</f>
        <v>#REF!</v>
      </c>
      <c r="AH71" s="27" t="e">
        <f t="shared" si="9"/>
        <v>#REF!</v>
      </c>
      <c r="AI71" s="27" t="e">
        <f>MARZEC!AK68</f>
        <v>#REF!</v>
      </c>
      <c r="AJ71" s="28">
        <f t="shared" si="10"/>
        <v>48</v>
      </c>
      <c r="AK71">
        <f t="shared" si="11"/>
        <v>0</v>
      </c>
      <c r="AL71" s="29">
        <f t="shared" si="12"/>
        <v>40</v>
      </c>
      <c r="AM71" s="1">
        <f t="shared" si="13"/>
        <v>0</v>
      </c>
    </row>
    <row r="72" spans="1:39" ht="15.9">
      <c r="A72" s="1" t="s">
        <v>152</v>
      </c>
      <c r="B72" s="1" t="s">
        <v>64</v>
      </c>
      <c r="C72" s="227" t="s">
        <v>21</v>
      </c>
      <c r="D72" s="225" t="e">
        <f>#REF!</f>
        <v>#REF!</v>
      </c>
      <c r="E72" s="32"/>
      <c r="F72" s="32"/>
      <c r="G72" s="32"/>
      <c r="H72" s="32"/>
      <c r="I72" s="32"/>
      <c r="J72" s="36"/>
      <c r="K72" s="36"/>
      <c r="L72" s="32">
        <v>8</v>
      </c>
      <c r="M72" s="32">
        <v>8</v>
      </c>
      <c r="N72" s="32">
        <v>8</v>
      </c>
      <c r="O72" s="32">
        <v>8</v>
      </c>
      <c r="P72" s="32"/>
      <c r="Q72" s="36"/>
      <c r="R72" s="36"/>
      <c r="S72" s="32"/>
      <c r="T72" s="32"/>
      <c r="U72" s="32"/>
      <c r="V72" s="32"/>
      <c r="W72" s="32"/>
      <c r="X72" s="36" t="s">
        <v>113</v>
      </c>
      <c r="Y72" s="36"/>
      <c r="Z72" s="32"/>
      <c r="AA72" s="32"/>
      <c r="AB72" s="32"/>
      <c r="AC72" s="32"/>
      <c r="AD72" s="32"/>
      <c r="AE72" s="36" t="s">
        <v>113</v>
      </c>
      <c r="AF72" s="145"/>
      <c r="AG72" s="223" t="e">
        <f>_xlfn.CONCAT(#REF!,#REF!)</f>
        <v>#REF!</v>
      </c>
      <c r="AH72" s="27" t="e">
        <f t="shared" si="9"/>
        <v>#REF!</v>
      </c>
      <c r="AI72" s="27" t="e">
        <f>MARZEC!AK69</f>
        <v>#REF!</v>
      </c>
      <c r="AJ72" s="28">
        <f t="shared" si="10"/>
        <v>48</v>
      </c>
      <c r="AK72">
        <f t="shared" si="11"/>
        <v>0</v>
      </c>
      <c r="AL72" s="29">
        <f t="shared" si="12"/>
        <v>32</v>
      </c>
      <c r="AM72" s="1">
        <f t="shared" si="13"/>
        <v>0</v>
      </c>
    </row>
    <row r="73" spans="1:39" ht="15.9">
      <c r="A73" s="1" t="s">
        <v>155</v>
      </c>
      <c r="B73" s="1" t="s">
        <v>59</v>
      </c>
      <c r="C73" s="226" t="s">
        <v>22</v>
      </c>
      <c r="D73" s="225" t="e">
        <f>#REF!</f>
        <v>#REF!</v>
      </c>
      <c r="E73" s="32"/>
      <c r="F73" s="32"/>
      <c r="G73" s="32"/>
      <c r="H73" s="32"/>
      <c r="I73" s="32"/>
      <c r="J73" s="36"/>
      <c r="K73" s="36"/>
      <c r="L73" s="32"/>
      <c r="M73" s="32">
        <v>8</v>
      </c>
      <c r="N73" s="32"/>
      <c r="O73" s="32"/>
      <c r="P73" s="32"/>
      <c r="Q73" s="36"/>
      <c r="R73" s="36"/>
      <c r="S73" s="32"/>
      <c r="T73" s="32" t="s">
        <v>92</v>
      </c>
      <c r="U73" s="32" t="s">
        <v>95</v>
      </c>
      <c r="V73" s="32" t="s">
        <v>95</v>
      </c>
      <c r="W73" s="32" t="s">
        <v>95</v>
      </c>
      <c r="X73" s="36" t="s">
        <v>95</v>
      </c>
      <c r="Y73" s="36" t="s">
        <v>95</v>
      </c>
      <c r="Z73" s="32" t="s">
        <v>95</v>
      </c>
      <c r="AA73" s="32" t="s">
        <v>92</v>
      </c>
      <c r="AB73" s="32"/>
      <c r="AC73" s="32"/>
      <c r="AD73" s="32"/>
      <c r="AE73" s="36"/>
      <c r="AF73" s="145"/>
      <c r="AG73" s="223" t="e">
        <f>_xlfn.CONCAT(#REF!,#REF!)</f>
        <v>#REF!</v>
      </c>
      <c r="AH73" s="27" t="e">
        <f t="shared" si="9"/>
        <v>#REF!</v>
      </c>
      <c r="AI73" s="27" t="e">
        <f>MARZEC!AK70</f>
        <v>#REF!</v>
      </c>
      <c r="AJ73" s="28">
        <f t="shared" si="10"/>
        <v>0</v>
      </c>
      <c r="AK73">
        <f t="shared" si="11"/>
        <v>168</v>
      </c>
      <c r="AL73" s="29">
        <f t="shared" si="12"/>
        <v>8</v>
      </c>
      <c r="AM73" s="1">
        <f t="shared" si="13"/>
        <v>0</v>
      </c>
    </row>
    <row r="74" spans="1:39" ht="15.9">
      <c r="A74" s="1" t="s">
        <v>155</v>
      </c>
      <c r="B74" s="1" t="s">
        <v>59</v>
      </c>
      <c r="C74" s="226" t="s">
        <v>23</v>
      </c>
      <c r="D74" s="225" t="e">
        <f>#REF!</f>
        <v>#REF!</v>
      </c>
      <c r="E74" s="32"/>
      <c r="F74" s="32"/>
      <c r="G74" s="32"/>
      <c r="H74" s="32"/>
      <c r="I74" s="32"/>
      <c r="J74" s="36"/>
      <c r="K74" s="36"/>
      <c r="L74" s="32"/>
      <c r="M74" s="32">
        <v>15</v>
      </c>
      <c r="N74" s="32" t="s">
        <v>95</v>
      </c>
      <c r="O74" s="32" t="s">
        <v>95</v>
      </c>
      <c r="P74" s="32" t="s">
        <v>95</v>
      </c>
      <c r="Q74" s="36" t="s">
        <v>95</v>
      </c>
      <c r="R74" s="36" t="s">
        <v>95</v>
      </c>
      <c r="S74" s="32" t="s">
        <v>95</v>
      </c>
      <c r="T74" s="32">
        <v>13</v>
      </c>
      <c r="U74" s="32"/>
      <c r="V74" s="32"/>
      <c r="W74" s="32"/>
      <c r="X74" s="36"/>
      <c r="Y74" s="36"/>
      <c r="Z74" s="32"/>
      <c r="AA74" s="32"/>
      <c r="AB74" s="32"/>
      <c r="AC74" s="32"/>
      <c r="AD74" s="32"/>
      <c r="AE74" s="36"/>
      <c r="AF74" s="145"/>
      <c r="AG74" s="223" t="e">
        <f>_xlfn.CONCAT(#REF!,#REF!)</f>
        <v>#REF!</v>
      </c>
      <c r="AH74" s="27" t="e">
        <f t="shared" si="9"/>
        <v>#REF!</v>
      </c>
      <c r="AI74" s="27" t="e">
        <f>MARZEC!AK71</f>
        <v>#REF!</v>
      </c>
      <c r="AJ74" s="28">
        <f t="shared" si="10"/>
        <v>0</v>
      </c>
      <c r="AK74">
        <f t="shared" si="11"/>
        <v>144</v>
      </c>
      <c r="AL74" s="29">
        <f t="shared" si="12"/>
        <v>28</v>
      </c>
      <c r="AM74" s="1">
        <f t="shared" si="13"/>
        <v>0</v>
      </c>
    </row>
    <row r="75" spans="1:39" ht="15.9">
      <c r="A75" s="1" t="s">
        <v>155</v>
      </c>
      <c r="B75" s="1" t="s">
        <v>64</v>
      </c>
      <c r="C75" s="226" t="s">
        <v>24</v>
      </c>
      <c r="D75" s="225" t="e">
        <f>#REF!</f>
        <v>#REF!</v>
      </c>
      <c r="E75" s="32"/>
      <c r="F75" s="32"/>
      <c r="G75" s="32"/>
      <c r="H75" s="32"/>
      <c r="I75" s="32"/>
      <c r="J75" s="36"/>
      <c r="K75" s="36"/>
      <c r="L75" s="32"/>
      <c r="M75" s="32">
        <v>17</v>
      </c>
      <c r="N75" s="32" t="s">
        <v>95</v>
      </c>
      <c r="O75" s="32" t="s">
        <v>95</v>
      </c>
      <c r="P75" s="32" t="s">
        <v>95</v>
      </c>
      <c r="Q75" s="36" t="s">
        <v>95</v>
      </c>
      <c r="R75" s="36" t="s">
        <v>95</v>
      </c>
      <c r="S75" s="32" t="s">
        <v>95</v>
      </c>
      <c r="T75" s="32">
        <v>11.5</v>
      </c>
      <c r="U75" s="32"/>
      <c r="V75" s="32"/>
      <c r="W75" s="32"/>
      <c r="X75" s="36"/>
      <c r="Y75" s="36"/>
      <c r="Z75" s="32"/>
      <c r="AA75" s="32" t="s">
        <v>153</v>
      </c>
      <c r="AB75" s="32" t="s">
        <v>154</v>
      </c>
      <c r="AC75" s="32" t="s">
        <v>154</v>
      </c>
      <c r="AD75" s="32" t="s">
        <v>154</v>
      </c>
      <c r="AE75" s="36" t="s">
        <v>154</v>
      </c>
      <c r="AF75" s="145" t="s">
        <v>154</v>
      </c>
      <c r="AG75" s="223" t="e">
        <f>_xlfn.CONCAT(#REF!,#REF!)</f>
        <v>#REF!</v>
      </c>
      <c r="AH75" s="27" t="e">
        <f t="shared" si="9"/>
        <v>#REF!</v>
      </c>
      <c r="AI75" s="27" t="e">
        <f>MARZEC!AK72</f>
        <v>#REF!</v>
      </c>
      <c r="AJ75" s="28">
        <f t="shared" si="10"/>
        <v>0</v>
      </c>
      <c r="AK75">
        <f t="shared" si="11"/>
        <v>276</v>
      </c>
      <c r="AL75" s="29">
        <f t="shared" si="12"/>
        <v>28.5</v>
      </c>
      <c r="AM75" s="1">
        <f t="shared" si="13"/>
        <v>0</v>
      </c>
    </row>
    <row r="76" spans="1:39" ht="15.9">
      <c r="A76" s="1" t="s">
        <v>152</v>
      </c>
      <c r="B76" s="1" t="s">
        <v>73</v>
      </c>
      <c r="C76" s="227" t="s">
        <v>25</v>
      </c>
      <c r="D76" s="225" t="e">
        <f>#REF!</f>
        <v>#REF!</v>
      </c>
      <c r="E76" s="32"/>
      <c r="F76" s="32"/>
      <c r="G76" s="32"/>
      <c r="H76" s="32"/>
      <c r="I76" s="32">
        <v>10</v>
      </c>
      <c r="J76" s="36"/>
      <c r="K76" s="36"/>
      <c r="L76" s="32">
        <v>6</v>
      </c>
      <c r="M76" s="32">
        <v>7.5</v>
      </c>
      <c r="N76" s="32"/>
      <c r="O76" s="32">
        <v>8</v>
      </c>
      <c r="P76" s="32"/>
      <c r="Q76" s="36"/>
      <c r="R76" s="36"/>
      <c r="S76" s="32"/>
      <c r="T76" s="32" t="s">
        <v>113</v>
      </c>
      <c r="U76" s="32"/>
      <c r="V76" s="32"/>
      <c r="W76" s="32"/>
      <c r="X76" s="36"/>
      <c r="Y76" s="36"/>
      <c r="Z76" s="32" t="s">
        <v>113</v>
      </c>
      <c r="AA76" s="32"/>
      <c r="AB76" s="32"/>
      <c r="AC76" s="32"/>
      <c r="AD76" s="32"/>
      <c r="AE76" s="36"/>
      <c r="AF76" s="145"/>
      <c r="AG76" s="223" t="e">
        <f>_xlfn.CONCAT(#REF!,#REF!)</f>
        <v>#REF!</v>
      </c>
      <c r="AH76" s="27" t="e">
        <f t="shared" si="9"/>
        <v>#REF!</v>
      </c>
      <c r="AI76" s="27" t="e">
        <f>MARZEC!AK73</f>
        <v>#REF!</v>
      </c>
      <c r="AJ76" s="28">
        <f t="shared" si="10"/>
        <v>48</v>
      </c>
      <c r="AK76">
        <f t="shared" si="11"/>
        <v>0</v>
      </c>
      <c r="AL76" s="29">
        <f t="shared" si="12"/>
        <v>31.5</v>
      </c>
      <c r="AM76" s="1">
        <f t="shared" si="13"/>
        <v>0</v>
      </c>
    </row>
    <row r="77" spans="1:39" ht="15.9">
      <c r="A77" s="1" t="s">
        <v>155</v>
      </c>
      <c r="B77" s="1" t="s">
        <v>59</v>
      </c>
      <c r="C77" s="226" t="s">
        <v>26</v>
      </c>
      <c r="D77" s="225" t="e">
        <f>#REF!</f>
        <v>#REF!</v>
      </c>
      <c r="E77" s="32"/>
      <c r="F77" s="32"/>
      <c r="G77" s="32"/>
      <c r="H77" s="32"/>
      <c r="I77" s="32"/>
      <c r="J77" s="36"/>
      <c r="K77" s="36"/>
      <c r="L77" s="32"/>
      <c r="M77" s="32"/>
      <c r="N77" s="32"/>
      <c r="O77" s="32"/>
      <c r="P77" s="32"/>
      <c r="Q77" s="36"/>
      <c r="R77" s="36"/>
      <c r="S77" s="32"/>
      <c r="T77" s="32"/>
      <c r="U77" s="32"/>
      <c r="V77" s="32"/>
      <c r="W77" s="32"/>
      <c r="X77" s="36"/>
      <c r="Y77" s="36"/>
      <c r="Z77" s="32"/>
      <c r="AA77" s="32"/>
      <c r="AB77" s="32"/>
      <c r="AC77" s="32"/>
      <c r="AD77" s="32"/>
      <c r="AE77" s="36"/>
      <c r="AF77" s="145"/>
      <c r="AG77" s="223" t="e">
        <f>_xlfn.CONCAT(#REF!,#REF!)</f>
        <v>#REF!</v>
      </c>
      <c r="AH77" s="27" t="e">
        <f t="shared" si="9"/>
        <v>#REF!</v>
      </c>
      <c r="AI77" s="27" t="e">
        <f>MARZEC!AK74</f>
        <v>#REF!</v>
      </c>
      <c r="AJ77" s="28">
        <f t="shared" si="10"/>
        <v>0</v>
      </c>
      <c r="AK77">
        <f t="shared" si="11"/>
        <v>0</v>
      </c>
      <c r="AL77" s="29">
        <f t="shared" si="12"/>
        <v>0</v>
      </c>
      <c r="AM77" s="1">
        <f t="shared" si="13"/>
        <v>0</v>
      </c>
    </row>
    <row r="78" spans="1:39" ht="15.9">
      <c r="A78" s="1" t="s">
        <v>152</v>
      </c>
      <c r="B78" s="1" t="s">
        <v>73</v>
      </c>
      <c r="C78" s="227" t="s">
        <v>27</v>
      </c>
      <c r="D78" s="225" t="e">
        <f>#REF!</f>
        <v>#REF!</v>
      </c>
      <c r="E78" s="32"/>
      <c r="F78" s="32"/>
      <c r="G78" s="32"/>
      <c r="H78" s="32"/>
      <c r="I78" s="32"/>
      <c r="J78" s="36"/>
      <c r="K78" s="36"/>
      <c r="L78" s="32">
        <v>8</v>
      </c>
      <c r="M78" s="32">
        <v>8</v>
      </c>
      <c r="N78" s="32">
        <v>8</v>
      </c>
      <c r="O78" s="32">
        <v>8</v>
      </c>
      <c r="P78" s="32"/>
      <c r="Q78" s="36"/>
      <c r="R78" s="36"/>
      <c r="S78" s="32" t="s">
        <v>113</v>
      </c>
      <c r="T78" s="32"/>
      <c r="U78" s="32"/>
      <c r="V78" s="32"/>
      <c r="W78" s="32"/>
      <c r="X78" s="36"/>
      <c r="Y78" s="36"/>
      <c r="Z78" s="32"/>
      <c r="AA78" s="32" t="s">
        <v>113</v>
      </c>
      <c r="AB78" s="32"/>
      <c r="AC78" s="32"/>
      <c r="AD78" s="32" t="s">
        <v>69</v>
      </c>
      <c r="AE78" s="36" t="s">
        <v>70</v>
      </c>
      <c r="AF78" s="145" t="s">
        <v>70</v>
      </c>
      <c r="AG78" s="223" t="e">
        <f>_xlfn.CONCAT(#REF!,#REF!)</f>
        <v>#REF!</v>
      </c>
      <c r="AH78" s="27" t="e">
        <f t="shared" si="9"/>
        <v>#REF!</v>
      </c>
      <c r="AI78" s="27" t="e">
        <f>MARZEC!AK75</f>
        <v>#REF!</v>
      </c>
      <c r="AJ78" s="28">
        <f t="shared" si="10"/>
        <v>48</v>
      </c>
      <c r="AK78">
        <f t="shared" si="11"/>
        <v>60</v>
      </c>
      <c r="AL78" s="29">
        <f t="shared" si="12"/>
        <v>32</v>
      </c>
      <c r="AM78" s="1">
        <f t="shared" si="13"/>
        <v>0</v>
      </c>
    </row>
    <row r="79" spans="1:39" ht="15.9">
      <c r="A79" s="1" t="s">
        <v>155</v>
      </c>
      <c r="B79" s="1" t="s">
        <v>93</v>
      </c>
      <c r="C79" s="226" t="s">
        <v>28</v>
      </c>
      <c r="D79" s="225" t="e">
        <f>#REF!</f>
        <v>#REF!</v>
      </c>
      <c r="E79" s="32" t="s">
        <v>217</v>
      </c>
      <c r="F79" s="32">
        <v>8</v>
      </c>
      <c r="G79" s="32"/>
      <c r="H79" s="32"/>
      <c r="I79" s="32"/>
      <c r="J79" s="36" t="s">
        <v>113</v>
      </c>
      <c r="K79" s="36"/>
      <c r="L79" s="32"/>
      <c r="M79" s="32"/>
      <c r="N79" s="32">
        <v>8</v>
      </c>
      <c r="O79" s="32"/>
      <c r="P79" s="32"/>
      <c r="Q79" s="36"/>
      <c r="R79" s="36"/>
      <c r="S79" s="32"/>
      <c r="T79" s="32" t="s">
        <v>92</v>
      </c>
      <c r="U79" s="32" t="s">
        <v>95</v>
      </c>
      <c r="V79" s="32" t="s">
        <v>95</v>
      </c>
      <c r="W79" s="32" t="s">
        <v>95</v>
      </c>
      <c r="X79" s="36" t="s">
        <v>95</v>
      </c>
      <c r="Y79" s="36" t="s">
        <v>95</v>
      </c>
      <c r="Z79" s="32" t="s">
        <v>95</v>
      </c>
      <c r="AA79" s="32" t="s">
        <v>92</v>
      </c>
      <c r="AB79" s="32"/>
      <c r="AC79" s="32"/>
      <c r="AD79" s="32"/>
      <c r="AE79" s="36"/>
      <c r="AF79" s="145"/>
      <c r="AG79" s="223" t="e">
        <f>_xlfn.CONCAT(#REF!,#REF!)</f>
        <v>#REF!</v>
      </c>
      <c r="AH79" s="27" t="e">
        <f t="shared" si="9"/>
        <v>#REF!</v>
      </c>
      <c r="AI79" s="27" t="e">
        <f>MARZEC!AK76</f>
        <v>#REF!</v>
      </c>
      <c r="AJ79" s="28">
        <f t="shared" si="10"/>
        <v>24</v>
      </c>
      <c r="AK79">
        <f t="shared" si="11"/>
        <v>168</v>
      </c>
      <c r="AL79" s="29">
        <f t="shared" si="12"/>
        <v>24</v>
      </c>
      <c r="AM79" s="1">
        <f t="shared" si="13"/>
        <v>0</v>
      </c>
    </row>
    <row r="80" spans="1:39" ht="15.9">
      <c r="A80" s="1" t="s">
        <v>152</v>
      </c>
      <c r="B80" s="1" t="s">
        <v>59</v>
      </c>
      <c r="C80" s="227" t="s">
        <v>160</v>
      </c>
      <c r="D80" s="225" t="e">
        <f>#REF!</f>
        <v>#REF!</v>
      </c>
      <c r="E80" s="32" t="s">
        <v>103</v>
      </c>
      <c r="F80" s="32" t="s">
        <v>103</v>
      </c>
      <c r="G80" s="32" t="s">
        <v>103</v>
      </c>
      <c r="H80" s="32"/>
      <c r="I80" s="32"/>
      <c r="J80" s="36"/>
      <c r="K80" s="36"/>
      <c r="L80" s="32"/>
      <c r="M80" s="32"/>
      <c r="N80" s="32">
        <v>8</v>
      </c>
      <c r="O80" s="32">
        <v>8</v>
      </c>
      <c r="P80" s="32"/>
      <c r="Q80" s="36" t="s">
        <v>113</v>
      </c>
      <c r="R80" s="36"/>
      <c r="S80" s="32"/>
      <c r="T80" s="32"/>
      <c r="U80" s="32"/>
      <c r="V80" s="32"/>
      <c r="W80" s="32"/>
      <c r="X80" s="36" t="s">
        <v>113</v>
      </c>
      <c r="Y80" s="36"/>
      <c r="Z80" s="32"/>
      <c r="AA80" s="32"/>
      <c r="AB80" s="32"/>
      <c r="AC80" s="32"/>
      <c r="AD80" s="32"/>
      <c r="AE80" s="36"/>
      <c r="AF80" s="145" t="s">
        <v>113</v>
      </c>
      <c r="AG80" s="223" t="e">
        <f>_xlfn.CONCAT(#REF!,#REF!)</f>
        <v>#REF!</v>
      </c>
      <c r="AH80" s="27" t="e">
        <f t="shared" si="9"/>
        <v>#REF!</v>
      </c>
      <c r="AI80" s="27" t="e">
        <f>MARZEC!AK77</f>
        <v>#REF!</v>
      </c>
      <c r="AJ80" s="28">
        <f t="shared" si="10"/>
        <v>72</v>
      </c>
      <c r="AK80">
        <f t="shared" si="11"/>
        <v>0</v>
      </c>
      <c r="AL80" s="29">
        <f t="shared" si="12"/>
        <v>16</v>
      </c>
      <c r="AM80" s="1">
        <f t="shared" si="13"/>
        <v>0</v>
      </c>
    </row>
    <row r="81" spans="1:39" ht="15.9">
      <c r="A81" s="1" t="s">
        <v>155</v>
      </c>
      <c r="B81" s="1" t="s">
        <v>73</v>
      </c>
      <c r="C81" s="226" t="s">
        <v>29</v>
      </c>
      <c r="D81" s="225" t="e">
        <f>#REF!</f>
        <v>#REF!</v>
      </c>
      <c r="E81" s="32"/>
      <c r="F81" s="32"/>
      <c r="G81" s="32"/>
      <c r="H81" s="32"/>
      <c r="I81" s="32"/>
      <c r="J81" s="36"/>
      <c r="K81" s="36"/>
      <c r="L81" s="32"/>
      <c r="M81" s="32"/>
      <c r="N81" s="32"/>
      <c r="O81" s="32"/>
      <c r="P81" s="32"/>
      <c r="Q81" s="36"/>
      <c r="R81" s="36"/>
      <c r="S81" s="32"/>
      <c r="T81" s="32"/>
      <c r="U81" s="32"/>
      <c r="V81" s="32"/>
      <c r="W81" s="32"/>
      <c r="X81" s="36"/>
      <c r="Y81" s="36"/>
      <c r="Z81" s="32"/>
      <c r="AA81" s="32" t="s">
        <v>92</v>
      </c>
      <c r="AB81" s="32" t="s">
        <v>95</v>
      </c>
      <c r="AC81" s="32" t="s">
        <v>95</v>
      </c>
      <c r="AD81" s="32" t="s">
        <v>95</v>
      </c>
      <c r="AE81" s="36" t="s">
        <v>95</v>
      </c>
      <c r="AF81" s="145" t="s">
        <v>95</v>
      </c>
      <c r="AG81" s="223" t="e">
        <f>_xlfn.CONCAT(#REF!,#REF!)</f>
        <v>#REF!</v>
      </c>
      <c r="AH81" s="27" t="e">
        <f t="shared" si="9"/>
        <v>#REF!</v>
      </c>
      <c r="AI81" s="27" t="e">
        <f>MARZEC!AK78</f>
        <v>#REF!</v>
      </c>
      <c r="AJ81" s="28">
        <f t="shared" si="10"/>
        <v>0</v>
      </c>
      <c r="AK81">
        <f t="shared" si="11"/>
        <v>132</v>
      </c>
      <c r="AL81" s="29">
        <f t="shared" si="12"/>
        <v>0</v>
      </c>
      <c r="AM81" s="1">
        <f t="shared" si="13"/>
        <v>0</v>
      </c>
    </row>
    <row r="82" spans="1:39" ht="15.9">
      <c r="A82" s="1" t="s">
        <v>155</v>
      </c>
      <c r="B82" s="1" t="s">
        <v>59</v>
      </c>
      <c r="C82" s="226" t="s">
        <v>30</v>
      </c>
      <c r="D82" s="225" t="e">
        <f>#REF!</f>
        <v>#REF!</v>
      </c>
      <c r="E82" s="32" t="s">
        <v>95</v>
      </c>
      <c r="F82" s="32">
        <v>15</v>
      </c>
      <c r="G82" s="32"/>
      <c r="H82" s="32"/>
      <c r="I82" s="32" t="s">
        <v>217</v>
      </c>
      <c r="J82" s="36" t="s">
        <v>66</v>
      </c>
      <c r="K82" s="36" t="s">
        <v>66</v>
      </c>
      <c r="L82" s="32" t="s">
        <v>217</v>
      </c>
      <c r="M82" s="32" t="s">
        <v>217</v>
      </c>
      <c r="N82" s="32" t="s">
        <v>217</v>
      </c>
      <c r="O82" s="32" t="s">
        <v>217</v>
      </c>
      <c r="P82" s="32" t="s">
        <v>217</v>
      </c>
      <c r="Q82" s="36"/>
      <c r="R82" s="36"/>
      <c r="S82" s="32"/>
      <c r="T82" s="32"/>
      <c r="U82" s="32"/>
      <c r="V82" s="32"/>
      <c r="W82" s="32"/>
      <c r="X82" s="36"/>
      <c r="Y82" s="36"/>
      <c r="Z82" s="32"/>
      <c r="AA82" s="32"/>
      <c r="AB82" s="32"/>
      <c r="AC82" s="32"/>
      <c r="AD82" s="32" t="s">
        <v>92</v>
      </c>
      <c r="AE82" s="36" t="s">
        <v>95</v>
      </c>
      <c r="AF82" s="145" t="s">
        <v>95</v>
      </c>
      <c r="AG82" s="223" t="e">
        <f>_xlfn.CONCAT(#REF!,#REF!)</f>
        <v>#REF!</v>
      </c>
      <c r="AH82" s="27" t="e">
        <f t="shared" si="9"/>
        <v>#REF!</v>
      </c>
      <c r="AI82" s="27" t="e">
        <f>MARZEC!AK79</f>
        <v>#REF!</v>
      </c>
      <c r="AJ82" s="28">
        <f t="shared" si="10"/>
        <v>0</v>
      </c>
      <c r="AK82">
        <f t="shared" si="11"/>
        <v>84</v>
      </c>
      <c r="AL82" s="29">
        <f t="shared" si="12"/>
        <v>63</v>
      </c>
      <c r="AM82" s="1">
        <f t="shared" si="13"/>
        <v>0</v>
      </c>
    </row>
    <row r="83" spans="1:39" ht="15.9">
      <c r="A83" s="1" t="s">
        <v>155</v>
      </c>
      <c r="B83" s="1" t="s">
        <v>73</v>
      </c>
      <c r="C83" s="226" t="s">
        <v>31</v>
      </c>
      <c r="D83" s="225" t="e">
        <f>#REF!</f>
        <v>#REF!</v>
      </c>
      <c r="E83" s="32"/>
      <c r="F83" s="32"/>
      <c r="G83" s="32"/>
      <c r="H83" s="32"/>
      <c r="I83" s="32"/>
      <c r="J83" s="36"/>
      <c r="K83" s="36"/>
      <c r="L83" s="32"/>
      <c r="M83" s="32"/>
      <c r="N83" s="32"/>
      <c r="O83" s="32"/>
      <c r="P83" s="32"/>
      <c r="Q83" s="36"/>
      <c r="R83" s="36"/>
      <c r="S83" s="32"/>
      <c r="T83" s="32"/>
      <c r="U83" s="32"/>
      <c r="V83" s="32"/>
      <c r="W83" s="32"/>
      <c r="X83" s="36"/>
      <c r="Y83" s="36"/>
      <c r="Z83" s="32"/>
      <c r="AA83" s="32"/>
      <c r="AB83" s="32"/>
      <c r="AC83" s="32"/>
      <c r="AD83" s="32"/>
      <c r="AE83" s="36"/>
      <c r="AF83" s="145"/>
      <c r="AG83" s="223" t="e">
        <f>_xlfn.CONCAT(#REF!,#REF!)</f>
        <v>#REF!</v>
      </c>
      <c r="AH83" s="27" t="e">
        <f t="shared" si="9"/>
        <v>#REF!</v>
      </c>
      <c r="AI83" s="27" t="e">
        <f>MARZEC!AK80</f>
        <v>#REF!</v>
      </c>
      <c r="AJ83" s="28">
        <f t="shared" si="10"/>
        <v>0</v>
      </c>
      <c r="AK83">
        <f t="shared" si="11"/>
        <v>0</v>
      </c>
      <c r="AL83" s="29">
        <f t="shared" si="12"/>
        <v>0</v>
      </c>
      <c r="AM83" s="1">
        <f t="shared" si="13"/>
        <v>0</v>
      </c>
    </row>
    <row r="84" spans="1:39" ht="15.9">
      <c r="A84" s="1" t="s">
        <v>157</v>
      </c>
      <c r="B84" s="1" t="s">
        <v>64</v>
      </c>
      <c r="C84" s="228" t="s">
        <v>32</v>
      </c>
      <c r="D84" s="225" t="e">
        <f>#REF!</f>
        <v>#REF!</v>
      </c>
      <c r="E84" s="32" t="s">
        <v>217</v>
      </c>
      <c r="F84" s="32" t="s">
        <v>217</v>
      </c>
      <c r="G84" s="32" t="s">
        <v>217</v>
      </c>
      <c r="H84" s="32" t="s">
        <v>217</v>
      </c>
      <c r="I84" s="32" t="s">
        <v>217</v>
      </c>
      <c r="J84" s="36" t="s">
        <v>66</v>
      </c>
      <c r="K84" s="36" t="s">
        <v>66</v>
      </c>
      <c r="L84" s="32" t="s">
        <v>217</v>
      </c>
      <c r="M84" s="32" t="s">
        <v>176</v>
      </c>
      <c r="N84" s="32" t="s">
        <v>176</v>
      </c>
      <c r="O84" s="32" t="s">
        <v>176</v>
      </c>
      <c r="P84" s="32" t="s">
        <v>176</v>
      </c>
      <c r="Q84" s="36" t="s">
        <v>66</v>
      </c>
      <c r="R84" s="36" t="s">
        <v>66</v>
      </c>
      <c r="S84" s="32" t="s">
        <v>176</v>
      </c>
      <c r="T84" s="32" t="s">
        <v>176</v>
      </c>
      <c r="U84" s="32" t="s">
        <v>176</v>
      </c>
      <c r="V84" s="32" t="s">
        <v>176</v>
      </c>
      <c r="W84" s="32" t="s">
        <v>176</v>
      </c>
      <c r="X84" s="36" t="s">
        <v>66</v>
      </c>
      <c r="Y84" s="36" t="s">
        <v>66</v>
      </c>
      <c r="Z84" s="32" t="s">
        <v>176</v>
      </c>
      <c r="AA84" s="32" t="s">
        <v>176</v>
      </c>
      <c r="AB84" s="32" t="s">
        <v>176</v>
      </c>
      <c r="AC84" s="32" t="s">
        <v>176</v>
      </c>
      <c r="AD84" s="32" t="s">
        <v>176</v>
      </c>
      <c r="AE84" s="36" t="s">
        <v>66</v>
      </c>
      <c r="AF84" s="145" t="s">
        <v>66</v>
      </c>
      <c r="AG84" s="223" t="e">
        <f>_xlfn.CONCAT(#REF!,#REF!)</f>
        <v>#REF!</v>
      </c>
      <c r="AH84" s="27" t="e">
        <f t="shared" si="9"/>
        <v>#REF!</v>
      </c>
      <c r="AI84" s="27" t="e">
        <f>MARZEC!AK81</f>
        <v>#REF!</v>
      </c>
      <c r="AJ84" s="28">
        <f t="shared" si="10"/>
        <v>0</v>
      </c>
      <c r="AK84">
        <f t="shared" si="11"/>
        <v>0</v>
      </c>
      <c r="AL84" s="29">
        <f t="shared" si="12"/>
        <v>160</v>
      </c>
      <c r="AM84" s="1">
        <f t="shared" si="13"/>
        <v>0</v>
      </c>
    </row>
    <row r="85" spans="1:39" ht="15.9">
      <c r="A85" s="1" t="s">
        <v>155</v>
      </c>
      <c r="B85" s="1" t="s">
        <v>73</v>
      </c>
      <c r="C85" s="229" t="s">
        <v>33</v>
      </c>
      <c r="D85" s="225" t="e">
        <f>#REF!</f>
        <v>#REF!</v>
      </c>
      <c r="E85" s="32" t="s">
        <v>95</v>
      </c>
      <c r="F85" s="32" t="s">
        <v>92</v>
      </c>
      <c r="G85" s="32"/>
      <c r="H85" s="32"/>
      <c r="I85" s="32"/>
      <c r="J85" s="36"/>
      <c r="K85" s="36"/>
      <c r="L85" s="32"/>
      <c r="M85" s="32"/>
      <c r="N85" s="32"/>
      <c r="O85" s="32">
        <v>2</v>
      </c>
      <c r="P85" s="32"/>
      <c r="Q85" s="36"/>
      <c r="R85" s="36"/>
      <c r="S85" s="32">
        <v>2</v>
      </c>
      <c r="T85" s="32"/>
      <c r="U85" s="32"/>
      <c r="V85" s="32" t="s">
        <v>113</v>
      </c>
      <c r="W85" s="32"/>
      <c r="X85" s="36"/>
      <c r="Y85" s="36"/>
      <c r="Z85" s="32"/>
      <c r="AA85" s="32"/>
      <c r="AB85" s="32" t="s">
        <v>113</v>
      </c>
      <c r="AC85" s="32"/>
      <c r="AD85" s="32"/>
      <c r="AE85" s="36"/>
      <c r="AF85" s="145"/>
      <c r="AG85" s="223" t="e">
        <f>_xlfn.CONCAT(#REF!,#REF!)</f>
        <v>#REF!</v>
      </c>
      <c r="AH85" s="27" t="e">
        <f t="shared" si="9"/>
        <v>#REF!</v>
      </c>
      <c r="AI85" s="27" t="e">
        <f>MARZEC!AK82</f>
        <v>#REF!</v>
      </c>
      <c r="AJ85" s="28">
        <f t="shared" si="10"/>
        <v>48</v>
      </c>
      <c r="AK85">
        <f t="shared" si="11"/>
        <v>36</v>
      </c>
      <c r="AL85" s="29">
        <f t="shared" si="12"/>
        <v>4</v>
      </c>
      <c r="AM85" s="1">
        <f t="shared" si="13"/>
        <v>0</v>
      </c>
    </row>
    <row r="86" spans="1:39" ht="15.9">
      <c r="A86" s="1" t="s">
        <v>152</v>
      </c>
      <c r="B86" s="1" t="s">
        <v>64</v>
      </c>
      <c r="C86" s="227" t="s">
        <v>34</v>
      </c>
      <c r="D86" s="225" t="e">
        <f>#REF!</f>
        <v>#REF!</v>
      </c>
      <c r="E86" s="32"/>
      <c r="F86" s="32"/>
      <c r="G86" s="32"/>
      <c r="H86" s="32">
        <v>4</v>
      </c>
      <c r="I86" s="32"/>
      <c r="J86" s="36"/>
      <c r="K86" s="36" t="s">
        <v>113</v>
      </c>
      <c r="L86" s="32"/>
      <c r="M86" s="32">
        <v>8</v>
      </c>
      <c r="N86" s="32">
        <v>8</v>
      </c>
      <c r="O86" s="32">
        <v>8</v>
      </c>
      <c r="P86" s="32"/>
      <c r="Q86" s="36"/>
      <c r="R86" s="36"/>
      <c r="S86" s="32"/>
      <c r="T86" s="32"/>
      <c r="U86" s="32"/>
      <c r="V86" s="32"/>
      <c r="W86" s="32"/>
      <c r="X86" s="36"/>
      <c r="Y86" s="36"/>
      <c r="Z86" s="32"/>
      <c r="AA86" s="32"/>
      <c r="AB86" s="32"/>
      <c r="AC86" s="32"/>
      <c r="AD86" s="32"/>
      <c r="AE86" s="36"/>
      <c r="AF86" s="145"/>
      <c r="AG86" s="223" t="e">
        <f>_xlfn.CONCAT(#REF!,#REF!)</f>
        <v>#REF!</v>
      </c>
      <c r="AH86" s="27" t="e">
        <f t="shared" ref="AH86:AH104" si="14">D86+AJ86+AK86+AL86-$AH$1+AM86+AN86</f>
        <v>#REF!</v>
      </c>
      <c r="AI86" s="27" t="e">
        <f>MARZEC!AK83</f>
        <v>#REF!</v>
      </c>
      <c r="AJ86" s="28">
        <f t="shared" ref="AJ86:AJ104" si="15">COUNTIF(E86:AF86,"D")*24+COUNTIF(E86:AF86,"12g")*12</f>
        <v>24</v>
      </c>
      <c r="AK86">
        <f t="shared" ref="AK86:AK104" si="16">SUM(COUNTIF(E86:AF86,"k")+COUNTIF(E86:AF86,"s")+COUNTIF(E86:AF86,"wse"))*24+SUM(COUNTIF(E86:AF86,"Pk")+COUNTIF(E86:AF86,"Ps"))*12</f>
        <v>0</v>
      </c>
      <c r="AL86" s="29">
        <f t="shared" ref="AL86:AL104" si="17">SUM(E86:AF86)+COUNTIF(E86:AF86,"uw")*8+COUNTIF(E86:AF86,"us")*8+COUNTIF(E86:AF86,"uz")*8+COUNTIF(E86:AF86,"u")*8</f>
        <v>28</v>
      </c>
      <c r="AM86" s="1">
        <f t="shared" ref="AM86:AM104" si="18">COUNTIF(A86:AE86,"DT")*8</f>
        <v>0</v>
      </c>
    </row>
    <row r="87" spans="1:39" ht="15.9">
      <c r="A87" s="1" t="s">
        <v>156</v>
      </c>
      <c r="B87" s="1" t="s">
        <v>64</v>
      </c>
      <c r="C87" s="228" t="s">
        <v>35</v>
      </c>
      <c r="D87" s="225" t="e">
        <f>#REF!</f>
        <v>#REF!</v>
      </c>
      <c r="E87" s="32" t="s">
        <v>95</v>
      </c>
      <c r="F87" s="32">
        <v>13</v>
      </c>
      <c r="G87" s="32"/>
      <c r="H87" s="32"/>
      <c r="I87" s="32"/>
      <c r="J87" s="36"/>
      <c r="K87" s="36"/>
      <c r="L87" s="32" t="s">
        <v>217</v>
      </c>
      <c r="M87" s="32" t="s">
        <v>217</v>
      </c>
      <c r="N87" s="32" t="s">
        <v>217</v>
      </c>
      <c r="O87" s="32" t="s">
        <v>217</v>
      </c>
      <c r="P87" s="32" t="s">
        <v>217</v>
      </c>
      <c r="Q87" s="36"/>
      <c r="R87" s="36"/>
      <c r="S87" s="32"/>
      <c r="T87" s="32"/>
      <c r="U87" s="32"/>
      <c r="V87" s="32"/>
      <c r="W87" s="32"/>
      <c r="X87" s="36"/>
      <c r="Y87" s="36"/>
      <c r="Z87" s="32"/>
      <c r="AA87" s="32"/>
      <c r="AB87" s="32"/>
      <c r="AC87" s="32"/>
      <c r="AD87" s="32"/>
      <c r="AE87" s="36"/>
      <c r="AF87" s="145"/>
      <c r="AG87" s="223" t="e">
        <f>_xlfn.CONCAT(#REF!,#REF!)</f>
        <v>#REF!</v>
      </c>
      <c r="AH87" s="27" t="e">
        <f t="shared" si="14"/>
        <v>#REF!</v>
      </c>
      <c r="AI87" s="27" t="e">
        <f>MARZEC!AK84</f>
        <v>#REF!</v>
      </c>
      <c r="AJ87" s="28">
        <f t="shared" si="15"/>
        <v>0</v>
      </c>
      <c r="AK87">
        <f t="shared" si="16"/>
        <v>24</v>
      </c>
      <c r="AL87" s="29">
        <f t="shared" si="17"/>
        <v>53</v>
      </c>
      <c r="AM87" s="1">
        <f t="shared" si="18"/>
        <v>0</v>
      </c>
    </row>
    <row r="88" spans="1:39" ht="15.9">
      <c r="A88" s="1" t="s">
        <v>156</v>
      </c>
      <c r="B88" s="1" t="s">
        <v>59</v>
      </c>
      <c r="C88" s="228" t="s">
        <v>36</v>
      </c>
      <c r="D88" s="225" t="e">
        <f>#REF!</f>
        <v>#REF!</v>
      </c>
      <c r="E88" s="32" t="s">
        <v>95</v>
      </c>
      <c r="F88" s="32">
        <v>8</v>
      </c>
      <c r="G88" s="32"/>
      <c r="H88" s="32"/>
      <c r="I88" s="32"/>
      <c r="J88" s="36"/>
      <c r="K88" s="36"/>
      <c r="L88" s="32" t="s">
        <v>88</v>
      </c>
      <c r="M88" s="32" t="s">
        <v>88</v>
      </c>
      <c r="N88" s="32" t="s">
        <v>88</v>
      </c>
      <c r="O88" s="32" t="s">
        <v>88</v>
      </c>
      <c r="P88" s="32" t="s">
        <v>88</v>
      </c>
      <c r="Q88" s="36" t="s">
        <v>66</v>
      </c>
      <c r="R88" s="36" t="s">
        <v>66</v>
      </c>
      <c r="S88" s="32" t="s">
        <v>88</v>
      </c>
      <c r="T88" s="32"/>
      <c r="U88" s="32"/>
      <c r="V88" s="32"/>
      <c r="W88" s="32"/>
      <c r="X88" s="36"/>
      <c r="Y88" s="36"/>
      <c r="Z88" s="32"/>
      <c r="AA88" s="32"/>
      <c r="AB88" s="32"/>
      <c r="AC88" s="32"/>
      <c r="AD88" s="32"/>
      <c r="AE88" s="36"/>
      <c r="AF88" s="145"/>
      <c r="AG88" s="223" t="e">
        <f>_xlfn.CONCAT(#REF!,#REF!)</f>
        <v>#REF!</v>
      </c>
      <c r="AH88" s="27" t="e">
        <f t="shared" si="14"/>
        <v>#REF!</v>
      </c>
      <c r="AI88" s="27" t="e">
        <f>MARZEC!AK85</f>
        <v>#REF!</v>
      </c>
      <c r="AJ88" s="28">
        <f t="shared" si="15"/>
        <v>0</v>
      </c>
      <c r="AK88">
        <f t="shared" si="16"/>
        <v>24</v>
      </c>
      <c r="AL88" s="29">
        <f t="shared" si="17"/>
        <v>56</v>
      </c>
      <c r="AM88" s="1">
        <f t="shared" si="18"/>
        <v>0</v>
      </c>
    </row>
    <row r="89" spans="1:39" ht="15.9">
      <c r="A89" s="1" t="s">
        <v>152</v>
      </c>
      <c r="B89" s="1" t="s">
        <v>93</v>
      </c>
      <c r="C89" s="227" t="s">
        <v>37</v>
      </c>
      <c r="D89" s="225" t="e">
        <f>#REF!</f>
        <v>#REF!</v>
      </c>
      <c r="E89" s="32" t="s">
        <v>113</v>
      </c>
      <c r="F89" s="32"/>
      <c r="G89" s="32"/>
      <c r="H89" s="32"/>
      <c r="I89" s="32"/>
      <c r="J89" s="36"/>
      <c r="K89" s="36"/>
      <c r="L89" s="32">
        <v>7</v>
      </c>
      <c r="M89" s="32" t="s">
        <v>113</v>
      </c>
      <c r="N89" s="32"/>
      <c r="O89" s="32">
        <v>7</v>
      </c>
      <c r="P89" s="32"/>
      <c r="Q89" s="36"/>
      <c r="R89" s="36"/>
      <c r="S89" s="32"/>
      <c r="T89" s="32"/>
      <c r="U89" s="32"/>
      <c r="V89" s="32"/>
      <c r="W89" s="32"/>
      <c r="X89" s="36"/>
      <c r="Y89" s="36"/>
      <c r="Z89" s="32"/>
      <c r="AA89" s="32" t="s">
        <v>113</v>
      </c>
      <c r="AB89" s="32"/>
      <c r="AC89" s="32"/>
      <c r="AD89" s="32"/>
      <c r="AE89" s="36"/>
      <c r="AF89" s="145"/>
      <c r="AG89" s="223" t="e">
        <f>_xlfn.CONCAT(#REF!,#REF!)</f>
        <v>#REF!</v>
      </c>
      <c r="AH89" s="27" t="e">
        <f t="shared" si="14"/>
        <v>#REF!</v>
      </c>
      <c r="AI89" s="27" t="e">
        <f>MARZEC!AK86</f>
        <v>#REF!</v>
      </c>
      <c r="AJ89" s="28">
        <f t="shared" si="15"/>
        <v>72</v>
      </c>
      <c r="AK89">
        <f t="shared" si="16"/>
        <v>0</v>
      </c>
      <c r="AL89" s="29">
        <f t="shared" si="17"/>
        <v>14</v>
      </c>
      <c r="AM89" s="1">
        <f t="shared" si="18"/>
        <v>0</v>
      </c>
    </row>
    <row r="90" spans="1:39" ht="15.9">
      <c r="A90" s="1" t="s">
        <v>152</v>
      </c>
      <c r="B90" s="1" t="s">
        <v>64</v>
      </c>
      <c r="C90" s="227" t="s">
        <v>38</v>
      </c>
      <c r="D90" s="225" t="e">
        <f>#REF!</f>
        <v>#REF!</v>
      </c>
      <c r="E90" s="32"/>
      <c r="F90" s="32"/>
      <c r="G90" s="32"/>
      <c r="H90" s="32"/>
      <c r="I90" s="32"/>
      <c r="J90" s="36"/>
      <c r="K90" s="36"/>
      <c r="L90" s="32"/>
      <c r="M90" s="32" t="s">
        <v>113</v>
      </c>
      <c r="N90" s="32"/>
      <c r="O90" s="32"/>
      <c r="P90" s="32"/>
      <c r="Q90" s="36"/>
      <c r="R90" s="36"/>
      <c r="S90" s="32"/>
      <c r="T90" s="32"/>
      <c r="U90" s="32"/>
      <c r="V90" s="32"/>
      <c r="W90" s="32"/>
      <c r="X90" s="36"/>
      <c r="Y90" s="36"/>
      <c r="Z90" s="32"/>
      <c r="AA90" s="32"/>
      <c r="AB90" s="32"/>
      <c r="AC90" s="32"/>
      <c r="AD90" s="32"/>
      <c r="AE90" s="36"/>
      <c r="AF90" s="145"/>
      <c r="AG90" s="223" t="e">
        <f>_xlfn.CONCAT(#REF!,#REF!)</f>
        <v>#REF!</v>
      </c>
      <c r="AH90" s="27" t="e">
        <f t="shared" si="14"/>
        <v>#REF!</v>
      </c>
      <c r="AI90" s="27" t="e">
        <f>MARZEC!AK87</f>
        <v>#REF!</v>
      </c>
      <c r="AJ90" s="28">
        <f t="shared" si="15"/>
        <v>24</v>
      </c>
      <c r="AK90">
        <f t="shared" si="16"/>
        <v>0</v>
      </c>
      <c r="AL90" s="29">
        <f t="shared" si="17"/>
        <v>0</v>
      </c>
      <c r="AM90" s="1">
        <f t="shared" si="18"/>
        <v>0</v>
      </c>
    </row>
    <row r="91" spans="1:39" ht="15.9">
      <c r="A91" s="1" t="s">
        <v>155</v>
      </c>
      <c r="B91" s="1" t="s">
        <v>93</v>
      </c>
      <c r="C91" s="226" t="s">
        <v>39</v>
      </c>
      <c r="D91" s="225" t="e">
        <f>#REF!</f>
        <v>#REF!</v>
      </c>
      <c r="E91" s="32"/>
      <c r="F91" s="32"/>
      <c r="G91" s="32"/>
      <c r="H91" s="32"/>
      <c r="I91" s="32"/>
      <c r="J91" s="36"/>
      <c r="K91" s="36"/>
      <c r="L91" s="32"/>
      <c r="M91" s="32"/>
      <c r="N91" s="32"/>
      <c r="O91" s="32"/>
      <c r="P91" s="32"/>
      <c r="Q91" s="36"/>
      <c r="R91" s="36"/>
      <c r="S91" s="32"/>
      <c r="T91" s="32">
        <v>16</v>
      </c>
      <c r="U91" s="32" t="s">
        <v>95</v>
      </c>
      <c r="V91" s="32" t="s">
        <v>95</v>
      </c>
      <c r="W91" s="32" t="s">
        <v>95</v>
      </c>
      <c r="X91" s="36" t="s">
        <v>95</v>
      </c>
      <c r="Y91" s="36" t="s">
        <v>95</v>
      </c>
      <c r="Z91" s="32" t="s">
        <v>95</v>
      </c>
      <c r="AA91" s="32" t="s">
        <v>92</v>
      </c>
      <c r="AB91" s="32"/>
      <c r="AC91" s="32"/>
      <c r="AD91" s="32"/>
      <c r="AE91" s="36"/>
      <c r="AF91" s="145"/>
      <c r="AG91" s="223" t="e">
        <f>_xlfn.CONCAT(#REF!,#REF!)</f>
        <v>#REF!</v>
      </c>
      <c r="AH91" s="27" t="e">
        <f t="shared" si="14"/>
        <v>#REF!</v>
      </c>
      <c r="AI91" s="27" t="e">
        <f>MARZEC!AK88</f>
        <v>#REF!</v>
      </c>
      <c r="AJ91" s="28">
        <f t="shared" si="15"/>
        <v>0</v>
      </c>
      <c r="AK91">
        <f t="shared" si="16"/>
        <v>156</v>
      </c>
      <c r="AL91" s="29">
        <f t="shared" si="17"/>
        <v>16</v>
      </c>
      <c r="AM91" s="1">
        <f t="shared" si="18"/>
        <v>0</v>
      </c>
    </row>
    <row r="92" spans="1:39" ht="15.9">
      <c r="A92" s="1" t="s">
        <v>155</v>
      </c>
      <c r="B92" s="1" t="s">
        <v>64</v>
      </c>
      <c r="C92" s="226" t="s">
        <v>40</v>
      </c>
      <c r="D92" s="225" t="e">
        <f>#REF!</f>
        <v>#REF!</v>
      </c>
      <c r="E92" s="32"/>
      <c r="F92" s="32"/>
      <c r="G92" s="32"/>
      <c r="H92" s="32"/>
      <c r="I92" s="32"/>
      <c r="J92" s="36"/>
      <c r="K92" s="36"/>
      <c r="L92" s="32"/>
      <c r="M92" s="32"/>
      <c r="N92" s="32"/>
      <c r="O92" s="32" t="s">
        <v>176</v>
      </c>
      <c r="P92" s="32" t="s">
        <v>176</v>
      </c>
      <c r="Q92" s="36"/>
      <c r="R92" s="36"/>
      <c r="S92" s="32" t="s">
        <v>217</v>
      </c>
      <c r="T92" s="32" t="s">
        <v>217</v>
      </c>
      <c r="U92" s="32" t="s">
        <v>217</v>
      </c>
      <c r="V92" s="32" t="s">
        <v>217</v>
      </c>
      <c r="W92" s="32" t="s">
        <v>217</v>
      </c>
      <c r="X92" s="36" t="s">
        <v>66</v>
      </c>
      <c r="Y92" s="36" t="s">
        <v>66</v>
      </c>
      <c r="Z92" s="32" t="s">
        <v>217</v>
      </c>
      <c r="AA92" s="32"/>
      <c r="AB92" s="32"/>
      <c r="AC92" s="32"/>
      <c r="AD92" s="32"/>
      <c r="AE92" s="36"/>
      <c r="AF92" s="145"/>
      <c r="AG92" s="223" t="e">
        <f>_xlfn.CONCAT(#REF!,#REF!)</f>
        <v>#REF!</v>
      </c>
      <c r="AH92" s="27" t="e">
        <f t="shared" si="14"/>
        <v>#REF!</v>
      </c>
      <c r="AI92" s="27" t="e">
        <f>MARZEC!AK89</f>
        <v>#REF!</v>
      </c>
      <c r="AJ92" s="28">
        <f t="shared" si="15"/>
        <v>0</v>
      </c>
      <c r="AK92">
        <f t="shared" si="16"/>
        <v>0</v>
      </c>
      <c r="AL92" s="29">
        <f t="shared" si="17"/>
        <v>64</v>
      </c>
      <c r="AM92" s="1">
        <f t="shared" si="18"/>
        <v>0</v>
      </c>
    </row>
    <row r="93" spans="1:39" ht="15.9">
      <c r="A93" s="1" t="s">
        <v>58</v>
      </c>
      <c r="B93" s="1" t="s">
        <v>64</v>
      </c>
      <c r="C93" s="226" t="s">
        <v>41</v>
      </c>
      <c r="D93" s="225" t="e">
        <f>#REF!</f>
        <v>#REF!</v>
      </c>
      <c r="E93" s="32"/>
      <c r="F93" s="32"/>
      <c r="G93" s="32"/>
      <c r="H93" s="32"/>
      <c r="I93" s="32"/>
      <c r="J93" s="36"/>
      <c r="K93" s="36"/>
      <c r="L93" s="32"/>
      <c r="M93" s="32"/>
      <c r="N93" s="32"/>
      <c r="O93" s="32"/>
      <c r="P93" s="32" t="s">
        <v>113</v>
      </c>
      <c r="Q93" s="36"/>
      <c r="R93" s="36"/>
      <c r="S93" s="32" t="s">
        <v>153</v>
      </c>
      <c r="T93" s="32" t="s">
        <v>154</v>
      </c>
      <c r="U93" s="32" t="s">
        <v>154</v>
      </c>
      <c r="V93" s="32" t="s">
        <v>154</v>
      </c>
      <c r="W93" s="32" t="s">
        <v>154</v>
      </c>
      <c r="X93" s="36" t="s">
        <v>154</v>
      </c>
      <c r="Y93" s="36" t="s">
        <v>154</v>
      </c>
      <c r="Z93" s="32" t="s">
        <v>153</v>
      </c>
      <c r="AA93" s="32"/>
      <c r="AB93" s="32"/>
      <c r="AC93" s="32"/>
      <c r="AD93" s="32"/>
      <c r="AE93" s="36"/>
      <c r="AF93" s="145"/>
      <c r="AG93" s="223" t="e">
        <f>_xlfn.CONCAT(#REF!,#REF!)</f>
        <v>#REF!</v>
      </c>
      <c r="AH93" s="27" t="e">
        <f t="shared" si="14"/>
        <v>#REF!</v>
      </c>
      <c r="AI93" s="27" t="e">
        <f>MARZEC!AK90</f>
        <v>#REF!</v>
      </c>
      <c r="AJ93" s="28">
        <f t="shared" si="15"/>
        <v>24</v>
      </c>
      <c r="AK93">
        <f t="shared" si="16"/>
        <v>168</v>
      </c>
      <c r="AL93" s="29">
        <f t="shared" si="17"/>
        <v>0</v>
      </c>
      <c r="AM93" s="1">
        <f t="shared" si="18"/>
        <v>0</v>
      </c>
    </row>
    <row r="94" spans="1:39" ht="15.9">
      <c r="A94" s="1" t="s">
        <v>155</v>
      </c>
      <c r="B94" s="1" t="s">
        <v>93</v>
      </c>
      <c r="C94" s="226" t="s">
        <v>42</v>
      </c>
      <c r="D94" s="225" t="e">
        <f>#REF!</f>
        <v>#REF!</v>
      </c>
      <c r="E94" s="32"/>
      <c r="F94" s="32"/>
      <c r="G94" s="32"/>
      <c r="H94" s="32"/>
      <c r="I94" s="32"/>
      <c r="J94" s="36"/>
      <c r="K94" s="36"/>
      <c r="L94" s="32"/>
      <c r="M94" s="32">
        <v>17</v>
      </c>
      <c r="N94" s="32" t="s">
        <v>95</v>
      </c>
      <c r="O94" s="32" t="s">
        <v>95</v>
      </c>
      <c r="P94" s="32" t="s">
        <v>95</v>
      </c>
      <c r="Q94" s="36" t="s">
        <v>95</v>
      </c>
      <c r="R94" s="36" t="s">
        <v>95</v>
      </c>
      <c r="S94" s="32" t="s">
        <v>95</v>
      </c>
      <c r="T94" s="32">
        <v>14</v>
      </c>
      <c r="U94" s="32"/>
      <c r="V94" s="32"/>
      <c r="W94" s="32"/>
      <c r="X94" s="36"/>
      <c r="Y94" s="36"/>
      <c r="Z94" s="32"/>
      <c r="AA94" s="32"/>
      <c r="AB94" s="32"/>
      <c r="AC94" s="32"/>
      <c r="AD94" s="32"/>
      <c r="AE94" s="36"/>
      <c r="AF94" s="145"/>
      <c r="AG94" s="223" t="e">
        <f>_xlfn.CONCAT(#REF!,#REF!)</f>
        <v>#REF!</v>
      </c>
      <c r="AH94" s="27" t="e">
        <f t="shared" si="14"/>
        <v>#REF!</v>
      </c>
      <c r="AI94" s="27" t="e">
        <f>MARZEC!AK91</f>
        <v>#REF!</v>
      </c>
      <c r="AJ94" s="28">
        <f t="shared" si="15"/>
        <v>0</v>
      </c>
      <c r="AK94">
        <f t="shared" si="16"/>
        <v>144</v>
      </c>
      <c r="AL94" s="29">
        <f t="shared" si="17"/>
        <v>31</v>
      </c>
      <c r="AM94" s="1">
        <f t="shared" si="18"/>
        <v>0</v>
      </c>
    </row>
    <row r="95" spans="1:39" ht="15.9">
      <c r="A95" s="1" t="s">
        <v>155</v>
      </c>
      <c r="B95" s="1" t="s">
        <v>73</v>
      </c>
      <c r="C95" s="226" t="s">
        <v>43</v>
      </c>
      <c r="D95" s="225" t="e">
        <f>#REF!</f>
        <v>#REF!</v>
      </c>
      <c r="E95" s="32"/>
      <c r="F95" s="32"/>
      <c r="G95" s="32"/>
      <c r="H95" s="32"/>
      <c r="I95" s="32"/>
      <c r="J95" s="36"/>
      <c r="K95" s="36"/>
      <c r="L95" s="32"/>
      <c r="M95" s="32"/>
      <c r="N95" s="32"/>
      <c r="O95" s="32"/>
      <c r="P95" s="32">
        <v>5</v>
      </c>
      <c r="Q95" s="36"/>
      <c r="R95" s="36"/>
      <c r="S95" s="32" t="s">
        <v>69</v>
      </c>
      <c r="T95" s="32" t="s">
        <v>70</v>
      </c>
      <c r="U95" s="32" t="s">
        <v>70</v>
      </c>
      <c r="V95" s="32" t="s">
        <v>70</v>
      </c>
      <c r="W95" s="32" t="s">
        <v>70</v>
      </c>
      <c r="X95" s="36" t="s">
        <v>70</v>
      </c>
      <c r="Y95" s="36" t="s">
        <v>70</v>
      </c>
      <c r="Z95" s="32" t="s">
        <v>69</v>
      </c>
      <c r="AA95" s="32"/>
      <c r="AB95" s="32"/>
      <c r="AC95" s="32"/>
      <c r="AD95" s="32"/>
      <c r="AE95" s="36"/>
      <c r="AF95" s="145"/>
      <c r="AG95" s="223" t="e">
        <f>_xlfn.CONCAT(#REF!,#REF!)</f>
        <v>#REF!</v>
      </c>
      <c r="AH95" s="27" t="e">
        <f t="shared" si="14"/>
        <v>#REF!</v>
      </c>
      <c r="AI95" s="27" t="e">
        <f>MARZEC!AK92</f>
        <v>#REF!</v>
      </c>
      <c r="AJ95" s="28">
        <f t="shared" si="15"/>
        <v>0</v>
      </c>
      <c r="AK95">
        <f t="shared" si="16"/>
        <v>168</v>
      </c>
      <c r="AL95" s="29">
        <f t="shared" si="17"/>
        <v>5</v>
      </c>
      <c r="AM95" s="1">
        <f t="shared" si="18"/>
        <v>0</v>
      </c>
    </row>
    <row r="96" spans="1:39" ht="15.9">
      <c r="A96" s="1" t="s">
        <v>152</v>
      </c>
      <c r="B96" s="1" t="s">
        <v>64</v>
      </c>
      <c r="C96" s="227" t="s">
        <v>44</v>
      </c>
      <c r="D96" s="225" t="e">
        <f>#REF!</f>
        <v>#REF!</v>
      </c>
      <c r="E96" s="32"/>
      <c r="F96" s="32"/>
      <c r="G96" s="32"/>
      <c r="H96" s="32">
        <v>4</v>
      </c>
      <c r="I96" s="32"/>
      <c r="J96" s="36"/>
      <c r="K96" s="36"/>
      <c r="L96" s="32"/>
      <c r="M96" s="32">
        <v>6</v>
      </c>
      <c r="N96" s="32" t="s">
        <v>113</v>
      </c>
      <c r="O96" s="32"/>
      <c r="P96" s="32">
        <v>5.5</v>
      </c>
      <c r="Q96" s="36"/>
      <c r="R96" s="36"/>
      <c r="S96" s="32"/>
      <c r="T96" s="32"/>
      <c r="U96" s="32"/>
      <c r="V96" s="32"/>
      <c r="W96" s="32" t="s">
        <v>103</v>
      </c>
      <c r="X96" s="36" t="s">
        <v>103</v>
      </c>
      <c r="Y96" s="36" t="s">
        <v>103</v>
      </c>
      <c r="Z96" s="32"/>
      <c r="AA96" s="32"/>
      <c r="AB96" s="32"/>
      <c r="AC96" s="32"/>
      <c r="AD96" s="32"/>
      <c r="AE96" s="36"/>
      <c r="AF96" s="145"/>
      <c r="AG96" s="223" t="e">
        <f>_xlfn.CONCAT(#REF!,#REF!)</f>
        <v>#REF!</v>
      </c>
      <c r="AH96" s="27" t="e">
        <f t="shared" si="14"/>
        <v>#REF!</v>
      </c>
      <c r="AI96" s="27">
        <f>MARZEC!AK93</f>
        <v>-98.5</v>
      </c>
      <c r="AJ96" s="28">
        <f t="shared" si="15"/>
        <v>24</v>
      </c>
      <c r="AK96">
        <f t="shared" si="16"/>
        <v>0</v>
      </c>
      <c r="AL96" s="29">
        <f t="shared" si="17"/>
        <v>15.5</v>
      </c>
      <c r="AM96" s="1">
        <f t="shared" si="18"/>
        <v>0</v>
      </c>
    </row>
    <row r="97" spans="1:39" ht="15.9">
      <c r="A97" s="1" t="s">
        <v>152</v>
      </c>
      <c r="B97" s="1" t="s">
        <v>73</v>
      </c>
      <c r="C97" s="227" t="s">
        <v>163</v>
      </c>
      <c r="D97" s="225" t="e">
        <f>#REF!</f>
        <v>#REF!</v>
      </c>
      <c r="E97" s="32"/>
      <c r="F97" s="32">
        <v>5</v>
      </c>
      <c r="G97" s="32"/>
      <c r="H97" s="32"/>
      <c r="I97" s="32">
        <v>5</v>
      </c>
      <c r="J97" s="36"/>
      <c r="K97" s="36"/>
      <c r="L97" s="32">
        <v>7</v>
      </c>
      <c r="M97" s="32">
        <v>7</v>
      </c>
      <c r="N97" s="32">
        <v>7</v>
      </c>
      <c r="O97" s="32">
        <v>7</v>
      </c>
      <c r="P97" s="32"/>
      <c r="Q97" s="36"/>
      <c r="R97" s="36"/>
      <c r="S97" s="32"/>
      <c r="T97" s="32"/>
      <c r="U97" s="32"/>
      <c r="V97" s="32"/>
      <c r="W97" s="32" t="s">
        <v>113</v>
      </c>
      <c r="X97" s="36"/>
      <c r="Y97" s="36"/>
      <c r="Z97" s="32"/>
      <c r="AA97" s="32"/>
      <c r="AB97" s="32"/>
      <c r="AC97" s="32"/>
      <c r="AD97" s="32"/>
      <c r="AE97" s="36"/>
      <c r="AF97" s="145"/>
      <c r="AG97" s="223" t="e">
        <f>_xlfn.CONCAT(#REF!,#REF!)</f>
        <v>#REF!</v>
      </c>
      <c r="AH97" s="27" t="e">
        <f t="shared" si="14"/>
        <v>#REF!</v>
      </c>
      <c r="AI97" s="27" t="e">
        <f>MARZEC!AK94</f>
        <v>#REF!</v>
      </c>
      <c r="AJ97" s="28">
        <f t="shared" si="15"/>
        <v>24</v>
      </c>
      <c r="AK97">
        <f t="shared" si="16"/>
        <v>0</v>
      </c>
      <c r="AL97" s="29">
        <f t="shared" si="17"/>
        <v>38</v>
      </c>
      <c r="AM97" s="1">
        <f t="shared" si="18"/>
        <v>0</v>
      </c>
    </row>
    <row r="98" spans="1:39" ht="15.9">
      <c r="A98" s="1" t="s">
        <v>152</v>
      </c>
      <c r="B98" s="1" t="s">
        <v>64</v>
      </c>
      <c r="C98" s="227" t="s">
        <v>45</v>
      </c>
      <c r="D98" s="225" t="e">
        <f>#REF!</f>
        <v>#REF!</v>
      </c>
      <c r="E98" s="32"/>
      <c r="F98" s="32"/>
      <c r="G98" s="32"/>
      <c r="H98" s="32">
        <v>4</v>
      </c>
      <c r="I98" s="32"/>
      <c r="J98" s="36"/>
      <c r="K98" s="36"/>
      <c r="L98" s="32">
        <v>8</v>
      </c>
      <c r="M98" s="32">
        <v>8</v>
      </c>
      <c r="N98" s="32">
        <v>8</v>
      </c>
      <c r="O98" s="32">
        <v>8</v>
      </c>
      <c r="P98" s="32"/>
      <c r="Q98" s="36"/>
      <c r="R98" s="36"/>
      <c r="S98" s="32"/>
      <c r="T98" s="32"/>
      <c r="U98" s="32"/>
      <c r="V98" s="32"/>
      <c r="W98" s="32"/>
      <c r="X98" s="36"/>
      <c r="Y98" s="36"/>
      <c r="Z98" s="32"/>
      <c r="AA98" s="32"/>
      <c r="AB98" s="32"/>
      <c r="AC98" s="32" t="s">
        <v>113</v>
      </c>
      <c r="AD98" s="32"/>
      <c r="AE98" s="36"/>
      <c r="AF98" s="145"/>
      <c r="AG98" s="223" t="e">
        <f>_xlfn.CONCAT(#REF!,#REF!)</f>
        <v>#REF!</v>
      </c>
      <c r="AH98" s="27" t="e">
        <f t="shared" si="14"/>
        <v>#REF!</v>
      </c>
      <c r="AI98" s="27" t="e">
        <f>MARZEC!AK95</f>
        <v>#REF!</v>
      </c>
      <c r="AJ98" s="28">
        <f t="shared" si="15"/>
        <v>24</v>
      </c>
      <c r="AK98">
        <f t="shared" si="16"/>
        <v>0</v>
      </c>
      <c r="AL98" s="29">
        <f t="shared" si="17"/>
        <v>36</v>
      </c>
      <c r="AM98" s="1">
        <f t="shared" si="18"/>
        <v>0</v>
      </c>
    </row>
    <row r="99" spans="1:39" ht="15.9">
      <c r="A99" s="1" t="s">
        <v>152</v>
      </c>
      <c r="B99" s="1" t="s">
        <v>93</v>
      </c>
      <c r="C99" s="227" t="s">
        <v>46</v>
      </c>
      <c r="D99" s="225" t="e">
        <f>#REF!</f>
        <v>#REF!</v>
      </c>
      <c r="E99" s="32">
        <v>4</v>
      </c>
      <c r="F99" s="32"/>
      <c r="G99" s="32"/>
      <c r="H99" s="32" t="s">
        <v>113</v>
      </c>
      <c r="I99" s="32"/>
      <c r="J99" s="36"/>
      <c r="K99" s="36"/>
      <c r="L99" s="32">
        <v>8</v>
      </c>
      <c r="M99" s="32">
        <v>8</v>
      </c>
      <c r="N99" s="32">
        <v>7</v>
      </c>
      <c r="O99" s="32" t="s">
        <v>217</v>
      </c>
      <c r="P99" s="32" t="s">
        <v>217</v>
      </c>
      <c r="Q99" s="36"/>
      <c r="R99" s="36"/>
      <c r="S99" s="32"/>
      <c r="T99" s="32"/>
      <c r="U99" s="32"/>
      <c r="V99" s="32" t="s">
        <v>113</v>
      </c>
      <c r="W99" s="32"/>
      <c r="X99" s="36"/>
      <c r="Y99" s="36"/>
      <c r="Z99" s="32"/>
      <c r="AA99" s="32" t="s">
        <v>69</v>
      </c>
      <c r="AB99" s="32" t="s">
        <v>70</v>
      </c>
      <c r="AC99" s="32" t="s">
        <v>70</v>
      </c>
      <c r="AD99" s="32" t="s">
        <v>69</v>
      </c>
      <c r="AE99" s="36"/>
      <c r="AF99" s="145"/>
      <c r="AG99" s="223" t="e">
        <f>_xlfn.CONCAT(#REF!,#REF!)</f>
        <v>#REF!</v>
      </c>
      <c r="AH99" s="27" t="e">
        <f t="shared" si="14"/>
        <v>#REF!</v>
      </c>
      <c r="AI99" s="27" t="e">
        <f>MARZEC!AK96</f>
        <v>#REF!</v>
      </c>
      <c r="AJ99" s="28">
        <f t="shared" si="15"/>
        <v>48</v>
      </c>
      <c r="AK99">
        <f t="shared" si="16"/>
        <v>72</v>
      </c>
      <c r="AL99" s="29">
        <f t="shared" si="17"/>
        <v>43</v>
      </c>
      <c r="AM99" s="1">
        <f t="shared" si="18"/>
        <v>0</v>
      </c>
    </row>
    <row r="100" spans="1:39" ht="15.9">
      <c r="A100" s="1" t="s">
        <v>152</v>
      </c>
      <c r="B100" s="1" t="s">
        <v>64</v>
      </c>
      <c r="C100" s="227" t="s">
        <v>47</v>
      </c>
      <c r="D100" s="225" t="e">
        <f>#REF!</f>
        <v>#REF!</v>
      </c>
      <c r="E100" s="32"/>
      <c r="F100" s="32">
        <v>8</v>
      </c>
      <c r="G100" s="32">
        <v>8</v>
      </c>
      <c r="H100" s="32">
        <v>8</v>
      </c>
      <c r="I100" s="32" t="s">
        <v>113</v>
      </c>
      <c r="J100" s="36"/>
      <c r="K100" s="36"/>
      <c r="L100" s="32" t="s">
        <v>113</v>
      </c>
      <c r="M100" s="32"/>
      <c r="N100" s="32">
        <v>8</v>
      </c>
      <c r="O100" s="32">
        <v>8</v>
      </c>
      <c r="P100" s="32"/>
      <c r="Q100" s="36"/>
      <c r="R100" s="36" t="s">
        <v>113</v>
      </c>
      <c r="S100" s="32"/>
      <c r="T100" s="32"/>
      <c r="U100" s="32" t="s">
        <v>113</v>
      </c>
      <c r="V100" s="32"/>
      <c r="W100" s="32"/>
      <c r="X100" s="36"/>
      <c r="Y100" s="36"/>
      <c r="Z100" s="32"/>
      <c r="AA100" s="32"/>
      <c r="AB100" s="32"/>
      <c r="AC100" s="32"/>
      <c r="AD100" s="32" t="s">
        <v>113</v>
      </c>
      <c r="AE100" s="36"/>
      <c r="AF100" s="145"/>
      <c r="AG100" s="223" t="e">
        <f>_xlfn.CONCAT(#REF!,#REF!)</f>
        <v>#REF!</v>
      </c>
      <c r="AH100" s="27" t="e">
        <f t="shared" si="14"/>
        <v>#REF!</v>
      </c>
      <c r="AI100" s="27" t="e">
        <f>MARZEC!AK97</f>
        <v>#REF!</v>
      </c>
      <c r="AJ100" s="28">
        <f t="shared" si="15"/>
        <v>120</v>
      </c>
      <c r="AK100">
        <f t="shared" si="16"/>
        <v>0</v>
      </c>
      <c r="AL100" s="29">
        <f t="shared" si="17"/>
        <v>40</v>
      </c>
      <c r="AM100" s="1">
        <f t="shared" si="18"/>
        <v>0</v>
      </c>
    </row>
    <row r="101" spans="1:39" ht="15.9">
      <c r="A101" s="1" t="s">
        <v>152</v>
      </c>
      <c r="B101" s="1" t="s">
        <v>64</v>
      </c>
      <c r="C101" s="227" t="s">
        <v>48</v>
      </c>
      <c r="D101" s="225" t="e">
        <f>#REF!</f>
        <v>#REF!</v>
      </c>
      <c r="E101" s="32"/>
      <c r="F101" s="32"/>
      <c r="G101" s="32" t="s">
        <v>113</v>
      </c>
      <c r="H101" s="32"/>
      <c r="I101" s="32"/>
      <c r="J101" s="36"/>
      <c r="K101" s="36"/>
      <c r="L101" s="32"/>
      <c r="M101" s="32"/>
      <c r="N101" s="32"/>
      <c r="O101" s="32"/>
      <c r="P101" s="32"/>
      <c r="Q101" s="36"/>
      <c r="R101" s="36"/>
      <c r="S101" s="32" t="s">
        <v>113</v>
      </c>
      <c r="T101" s="32"/>
      <c r="U101" s="32"/>
      <c r="V101" s="32"/>
      <c r="W101" s="32"/>
      <c r="X101" s="36"/>
      <c r="Y101" s="36"/>
      <c r="Z101" s="32" t="s">
        <v>176</v>
      </c>
      <c r="AA101" s="32" t="s">
        <v>176</v>
      </c>
      <c r="AB101" s="32" t="s">
        <v>176</v>
      </c>
      <c r="AC101" s="32" t="s">
        <v>176</v>
      </c>
      <c r="AD101" s="32" t="s">
        <v>176</v>
      </c>
      <c r="AE101" s="36" t="s">
        <v>176</v>
      </c>
      <c r="AF101" s="145" t="s">
        <v>176</v>
      </c>
      <c r="AG101" s="223" t="e">
        <f>_xlfn.CONCAT(#REF!,#REF!)</f>
        <v>#REF!</v>
      </c>
      <c r="AH101" s="27" t="e">
        <f t="shared" si="14"/>
        <v>#REF!</v>
      </c>
      <c r="AI101" s="27" t="e">
        <f>MARZEC!AK98</f>
        <v>#REF!</v>
      </c>
      <c r="AJ101" s="28">
        <f t="shared" si="15"/>
        <v>48</v>
      </c>
      <c r="AK101">
        <f t="shared" si="16"/>
        <v>0</v>
      </c>
      <c r="AL101" s="29">
        <f t="shared" si="17"/>
        <v>56</v>
      </c>
      <c r="AM101" s="1">
        <f t="shared" si="18"/>
        <v>0</v>
      </c>
    </row>
    <row r="102" spans="1:39" ht="15.9">
      <c r="A102" s="1" t="s">
        <v>58</v>
      </c>
      <c r="B102" s="1" t="s">
        <v>73</v>
      </c>
      <c r="C102" s="226" t="s">
        <v>49</v>
      </c>
      <c r="D102" s="225" t="e">
        <f>#REF!</f>
        <v>#REF!</v>
      </c>
      <c r="E102" s="32"/>
      <c r="F102" s="32">
        <v>17</v>
      </c>
      <c r="G102" s="32" t="s">
        <v>95</v>
      </c>
      <c r="H102" s="32" t="s">
        <v>95</v>
      </c>
      <c r="I102" s="32" t="s">
        <v>95</v>
      </c>
      <c r="J102" s="36" t="s">
        <v>95</v>
      </c>
      <c r="K102" s="36" t="s">
        <v>95</v>
      </c>
      <c r="L102" s="32" t="s">
        <v>95</v>
      </c>
      <c r="M102" s="32">
        <v>12</v>
      </c>
      <c r="N102" s="32"/>
      <c r="O102" s="32"/>
      <c r="P102" s="32"/>
      <c r="Q102" s="36"/>
      <c r="R102" s="36"/>
      <c r="S102" s="32"/>
      <c r="T102" s="32"/>
      <c r="U102" s="32"/>
      <c r="V102" s="32"/>
      <c r="W102" s="32"/>
      <c r="X102" s="36"/>
      <c r="Y102" s="36"/>
      <c r="Z102" s="32"/>
      <c r="AA102" s="32"/>
      <c r="AB102" s="32"/>
      <c r="AC102" s="32"/>
      <c r="AD102" s="32"/>
      <c r="AE102" s="36"/>
      <c r="AF102" s="145"/>
      <c r="AG102" s="223" t="e">
        <f>_xlfn.CONCAT(#REF!,#REF!)</f>
        <v>#REF!</v>
      </c>
      <c r="AH102" s="27" t="e">
        <f t="shared" si="14"/>
        <v>#REF!</v>
      </c>
      <c r="AI102" s="27" t="e">
        <f>MARZEC!AK99</f>
        <v>#REF!</v>
      </c>
      <c r="AJ102" s="28">
        <f t="shared" si="15"/>
        <v>0</v>
      </c>
      <c r="AK102">
        <f t="shared" si="16"/>
        <v>144</v>
      </c>
      <c r="AL102" s="29">
        <f t="shared" si="17"/>
        <v>29</v>
      </c>
      <c r="AM102" s="1">
        <f t="shared" si="18"/>
        <v>0</v>
      </c>
    </row>
    <row r="103" spans="1:39" ht="15.9">
      <c r="A103" s="1" t="s">
        <v>155</v>
      </c>
      <c r="B103" s="1" t="s">
        <v>73</v>
      </c>
      <c r="C103" s="226" t="s">
        <v>50</v>
      </c>
      <c r="D103" s="225" t="e">
        <f>#REF!</f>
        <v>#REF!</v>
      </c>
      <c r="E103" s="32"/>
      <c r="F103" s="32"/>
      <c r="G103" s="32"/>
      <c r="H103" s="32"/>
      <c r="I103" s="32"/>
      <c r="J103" s="36"/>
      <c r="K103" s="36" t="s">
        <v>113</v>
      </c>
      <c r="L103" s="32"/>
      <c r="M103" s="32"/>
      <c r="N103" s="32"/>
      <c r="O103" s="32"/>
      <c r="P103" s="32"/>
      <c r="Q103" s="36"/>
      <c r="R103" s="36"/>
      <c r="S103" s="32"/>
      <c r="T103" s="32"/>
      <c r="U103" s="32"/>
      <c r="V103" s="32"/>
      <c r="W103" s="32"/>
      <c r="X103" s="36"/>
      <c r="Y103" s="36"/>
      <c r="Z103" s="32"/>
      <c r="AA103" s="32"/>
      <c r="AB103" s="32"/>
      <c r="AC103" s="32"/>
      <c r="AD103" s="32"/>
      <c r="AE103" s="36"/>
      <c r="AF103" s="145"/>
      <c r="AG103" s="223" t="e">
        <f>_xlfn.CONCAT(#REF!,#REF!)</f>
        <v>#REF!</v>
      </c>
      <c r="AH103" s="27" t="e">
        <f t="shared" si="14"/>
        <v>#REF!</v>
      </c>
      <c r="AI103" s="27" t="e">
        <f>MARZEC!AK100</f>
        <v>#REF!</v>
      </c>
      <c r="AJ103" s="28">
        <f t="shared" si="15"/>
        <v>24</v>
      </c>
      <c r="AK103">
        <f t="shared" si="16"/>
        <v>0</v>
      </c>
      <c r="AL103" s="29">
        <f t="shared" si="17"/>
        <v>0</v>
      </c>
      <c r="AM103" s="1">
        <f t="shared" si="18"/>
        <v>0</v>
      </c>
    </row>
    <row r="104" spans="1:39" ht="15.9">
      <c r="A104" s="1" t="s">
        <v>155</v>
      </c>
      <c r="B104" s="1" t="s">
        <v>59</v>
      </c>
      <c r="C104" s="230" t="s">
        <v>51</v>
      </c>
      <c r="D104" s="225" t="e">
        <f>#REF!</f>
        <v>#REF!</v>
      </c>
      <c r="E104" s="32"/>
      <c r="F104" s="32"/>
      <c r="G104" s="32"/>
      <c r="H104" s="32"/>
      <c r="I104" s="32">
        <v>3</v>
      </c>
      <c r="J104" s="36"/>
      <c r="K104" s="36"/>
      <c r="L104" s="32"/>
      <c r="M104" s="32"/>
      <c r="N104" s="32"/>
      <c r="O104" s="32"/>
      <c r="P104" s="32"/>
      <c r="Q104" s="36"/>
      <c r="R104" s="36"/>
      <c r="S104" s="32"/>
      <c r="T104" s="32"/>
      <c r="U104" s="32"/>
      <c r="V104" s="32"/>
      <c r="W104" s="32"/>
      <c r="X104" s="36"/>
      <c r="Y104" s="36"/>
      <c r="Z104" s="32"/>
      <c r="AA104" s="32"/>
      <c r="AB104" s="32"/>
      <c r="AC104" s="32"/>
      <c r="AD104" s="32"/>
      <c r="AE104" s="36"/>
      <c r="AF104" s="145"/>
      <c r="AG104" s="223" t="e">
        <f>_xlfn.CONCAT(#REF!,#REF!)</f>
        <v>#REF!</v>
      </c>
      <c r="AH104" s="27" t="e">
        <f t="shared" si="14"/>
        <v>#REF!</v>
      </c>
      <c r="AI104" s="27" t="e">
        <f>MARZEC!AK101</f>
        <v>#REF!</v>
      </c>
      <c r="AJ104" s="28">
        <f t="shared" si="15"/>
        <v>0</v>
      </c>
      <c r="AK104">
        <f t="shared" si="16"/>
        <v>0</v>
      </c>
      <c r="AL104" s="29">
        <f t="shared" si="17"/>
        <v>3</v>
      </c>
      <c r="AM104" s="1">
        <f t="shared" si="18"/>
        <v>0</v>
      </c>
    </row>
    <row r="105" spans="1:39">
      <c r="AG105" s="231"/>
    </row>
    <row r="106" spans="1:39" ht="15.9">
      <c r="B106" s="61"/>
      <c r="C106" s="62" t="s">
        <v>120</v>
      </c>
      <c r="D106" s="63"/>
      <c r="E106" s="64">
        <f t="shared" ref="E106:AF106" si="19">E34</f>
        <v>1</v>
      </c>
      <c r="F106" s="64">
        <f t="shared" si="19"/>
        <v>1</v>
      </c>
      <c r="G106" s="64">
        <f t="shared" si="19"/>
        <v>1</v>
      </c>
      <c r="H106" s="64">
        <f t="shared" si="19"/>
        <v>1</v>
      </c>
      <c r="I106" s="64">
        <f t="shared" si="19"/>
        <v>1</v>
      </c>
      <c r="J106" s="64">
        <f t="shared" si="19"/>
        <v>1</v>
      </c>
      <c r="K106" s="64">
        <f t="shared" si="19"/>
        <v>1</v>
      </c>
      <c r="L106" s="64">
        <f t="shared" si="19"/>
        <v>1</v>
      </c>
      <c r="M106" s="64">
        <f t="shared" si="19"/>
        <v>1</v>
      </c>
      <c r="N106" s="64">
        <f t="shared" si="19"/>
        <v>1</v>
      </c>
      <c r="O106" s="64">
        <f t="shared" si="19"/>
        <v>1</v>
      </c>
      <c r="P106" s="64">
        <f t="shared" si="19"/>
        <v>1</v>
      </c>
      <c r="Q106" s="64">
        <f t="shared" si="19"/>
        <v>1</v>
      </c>
      <c r="R106" s="64">
        <f t="shared" si="19"/>
        <v>1</v>
      </c>
      <c r="S106" s="64">
        <f t="shared" si="19"/>
        <v>1</v>
      </c>
      <c r="T106" s="64">
        <f t="shared" si="19"/>
        <v>1</v>
      </c>
      <c r="U106" s="64">
        <f t="shared" si="19"/>
        <v>1</v>
      </c>
      <c r="V106" s="64">
        <f t="shared" si="19"/>
        <v>1</v>
      </c>
      <c r="W106" s="64">
        <f t="shared" si="19"/>
        <v>1</v>
      </c>
      <c r="X106" s="64">
        <f t="shared" si="19"/>
        <v>1</v>
      </c>
      <c r="Y106" s="64">
        <f t="shared" si="19"/>
        <v>1</v>
      </c>
      <c r="Z106" s="64">
        <f t="shared" si="19"/>
        <v>1</v>
      </c>
      <c r="AA106" s="64">
        <f t="shared" si="19"/>
        <v>1</v>
      </c>
      <c r="AB106" s="64">
        <f t="shared" si="19"/>
        <v>1</v>
      </c>
      <c r="AC106" s="64">
        <f t="shared" si="19"/>
        <v>1</v>
      </c>
      <c r="AD106" s="64">
        <f t="shared" si="19"/>
        <v>1</v>
      </c>
      <c r="AE106" s="64">
        <f t="shared" si="19"/>
        <v>1</v>
      </c>
      <c r="AF106" s="64">
        <f t="shared" si="19"/>
        <v>0</v>
      </c>
      <c r="AG106" s="231"/>
      <c r="AH106" s="27"/>
      <c r="AI106" s="27"/>
      <c r="AJ106" s="28"/>
      <c r="AK106"/>
      <c r="AL106" s="29"/>
    </row>
    <row r="107" spans="1:39" ht="15.9">
      <c r="B107" s="61"/>
      <c r="C107" s="65" t="s">
        <v>121</v>
      </c>
      <c r="D107" s="66"/>
      <c r="E107" s="64">
        <f t="shared" ref="E107:AF107" si="20">E35</f>
        <v>2</v>
      </c>
      <c r="F107" s="64">
        <f t="shared" si="20"/>
        <v>2</v>
      </c>
      <c r="G107" s="64">
        <f t="shared" si="20"/>
        <v>2</v>
      </c>
      <c r="H107" s="64">
        <f t="shared" si="20"/>
        <v>2</v>
      </c>
      <c r="I107" s="64">
        <f t="shared" si="20"/>
        <v>2</v>
      </c>
      <c r="J107" s="64">
        <f t="shared" si="20"/>
        <v>2</v>
      </c>
      <c r="K107" s="64">
        <f t="shared" si="20"/>
        <v>2</v>
      </c>
      <c r="L107" s="64">
        <f t="shared" si="20"/>
        <v>2</v>
      </c>
      <c r="M107" s="64">
        <f t="shared" si="20"/>
        <v>2</v>
      </c>
      <c r="N107" s="64">
        <f t="shared" si="20"/>
        <v>1</v>
      </c>
      <c r="O107" s="64">
        <f t="shared" si="20"/>
        <v>2</v>
      </c>
      <c r="P107" s="64">
        <f t="shared" si="20"/>
        <v>1</v>
      </c>
      <c r="Q107" s="64">
        <f t="shared" si="20"/>
        <v>2</v>
      </c>
      <c r="R107" s="64">
        <f t="shared" si="20"/>
        <v>2</v>
      </c>
      <c r="S107" s="64">
        <f t="shared" si="20"/>
        <v>2</v>
      </c>
      <c r="T107" s="64">
        <f t="shared" si="20"/>
        <v>1</v>
      </c>
      <c r="U107" s="64">
        <f t="shared" si="20"/>
        <v>2</v>
      </c>
      <c r="V107" s="64">
        <f t="shared" si="20"/>
        <v>2</v>
      </c>
      <c r="W107" s="64">
        <f t="shared" si="20"/>
        <v>2</v>
      </c>
      <c r="X107" s="64">
        <f t="shared" si="20"/>
        <v>2</v>
      </c>
      <c r="Y107" s="64">
        <f t="shared" si="20"/>
        <v>2</v>
      </c>
      <c r="Z107" s="64">
        <f t="shared" si="20"/>
        <v>2</v>
      </c>
      <c r="AA107" s="64">
        <f t="shared" si="20"/>
        <v>2</v>
      </c>
      <c r="AB107" s="64">
        <f t="shared" si="20"/>
        <v>2</v>
      </c>
      <c r="AC107" s="64">
        <f t="shared" si="20"/>
        <v>1</v>
      </c>
      <c r="AD107" s="64">
        <f t="shared" si="20"/>
        <v>1</v>
      </c>
      <c r="AE107" s="64">
        <f t="shared" si="20"/>
        <v>2</v>
      </c>
      <c r="AF107" s="64">
        <f t="shared" si="20"/>
        <v>2</v>
      </c>
      <c r="AH107" s="27"/>
      <c r="AI107" s="27"/>
      <c r="AJ107" s="28"/>
      <c r="AK107"/>
      <c r="AL107" s="29"/>
    </row>
    <row r="108" spans="1:39">
      <c r="C108" s="67" t="s">
        <v>122</v>
      </c>
      <c r="D108" s="68"/>
      <c r="E108" s="64">
        <f t="shared" ref="E108:AF108" si="21">E36</f>
        <v>0</v>
      </c>
      <c r="F108" s="64">
        <f t="shared" si="21"/>
        <v>4</v>
      </c>
      <c r="G108" s="64">
        <f t="shared" si="21"/>
        <v>4</v>
      </c>
      <c r="H108" s="64">
        <f t="shared" si="21"/>
        <v>4</v>
      </c>
      <c r="I108" s="64">
        <f t="shared" si="21"/>
        <v>3</v>
      </c>
      <c r="J108" s="64">
        <f t="shared" si="21"/>
        <v>4</v>
      </c>
      <c r="K108" s="64">
        <f t="shared" si="21"/>
        <v>4</v>
      </c>
      <c r="L108" s="64">
        <f t="shared" si="21"/>
        <v>0</v>
      </c>
      <c r="M108" s="64">
        <f t="shared" si="21"/>
        <v>4</v>
      </c>
      <c r="N108" s="64">
        <f t="shared" si="21"/>
        <v>4</v>
      </c>
      <c r="O108" s="64">
        <f t="shared" si="21"/>
        <v>4</v>
      </c>
      <c r="P108" s="64">
        <f t="shared" si="21"/>
        <v>4</v>
      </c>
      <c r="Q108" s="64">
        <f t="shared" si="21"/>
        <v>5</v>
      </c>
      <c r="R108" s="64">
        <f t="shared" si="21"/>
        <v>5</v>
      </c>
      <c r="S108" s="64">
        <f t="shared" si="21"/>
        <v>0</v>
      </c>
      <c r="T108" s="64">
        <f t="shared" si="21"/>
        <v>9</v>
      </c>
      <c r="U108" s="64">
        <f t="shared" si="21"/>
        <v>9</v>
      </c>
      <c r="V108" s="64">
        <f t="shared" si="21"/>
        <v>8</v>
      </c>
      <c r="W108" s="64">
        <f t="shared" si="21"/>
        <v>9</v>
      </c>
      <c r="X108" s="64">
        <f t="shared" si="21"/>
        <v>9</v>
      </c>
      <c r="Y108" s="64">
        <f t="shared" si="21"/>
        <v>9</v>
      </c>
      <c r="Z108" s="64">
        <f t="shared" si="21"/>
        <v>0</v>
      </c>
      <c r="AA108" s="64">
        <f t="shared" si="21"/>
        <v>0</v>
      </c>
      <c r="AB108" s="64">
        <f t="shared" si="21"/>
        <v>6</v>
      </c>
      <c r="AC108" s="64">
        <f t="shared" si="21"/>
        <v>6</v>
      </c>
      <c r="AD108" s="64">
        <f t="shared" si="21"/>
        <v>2</v>
      </c>
      <c r="AE108" s="64">
        <f t="shared" si="21"/>
        <v>6</v>
      </c>
      <c r="AF108" s="64">
        <f t="shared" si="21"/>
        <v>6</v>
      </c>
      <c r="AH108" s="27"/>
      <c r="AI108" s="27"/>
      <c r="AJ108" s="28"/>
      <c r="AK108"/>
      <c r="AL108" s="29"/>
    </row>
    <row r="109" spans="1:39">
      <c r="C109" s="69" t="s">
        <v>123</v>
      </c>
      <c r="D109" s="70"/>
      <c r="E109" s="64">
        <f t="shared" ref="E109:AF109" si="22">E37</f>
        <v>4</v>
      </c>
      <c r="F109" s="64">
        <f t="shared" si="22"/>
        <v>0</v>
      </c>
      <c r="G109" s="64">
        <f t="shared" si="22"/>
        <v>4</v>
      </c>
      <c r="H109" s="64">
        <f t="shared" si="22"/>
        <v>4</v>
      </c>
      <c r="I109" s="64">
        <f t="shared" si="22"/>
        <v>3</v>
      </c>
      <c r="J109" s="64">
        <f t="shared" si="22"/>
        <v>4</v>
      </c>
      <c r="K109" s="64">
        <f t="shared" si="22"/>
        <v>4</v>
      </c>
      <c r="L109" s="64">
        <f t="shared" si="22"/>
        <v>4</v>
      </c>
      <c r="M109" s="64">
        <f t="shared" si="22"/>
        <v>0</v>
      </c>
      <c r="N109" s="64">
        <f t="shared" si="22"/>
        <v>4</v>
      </c>
      <c r="O109" s="64">
        <f t="shared" si="22"/>
        <v>4</v>
      </c>
      <c r="P109" s="64">
        <f t="shared" si="22"/>
        <v>4</v>
      </c>
      <c r="Q109" s="64">
        <f t="shared" si="22"/>
        <v>4</v>
      </c>
      <c r="R109" s="64">
        <f t="shared" si="22"/>
        <v>4</v>
      </c>
      <c r="S109" s="64">
        <f t="shared" si="22"/>
        <v>4</v>
      </c>
      <c r="T109" s="64">
        <f t="shared" si="22"/>
        <v>1</v>
      </c>
      <c r="U109" s="64">
        <f t="shared" si="22"/>
        <v>4</v>
      </c>
      <c r="V109" s="64">
        <f t="shared" si="22"/>
        <v>4</v>
      </c>
      <c r="W109" s="64">
        <f t="shared" si="22"/>
        <v>4</v>
      </c>
      <c r="X109" s="64">
        <f t="shared" si="22"/>
        <v>4</v>
      </c>
      <c r="Y109" s="64">
        <f t="shared" si="22"/>
        <v>4</v>
      </c>
      <c r="Z109" s="64">
        <f t="shared" si="22"/>
        <v>3</v>
      </c>
      <c r="AA109" s="64">
        <f t="shared" si="22"/>
        <v>0</v>
      </c>
      <c r="AB109" s="64">
        <f t="shared" si="22"/>
        <v>4</v>
      </c>
      <c r="AC109" s="64">
        <f t="shared" si="22"/>
        <v>4</v>
      </c>
      <c r="AD109" s="64">
        <f t="shared" si="22"/>
        <v>3</v>
      </c>
      <c r="AE109" s="64">
        <f t="shared" si="22"/>
        <v>4</v>
      </c>
      <c r="AF109" s="64">
        <f t="shared" si="22"/>
        <v>4</v>
      </c>
      <c r="AH109" s="27"/>
      <c r="AI109" s="27"/>
      <c r="AJ109" s="28"/>
      <c r="AK109"/>
      <c r="AL109" s="29"/>
    </row>
    <row r="110" spans="1:39" ht="15.9">
      <c r="C110" s="56"/>
      <c r="D110" s="57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H110" s="27"/>
      <c r="AI110" s="27"/>
      <c r="AJ110" s="28"/>
      <c r="AK110"/>
      <c r="AL110" s="29"/>
    </row>
    <row r="111" spans="1:39" s="73" customFormat="1">
      <c r="C111" s="660" t="s">
        <v>122</v>
      </c>
      <c r="D111" s="660"/>
      <c r="E111" s="99"/>
      <c r="F111" s="661" t="s">
        <v>124</v>
      </c>
      <c r="G111" s="661"/>
      <c r="H111" s="661"/>
      <c r="I111" s="100"/>
      <c r="J111" s="661" t="s">
        <v>127</v>
      </c>
      <c r="K111" s="661"/>
      <c r="L111" s="100"/>
      <c r="M111" s="661" t="s">
        <v>125</v>
      </c>
      <c r="N111" s="661"/>
      <c r="O111" s="661"/>
      <c r="P111" s="100"/>
      <c r="Q111" s="661" t="s">
        <v>125</v>
      </c>
      <c r="R111" s="661"/>
      <c r="S111" s="100"/>
      <c r="T111" s="661" t="s">
        <v>193</v>
      </c>
      <c r="U111" s="661"/>
      <c r="V111" s="661"/>
      <c r="W111" s="100"/>
      <c r="X111" s="661" t="s">
        <v>193</v>
      </c>
      <c r="Y111" s="661"/>
      <c r="Z111" s="100"/>
      <c r="AA111" s="661" t="s">
        <v>127</v>
      </c>
      <c r="AB111" s="661"/>
      <c r="AC111" s="661"/>
      <c r="AD111" s="100"/>
      <c r="AE111" s="658" t="s">
        <v>124</v>
      </c>
      <c r="AF111" s="658"/>
      <c r="AG111" s="1"/>
      <c r="AH111" s="79"/>
      <c r="AI111" s="79"/>
      <c r="AJ111" s="232"/>
      <c r="AK111" s="80"/>
      <c r="AL111" s="233"/>
    </row>
    <row r="112" spans="1:39" s="73" customFormat="1">
      <c r="C112" s="660"/>
      <c r="D112" s="660"/>
      <c r="E112" s="102"/>
      <c r="F112" s="653" t="s">
        <v>194</v>
      </c>
      <c r="G112" s="653"/>
      <c r="H112" s="653"/>
      <c r="I112" s="103"/>
      <c r="J112" s="653" t="s">
        <v>194</v>
      </c>
      <c r="K112" s="653"/>
      <c r="L112" s="103"/>
      <c r="M112" s="653" t="s">
        <v>195</v>
      </c>
      <c r="N112" s="653"/>
      <c r="O112" s="653"/>
      <c r="P112" s="103"/>
      <c r="Q112" s="653" t="s">
        <v>195</v>
      </c>
      <c r="R112" s="653"/>
      <c r="S112" s="103"/>
      <c r="T112" s="653" t="s">
        <v>133</v>
      </c>
      <c r="U112" s="653"/>
      <c r="V112" s="653"/>
      <c r="W112" s="103"/>
      <c r="X112" s="653" t="s">
        <v>133</v>
      </c>
      <c r="Y112" s="653"/>
      <c r="Z112" s="103"/>
      <c r="AA112" s="653" t="s">
        <v>135</v>
      </c>
      <c r="AB112" s="653"/>
      <c r="AC112" s="653"/>
      <c r="AD112" s="103"/>
      <c r="AE112" s="648" t="s">
        <v>135</v>
      </c>
      <c r="AF112" s="648"/>
      <c r="AG112" s="1"/>
      <c r="AH112" s="79"/>
      <c r="AI112" s="79"/>
      <c r="AJ112" s="232"/>
      <c r="AK112" s="80"/>
      <c r="AL112" s="233"/>
    </row>
    <row r="113" spans="3:38" s="73" customFormat="1">
      <c r="C113" s="660"/>
      <c r="D113" s="660"/>
      <c r="E113" s="102"/>
      <c r="F113" s="653" t="s">
        <v>140</v>
      </c>
      <c r="G113" s="653"/>
      <c r="H113" s="653"/>
      <c r="I113" s="103"/>
      <c r="J113" s="653" t="s">
        <v>140</v>
      </c>
      <c r="K113" s="653"/>
      <c r="L113" s="103"/>
      <c r="M113" s="689" t="s">
        <v>196</v>
      </c>
      <c r="N113" s="689"/>
      <c r="O113" s="689"/>
      <c r="P113" s="103"/>
      <c r="Q113" s="653" t="s">
        <v>196</v>
      </c>
      <c r="R113" s="653"/>
      <c r="S113" s="103"/>
      <c r="T113" s="653" t="s">
        <v>197</v>
      </c>
      <c r="U113" s="653"/>
      <c r="V113" s="653"/>
      <c r="W113" s="103"/>
      <c r="X113" s="653" t="s">
        <v>197</v>
      </c>
      <c r="Y113" s="653"/>
      <c r="Z113" s="103"/>
      <c r="AA113" s="653" t="s">
        <v>141</v>
      </c>
      <c r="AB113" s="653"/>
      <c r="AC113" s="653"/>
      <c r="AD113" s="103"/>
      <c r="AE113" s="648" t="s">
        <v>141</v>
      </c>
      <c r="AF113" s="648"/>
      <c r="AG113" s="1"/>
      <c r="AH113" s="79"/>
      <c r="AI113" s="79"/>
      <c r="AJ113" s="232"/>
      <c r="AK113" s="80"/>
      <c r="AL113" s="233"/>
    </row>
    <row r="114" spans="3:38" s="73" customFormat="1">
      <c r="C114" s="660"/>
      <c r="D114" s="660"/>
      <c r="E114" s="106"/>
      <c r="F114" s="649" t="s">
        <v>147</v>
      </c>
      <c r="G114" s="649"/>
      <c r="H114" s="649"/>
      <c r="I114" s="107"/>
      <c r="J114" s="649" t="s">
        <v>147</v>
      </c>
      <c r="K114" s="649"/>
      <c r="L114" s="107"/>
      <c r="M114" s="649" t="s">
        <v>143</v>
      </c>
      <c r="N114" s="649"/>
      <c r="O114" s="649"/>
      <c r="P114" s="107"/>
      <c r="Q114" s="649" t="s">
        <v>143</v>
      </c>
      <c r="R114" s="649"/>
      <c r="S114" s="107"/>
      <c r="T114" s="649" t="s">
        <v>145</v>
      </c>
      <c r="U114" s="649"/>
      <c r="V114" s="649"/>
      <c r="W114" s="107"/>
      <c r="X114" s="649" t="s">
        <v>145</v>
      </c>
      <c r="Y114" s="649"/>
      <c r="Z114" s="107"/>
      <c r="AA114" s="649" t="s">
        <v>218</v>
      </c>
      <c r="AB114" s="649"/>
      <c r="AC114" s="649"/>
      <c r="AD114" s="107"/>
      <c r="AE114" s="651" t="s">
        <v>218</v>
      </c>
      <c r="AF114" s="651"/>
      <c r="AG114" s="1"/>
      <c r="AH114" s="79"/>
      <c r="AI114" s="79"/>
      <c r="AJ114" s="232"/>
      <c r="AK114" s="80"/>
      <c r="AL114" s="233"/>
    </row>
    <row r="115" spans="3:38" s="73" customFormat="1">
      <c r="C115" s="77"/>
      <c r="D115" s="77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1"/>
      <c r="AH115" s="79"/>
      <c r="AI115" s="79"/>
      <c r="AJ115" s="232"/>
      <c r="AK115" s="80"/>
      <c r="AL115" s="233"/>
    </row>
    <row r="116" spans="3:38" s="73" customFormat="1" ht="11.25" customHeight="1">
      <c r="C116" s="655" t="s">
        <v>123</v>
      </c>
      <c r="D116" s="655"/>
      <c r="E116" s="99"/>
      <c r="F116" s="656" t="s">
        <v>201</v>
      </c>
      <c r="G116" s="656"/>
      <c r="H116" s="656"/>
      <c r="I116" s="100"/>
      <c r="J116" s="657" t="s">
        <v>201</v>
      </c>
      <c r="K116" s="657"/>
      <c r="L116" s="100"/>
      <c r="M116" s="656" t="s">
        <v>202</v>
      </c>
      <c r="N116" s="656"/>
      <c r="O116" s="656"/>
      <c r="P116" s="100"/>
      <c r="Q116" s="657" t="s">
        <v>202</v>
      </c>
      <c r="R116" s="657"/>
      <c r="S116" s="100"/>
      <c r="T116" s="656" t="s">
        <v>203</v>
      </c>
      <c r="U116" s="656"/>
      <c r="V116" s="656"/>
      <c r="W116" s="100"/>
      <c r="X116" s="656" t="s">
        <v>203</v>
      </c>
      <c r="Y116" s="656"/>
      <c r="Z116" s="100"/>
      <c r="AA116" s="656" t="s">
        <v>204</v>
      </c>
      <c r="AB116" s="656"/>
      <c r="AC116" s="656"/>
      <c r="AD116" s="100"/>
      <c r="AE116" s="652" t="s">
        <v>205</v>
      </c>
      <c r="AF116" s="652"/>
      <c r="AG116" s="1"/>
      <c r="AH116" s="79"/>
      <c r="AI116" s="79"/>
      <c r="AJ116" s="232"/>
      <c r="AK116" s="80"/>
      <c r="AL116" s="233"/>
    </row>
    <row r="117" spans="3:38" s="73" customFormat="1" ht="11.25" customHeight="1">
      <c r="C117" s="655"/>
      <c r="D117" s="655"/>
      <c r="E117" s="102"/>
      <c r="F117" s="653" t="s">
        <v>206</v>
      </c>
      <c r="G117" s="653"/>
      <c r="H117" s="653"/>
      <c r="I117" s="103"/>
      <c r="J117" s="654" t="s">
        <v>206</v>
      </c>
      <c r="K117" s="654"/>
      <c r="L117" s="103"/>
      <c r="M117" s="653" t="s">
        <v>207</v>
      </c>
      <c r="N117" s="653"/>
      <c r="O117" s="653"/>
      <c r="P117" s="103"/>
      <c r="Q117" s="654" t="s">
        <v>207</v>
      </c>
      <c r="R117" s="654"/>
      <c r="S117" s="103"/>
      <c r="T117" s="653" t="s">
        <v>208</v>
      </c>
      <c r="U117" s="653"/>
      <c r="V117" s="653"/>
      <c r="W117" s="103"/>
      <c r="X117" s="653" t="s">
        <v>208</v>
      </c>
      <c r="Y117" s="653"/>
      <c r="Z117" s="103"/>
      <c r="AA117" s="653" t="s">
        <v>209</v>
      </c>
      <c r="AB117" s="653"/>
      <c r="AC117" s="653"/>
      <c r="AD117" s="103"/>
      <c r="AE117" s="648" t="s">
        <v>209</v>
      </c>
      <c r="AF117" s="648"/>
      <c r="AG117" s="1"/>
      <c r="AH117" s="79"/>
      <c r="AI117" s="79"/>
      <c r="AJ117" s="232"/>
      <c r="AK117" s="80"/>
      <c r="AL117" s="233"/>
    </row>
    <row r="118" spans="3:38" s="73" customFormat="1" ht="11.25" customHeight="1">
      <c r="C118" s="655"/>
      <c r="D118" s="655"/>
      <c r="E118" s="102"/>
      <c r="F118" s="653" t="s">
        <v>210</v>
      </c>
      <c r="G118" s="653"/>
      <c r="H118" s="653"/>
      <c r="I118" s="103"/>
      <c r="J118" s="654" t="s">
        <v>210</v>
      </c>
      <c r="K118" s="654"/>
      <c r="L118" s="103"/>
      <c r="M118" s="653" t="s">
        <v>211</v>
      </c>
      <c r="N118" s="653"/>
      <c r="O118" s="653"/>
      <c r="P118" s="103"/>
      <c r="Q118" s="654" t="s">
        <v>211</v>
      </c>
      <c r="R118" s="654"/>
      <c r="S118" s="103"/>
      <c r="T118" s="653" t="s">
        <v>212</v>
      </c>
      <c r="U118" s="653"/>
      <c r="V118" s="653"/>
      <c r="W118" s="103"/>
      <c r="X118" s="653" t="s">
        <v>212</v>
      </c>
      <c r="Y118" s="653"/>
      <c r="Z118" s="103"/>
      <c r="AA118" s="653" t="s">
        <v>213</v>
      </c>
      <c r="AB118" s="653"/>
      <c r="AC118" s="653"/>
      <c r="AD118" s="103"/>
      <c r="AE118" s="648" t="s">
        <v>213</v>
      </c>
      <c r="AF118" s="648"/>
      <c r="AG118" s="1"/>
      <c r="AH118" s="79"/>
      <c r="AI118" s="79"/>
      <c r="AJ118" s="232"/>
      <c r="AK118" s="80"/>
      <c r="AL118" s="233"/>
    </row>
    <row r="119" spans="3:38" s="73" customFormat="1" ht="11.25" customHeight="1">
      <c r="C119" s="655"/>
      <c r="D119" s="655"/>
      <c r="E119" s="106"/>
      <c r="F119" s="649" t="s">
        <v>214</v>
      </c>
      <c r="G119" s="649"/>
      <c r="H119" s="649"/>
      <c r="I119" s="107"/>
      <c r="J119" s="650" t="s">
        <v>214</v>
      </c>
      <c r="K119" s="650"/>
      <c r="L119" s="107"/>
      <c r="M119" s="649" t="s">
        <v>215</v>
      </c>
      <c r="N119" s="649"/>
      <c r="O119" s="649"/>
      <c r="P119" s="107"/>
      <c r="Q119" s="650" t="s">
        <v>215</v>
      </c>
      <c r="R119" s="650"/>
      <c r="S119" s="107"/>
      <c r="T119" s="649" t="s">
        <v>210</v>
      </c>
      <c r="U119" s="649"/>
      <c r="V119" s="649"/>
      <c r="W119" s="107"/>
      <c r="X119" s="649" t="s">
        <v>210</v>
      </c>
      <c r="Y119" s="649"/>
      <c r="Z119" s="107"/>
      <c r="AA119" s="649" t="s">
        <v>216</v>
      </c>
      <c r="AB119" s="649"/>
      <c r="AC119" s="649"/>
      <c r="AD119" s="107"/>
      <c r="AE119" s="651" t="s">
        <v>216</v>
      </c>
      <c r="AF119" s="651"/>
      <c r="AG119" s="1"/>
      <c r="AH119" s="79"/>
      <c r="AI119" s="79"/>
      <c r="AJ119" s="232"/>
      <c r="AK119" s="80"/>
      <c r="AL119" s="233"/>
    </row>
  </sheetData>
  <mergeCells count="135">
    <mergeCell ref="C39:D42"/>
    <mergeCell ref="F39:H39"/>
    <mergeCell ref="J39:K39"/>
    <mergeCell ref="M39:O39"/>
    <mergeCell ref="Q39:R39"/>
    <mergeCell ref="T39:V39"/>
    <mergeCell ref="X39:Y39"/>
    <mergeCell ref="AA39:AC39"/>
    <mergeCell ref="AE39:AF39"/>
    <mergeCell ref="F40:H40"/>
    <mergeCell ref="J40:K40"/>
    <mergeCell ref="M40:O40"/>
    <mergeCell ref="Q40:R40"/>
    <mergeCell ref="T40:V40"/>
    <mergeCell ref="X40:Y40"/>
    <mergeCell ref="AA40:AC40"/>
    <mergeCell ref="AE40:AF40"/>
    <mergeCell ref="F41:H41"/>
    <mergeCell ref="J41:K41"/>
    <mergeCell ref="M41:O41"/>
    <mergeCell ref="Q41:R41"/>
    <mergeCell ref="T41:V41"/>
    <mergeCell ref="X41:Y41"/>
    <mergeCell ref="AA41:AC41"/>
    <mergeCell ref="AE41:AF41"/>
    <mergeCell ref="F42:H42"/>
    <mergeCell ref="J42:K42"/>
    <mergeCell ref="M42:O42"/>
    <mergeCell ref="Q42:R42"/>
    <mergeCell ref="T42:V42"/>
    <mergeCell ref="X42:Y42"/>
    <mergeCell ref="AA42:AC42"/>
    <mergeCell ref="AE42:AF42"/>
    <mergeCell ref="T43:Y43"/>
    <mergeCell ref="T44:Y44"/>
    <mergeCell ref="T45:Y45"/>
    <mergeCell ref="C47:D50"/>
    <mergeCell ref="F47:H47"/>
    <mergeCell ref="J47:K47"/>
    <mergeCell ref="M47:O47"/>
    <mergeCell ref="Q47:R47"/>
    <mergeCell ref="T47:V47"/>
    <mergeCell ref="X47:Y47"/>
    <mergeCell ref="F49:H49"/>
    <mergeCell ref="J49:K49"/>
    <mergeCell ref="M49:O49"/>
    <mergeCell ref="Q49:R49"/>
    <mergeCell ref="T49:V49"/>
    <mergeCell ref="X49:Y49"/>
    <mergeCell ref="AA47:AC47"/>
    <mergeCell ref="AE47:AF47"/>
    <mergeCell ref="F48:H48"/>
    <mergeCell ref="J48:K48"/>
    <mergeCell ref="M48:O48"/>
    <mergeCell ref="Q48:R48"/>
    <mergeCell ref="T48:V48"/>
    <mergeCell ref="X48:Y48"/>
    <mergeCell ref="AA48:AC48"/>
    <mergeCell ref="AE48:AF48"/>
    <mergeCell ref="AA49:AC49"/>
    <mergeCell ref="AE49:AF49"/>
    <mergeCell ref="F50:H50"/>
    <mergeCell ref="J50:K50"/>
    <mergeCell ref="M50:O50"/>
    <mergeCell ref="Q50:R50"/>
    <mergeCell ref="T50:V50"/>
    <mergeCell ref="X50:Y50"/>
    <mergeCell ref="AA50:AC50"/>
    <mergeCell ref="AE50:AF50"/>
    <mergeCell ref="C111:D114"/>
    <mergeCell ref="F111:H111"/>
    <mergeCell ref="J111:K111"/>
    <mergeCell ref="M111:O111"/>
    <mergeCell ref="Q111:R111"/>
    <mergeCell ref="T111:V111"/>
    <mergeCell ref="X111:Y111"/>
    <mergeCell ref="AA111:AC111"/>
    <mergeCell ref="AE111:AF111"/>
    <mergeCell ref="F112:H112"/>
    <mergeCell ref="J112:K112"/>
    <mergeCell ref="M112:O112"/>
    <mergeCell ref="Q112:R112"/>
    <mergeCell ref="T112:V112"/>
    <mergeCell ref="X112:Y112"/>
    <mergeCell ref="AA112:AC112"/>
    <mergeCell ref="AE112:AF112"/>
    <mergeCell ref="F113:H113"/>
    <mergeCell ref="J113:K113"/>
    <mergeCell ref="M113:O113"/>
    <mergeCell ref="Q113:R113"/>
    <mergeCell ref="T113:V113"/>
    <mergeCell ref="X113:Y113"/>
    <mergeCell ref="AA113:AC113"/>
    <mergeCell ref="AE113:AF113"/>
    <mergeCell ref="F114:H114"/>
    <mergeCell ref="J114:K114"/>
    <mergeCell ref="M114:O114"/>
    <mergeCell ref="Q114:R114"/>
    <mergeCell ref="T114:V114"/>
    <mergeCell ref="X114:Y114"/>
    <mergeCell ref="AA114:AC114"/>
    <mergeCell ref="AE114:AF114"/>
    <mergeCell ref="C116:D119"/>
    <mergeCell ref="F116:H116"/>
    <mergeCell ref="J116:K116"/>
    <mergeCell ref="M116:O116"/>
    <mergeCell ref="Q116:R116"/>
    <mergeCell ref="T116:V116"/>
    <mergeCell ref="X116:Y116"/>
    <mergeCell ref="AA116:AC116"/>
    <mergeCell ref="AE116:AF116"/>
    <mergeCell ref="F117:H117"/>
    <mergeCell ref="J117:K117"/>
    <mergeCell ref="M117:O117"/>
    <mergeCell ref="Q117:R117"/>
    <mergeCell ref="T117:V117"/>
    <mergeCell ref="X117:Y117"/>
    <mergeCell ref="AA117:AC117"/>
    <mergeCell ref="AE117:AF117"/>
    <mergeCell ref="F118:H118"/>
    <mergeCell ref="J118:K118"/>
    <mergeCell ref="M118:O118"/>
    <mergeCell ref="Q118:R118"/>
    <mergeCell ref="T118:V118"/>
    <mergeCell ref="X118:Y118"/>
    <mergeCell ref="AA118:AC118"/>
    <mergeCell ref="AE118:AF118"/>
    <mergeCell ref="F119:H119"/>
    <mergeCell ref="J119:K119"/>
    <mergeCell ref="M119:O119"/>
    <mergeCell ref="Q119:R119"/>
    <mergeCell ref="T119:V119"/>
    <mergeCell ref="X119:Y119"/>
    <mergeCell ref="AA119:AC119"/>
    <mergeCell ref="AE119:AF119"/>
  </mergeCells>
  <conditionalFormatting sqref="A2:A33">
    <cfRule type="containsText" dxfId="1365" priority="2" operator="containsText" text="SG007">
      <formula>NOT(ISERROR(SEARCH("SG007",A2)))</formula>
    </cfRule>
    <cfRule type="containsText" dxfId="1364" priority="3" operator="containsText" text="SG068">
      <formula>NOT(ISERROR(SEARCH("SG068",A2)))</formula>
    </cfRule>
    <cfRule type="containsText" dxfId="1363" priority="4" operator="containsText" text="SG214">
      <formula>NOT(ISERROR(SEARCH("SG214",A2)))</formula>
    </cfRule>
    <cfRule type="containsText" dxfId="1362" priority="5" operator="containsText" text="SG212">
      <formula>NOT(ISERROR(SEARCH("SG212",A2)))</formula>
    </cfRule>
  </conditionalFormatting>
  <conditionalFormatting sqref="A5:A33">
    <cfRule type="containsText" dxfId="1361" priority="6" operator="containsText" text="SG070">
      <formula>NOT(ISERROR(SEARCH("SG070",A5)))</formula>
    </cfRule>
  </conditionalFormatting>
  <conditionalFormatting sqref="E2:I33 L2:P33 S2:W33 Z2:AD33">
    <cfRule type="cellIs" dxfId="1360" priority="62" operator="greaterThan">
      <formula>0</formula>
    </cfRule>
  </conditionalFormatting>
  <conditionalFormatting sqref="E54:K104">
    <cfRule type="containsText" dxfId="1359" priority="70" operator="containsText" text="d">
      <formula>NOT(ISERROR(SEARCH("d",E54)))</formula>
    </cfRule>
    <cfRule type="containsText" dxfId="1358" priority="66" operator="containsText" text="wse">
      <formula>NOT(ISERROR(SEARCH("wse",E54)))</formula>
    </cfRule>
    <cfRule type="containsText" dxfId="1357" priority="67" operator="containsText" text="k">
      <formula>NOT(ISERROR(SEARCH("k",E54)))</formula>
    </cfRule>
    <cfRule type="containsText" dxfId="1356" priority="68" operator="containsText" text="u">
      <formula>NOT(ISERROR(SEARCH("u",E54)))</formula>
    </cfRule>
    <cfRule type="containsText" dxfId="1355" priority="69" operator="containsText" text="s">
      <formula>NOT(ISERROR(SEARCH("s",E54)))</formula>
    </cfRule>
  </conditionalFormatting>
  <conditionalFormatting sqref="E2:AF33">
    <cfRule type="containsText" dxfId="1353" priority="7" operator="containsText" text="l4">
      <formula>NOT(ISERROR(SEARCH("l4",E2)))</formula>
    </cfRule>
    <cfRule type="containsText" dxfId="1352" priority="8" operator="containsText" text="12g">
      <formula>NOT(ISERROR(SEARCH("12g",E2)))</formula>
    </cfRule>
    <cfRule type="containsText" dxfId="1350" priority="10" operator="containsText" text="wse">
      <formula>NOT(ISERROR(SEARCH("wse",E2)))</formula>
    </cfRule>
    <cfRule type="containsText" dxfId="1349" priority="11" operator="containsText" text="k">
      <formula>NOT(ISERROR(SEARCH("k",E2)))</formula>
    </cfRule>
    <cfRule type="containsText" dxfId="1348" priority="12" operator="containsText" text="u">
      <formula>NOT(ISERROR(SEARCH("u",E2)))</formula>
    </cfRule>
    <cfRule type="containsText" dxfId="1347" priority="13" operator="containsText" text="s">
      <formula>NOT(ISERROR(SEARCH("s",E2)))</formula>
    </cfRule>
    <cfRule type="containsText" dxfId="1346" priority="14" operator="containsText" text="d">
      <formula>NOT(ISERROR(SEARCH("d",E2)))</formula>
    </cfRule>
  </conditionalFormatting>
  <conditionalFormatting sqref="E34:AF34">
    <cfRule type="cellIs" dxfId="1345" priority="107" operator="greaterThan">
      <formula>1.5</formula>
    </cfRule>
  </conditionalFormatting>
  <conditionalFormatting sqref="E34:AF35">
    <cfRule type="cellIs" dxfId="1344" priority="104" operator="between">
      <formula>0.5</formula>
      <formula>1.5</formula>
    </cfRule>
  </conditionalFormatting>
  <conditionalFormatting sqref="E34:AF37">
    <cfRule type="cellIs" dxfId="1343" priority="105" operator="equal">
      <formula>0</formula>
    </cfRule>
  </conditionalFormatting>
  <conditionalFormatting sqref="E35:AF35">
    <cfRule type="cellIs" dxfId="1342" priority="108" operator="greaterThan">
      <formula>1.5</formula>
    </cfRule>
  </conditionalFormatting>
  <conditionalFormatting sqref="E36:AF36">
    <cfRule type="cellIs" dxfId="1341" priority="114" operator="greaterThan">
      <formula>3.5</formula>
    </cfRule>
  </conditionalFormatting>
  <conditionalFormatting sqref="E37:AF37">
    <cfRule type="cellIs" dxfId="1340" priority="115" operator="greaterThan">
      <formula>3.5</formula>
    </cfRule>
  </conditionalFormatting>
  <conditionalFormatting sqref="E54:AF104">
    <cfRule type="containsText" dxfId="1339" priority="63" operator="containsText" text="l4">
      <formula>NOT(ISERROR(SEARCH("l4",E54)))</formula>
    </cfRule>
    <cfRule type="containsText" dxfId="1338" priority="64" operator="containsText" text="12g">
      <formula>NOT(ISERROR(SEARCH("12g",E54)))</formula>
    </cfRule>
  </conditionalFormatting>
  <conditionalFormatting sqref="E106:AF106">
    <cfRule type="cellIs" dxfId="1337" priority="112" operator="greaterThan">
      <formula>1.5</formula>
    </cfRule>
  </conditionalFormatting>
  <conditionalFormatting sqref="E106:AF107">
    <cfRule type="cellIs" dxfId="1336" priority="109" operator="between">
      <formula>0.5</formula>
      <formula>1.5</formula>
    </cfRule>
  </conditionalFormatting>
  <conditionalFormatting sqref="E106:AF109">
    <cfRule type="cellIs" dxfId="1335" priority="110" operator="equal">
      <formula>0</formula>
    </cfRule>
  </conditionalFormatting>
  <conditionalFormatting sqref="E107:AF107">
    <cfRule type="cellIs" dxfId="1334" priority="113" operator="greaterThan">
      <formula>1.5</formula>
    </cfRule>
  </conditionalFormatting>
  <conditionalFormatting sqref="L54:R104">
    <cfRule type="containsText" dxfId="1333" priority="74" operator="containsText" text="wse">
      <formula>NOT(ISERROR(SEARCH("wse",L54)))</formula>
    </cfRule>
    <cfRule type="containsText" dxfId="1332" priority="75" operator="containsText" text="k">
      <formula>NOT(ISERROR(SEARCH("k",L54)))</formula>
    </cfRule>
    <cfRule type="containsText" dxfId="1331" priority="76" operator="containsText" text="u">
      <formula>NOT(ISERROR(SEARCH("u",L54)))</formula>
    </cfRule>
    <cfRule type="containsText" dxfId="1330" priority="77" operator="containsText" text="s">
      <formula>NOT(ISERROR(SEARCH("s",L54)))</formula>
    </cfRule>
    <cfRule type="containsText" dxfId="1329" priority="78" operator="containsText" text="d">
      <formula>NOT(ISERROR(SEARCH("d",L54)))</formula>
    </cfRule>
  </conditionalFormatting>
  <conditionalFormatting sqref="S54:W104 Z54:AD104 L54:P104 E54:I104">
    <cfRule type="cellIs" dxfId="1327" priority="103" operator="greaterThan">
      <formula>0</formula>
    </cfRule>
  </conditionalFormatting>
  <conditionalFormatting sqref="S54:W104">
    <cfRule type="containsText" dxfId="1326" priority="102" operator="containsText" text="d">
      <formula>NOT(ISERROR(SEARCH("d",S54)))</formula>
    </cfRule>
    <cfRule type="containsText" dxfId="1325" priority="101" operator="containsText" text="s">
      <formula>NOT(ISERROR(SEARCH("s",S54)))</formula>
    </cfRule>
    <cfRule type="containsText" dxfId="1324" priority="100" operator="containsText" text="u">
      <formula>NOT(ISERROR(SEARCH("u",S54)))</formula>
    </cfRule>
    <cfRule type="containsText" dxfId="1323" priority="99" operator="containsText" text="k">
      <formula>NOT(ISERROR(SEARCH("k",S54)))</formula>
    </cfRule>
    <cfRule type="containsText" dxfId="1322" priority="98" operator="containsText" text="wse">
      <formula>NOT(ISERROR(SEARCH("wse",S54)))</formula>
    </cfRule>
  </conditionalFormatting>
  <conditionalFormatting sqref="X54:Y104">
    <cfRule type="containsText" dxfId="1320" priority="83" operator="containsText" text="k">
      <formula>NOT(ISERROR(SEARCH("k",X54)))</formula>
    </cfRule>
    <cfRule type="containsText" dxfId="1318" priority="82" operator="containsText" text="wse">
      <formula>NOT(ISERROR(SEARCH("wse",X54)))</formula>
    </cfRule>
    <cfRule type="containsText" dxfId="1317" priority="84" operator="containsText" text="u">
      <formula>NOT(ISERROR(SEARCH("u",X54)))</formula>
    </cfRule>
    <cfRule type="containsText" dxfId="1316" priority="85" operator="containsText" text="s">
      <formula>NOT(ISERROR(SEARCH("s",X54)))</formula>
    </cfRule>
    <cfRule type="containsText" dxfId="1315" priority="86" operator="containsText" text="d">
      <formula>NOT(ISERROR(SEARCH("d",X54)))</formula>
    </cfRule>
  </conditionalFormatting>
  <conditionalFormatting sqref="Z54:AF104">
    <cfRule type="containsText" dxfId="1314" priority="91" operator="containsText" text="k">
      <formula>NOT(ISERROR(SEARCH("k",Z54)))</formula>
    </cfRule>
    <cfRule type="containsText" dxfId="1313" priority="92" operator="containsText" text="u">
      <formula>NOT(ISERROR(SEARCH("u",Z54)))</formula>
    </cfRule>
    <cfRule type="containsText" dxfId="1312" priority="94" operator="containsText" text="d">
      <formula>NOT(ISERROR(SEARCH("d",Z54)))</formula>
    </cfRule>
    <cfRule type="containsText" dxfId="1310" priority="90" operator="containsText" text="wse">
      <formula>NOT(ISERROR(SEARCH("wse",Z54)))</formula>
    </cfRule>
    <cfRule type="containsText" dxfId="1309" priority="93" operator="containsText" text="s">
      <formula>NOT(ISERROR(SEARCH("s",Z54)))</formula>
    </cfRule>
  </conditionalFormatting>
  <conditionalFormatting sqref="AO5:AO14">
    <cfRule type="containsText" dxfId="1308" priority="45" operator="containsText" text="d">
      <formula>NOT(ISERROR(SEARCH("d",AO5)))</formula>
    </cfRule>
    <cfRule type="containsText" dxfId="1307" priority="43" operator="containsText" text="u">
      <formula>NOT(ISERROR(SEARCH("u",AO5)))</formula>
    </cfRule>
    <cfRule type="containsText" dxfId="1306" priority="42" operator="containsText" text="k">
      <formula>NOT(ISERROR(SEARCH("k",AO5)))</formula>
    </cfRule>
    <cfRule type="containsText" dxfId="1305" priority="41" operator="containsText" text="wse">
      <formula>NOT(ISERROR(SEARCH("wse",AO5)))</formula>
    </cfRule>
    <cfRule type="containsText" dxfId="1303" priority="44" operator="containsText" text="s">
      <formula>NOT(ISERROR(SEARCH("s",AO5)))</formula>
    </cfRule>
    <cfRule type="containsText" dxfId="1302" priority="39" operator="containsText" text="12g">
      <formula>NOT(ISERROR(SEARCH("12g",AO5)))</formula>
    </cfRule>
  </conditionalFormatting>
  <conditionalFormatting sqref="AO15">
    <cfRule type="containsText" dxfId="1301" priority="47" operator="containsText" text="12g">
      <formula>NOT(ISERROR(SEARCH("12g",AO15)))</formula>
    </cfRule>
    <cfRule type="containsText" dxfId="1300" priority="46" operator="containsText" text="l4">
      <formula>NOT(ISERROR(SEARCH("l4",AO15)))</formula>
    </cfRule>
    <cfRule type="containsText" dxfId="1299" priority="52" operator="containsText" text="s">
      <formula>NOT(ISERROR(SEARCH("s",AO15)))</formula>
    </cfRule>
    <cfRule type="containsText" dxfId="1298" priority="51" operator="containsText" text="u">
      <formula>NOT(ISERROR(SEARCH("u",AO15)))</formula>
    </cfRule>
    <cfRule type="containsText" dxfId="1297" priority="53" operator="containsText" text="d">
      <formula>NOT(ISERROR(SEARCH("d",AO15)))</formula>
    </cfRule>
    <cfRule type="containsText" dxfId="1296" priority="49" operator="containsText" text="wse">
      <formula>NOT(ISERROR(SEARCH("wse",AO15)))</formula>
    </cfRule>
    <cfRule type="containsText" dxfId="1295" priority="50" operator="containsText" text="k">
      <formula>NOT(ISERROR(SEARCH("k",AO15)))</formula>
    </cfRule>
  </conditionalFormatting>
  <pageMargins left="0.23611111111111099" right="0.23611111111111099" top="0.15763888888888899" bottom="0.15763888888888899" header="0.51180555555555496" footer="0.51180555555555496"/>
  <pageSetup paperSize="9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5" operator="containsText" id="{4FF0BD89-AB42-4AE3-9AB9-33AB5713D5E9}">
            <xm:f>NOT(ISERROR(SEARCH("-",E54)))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E54:P104</xm:sqref>
        </x14:conditionalFormatting>
        <x14:conditionalFormatting xmlns:xm="http://schemas.microsoft.com/office/excel/2006/main">
          <x14:cfRule type="containsText" priority="9" operator="containsText" id="{274B483A-883E-42C9-B4C8-4E207A1F54B9}">
            <xm:f>NOT(ISERROR(SEARCH("-",E2)))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E2:AF33</xm:sqref>
        </x14:conditionalFormatting>
        <x14:conditionalFormatting xmlns:xm="http://schemas.microsoft.com/office/excel/2006/main">
          <x14:cfRule type="containsText" priority="73" operator="containsText" id="{D22E9EAB-2AB5-4EAB-B862-D062FED1B1B0}">
            <xm:f>NOT(ISERROR(SEARCH("-",Q54)))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Q54:R104</xm:sqref>
        </x14:conditionalFormatting>
        <x14:conditionalFormatting xmlns:xm="http://schemas.microsoft.com/office/excel/2006/main">
          <x14:cfRule type="containsText" priority="97" operator="containsText" id="{A42DED74-408D-4CF3-86F0-C0AE9EFA438A}">
            <xm:f>NOT(ISERROR(SEARCH("-",S54)))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S54:W104</xm:sqref>
        </x14:conditionalFormatting>
        <x14:conditionalFormatting xmlns:xm="http://schemas.microsoft.com/office/excel/2006/main">
          <x14:cfRule type="containsText" priority="81" operator="containsText" id="{70F1B5F5-1681-4130-8921-16AFFF75A8FC}">
            <xm:f>NOT(ISERROR(SEARCH("-",X54)))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X54:Y104</xm:sqref>
        </x14:conditionalFormatting>
        <x14:conditionalFormatting xmlns:xm="http://schemas.microsoft.com/office/excel/2006/main">
          <x14:cfRule type="containsText" priority="89" operator="containsText" id="{31D740AB-3EF9-428B-844F-5A2CA0C8F2C9}">
            <xm:f>NOT(ISERROR(SEARCH("-",Z54)))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Z54:AF104</xm:sqref>
        </x14:conditionalFormatting>
        <x14:conditionalFormatting xmlns:xm="http://schemas.microsoft.com/office/excel/2006/main">
          <x14:cfRule type="containsText" priority="40" operator="containsText" id="{A13DA147-8DDA-4CAB-86B2-75C345AB1891}">
            <xm:f>NOT(ISERROR(SEARCH("-",AO5)))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AO5:AO14</xm:sqref>
        </x14:conditionalFormatting>
        <x14:conditionalFormatting xmlns:xm="http://schemas.microsoft.com/office/excel/2006/main">
          <x14:cfRule type="containsText" priority="48" operator="containsText" id="{7DCDC364-C885-416C-BD3F-D45FF62422E9}">
            <xm:f>NOT(ISERROR(SEARCH("-",AO15)))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AO15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4"/>
  <sheetViews>
    <sheetView showGridLines="0" zoomScale="85" zoomScaleNormal="85" workbookViewId="0">
      <selection activeCell="AE73" sqref="AE73"/>
    </sheetView>
  </sheetViews>
  <sheetFormatPr defaultColWidth="8.69140625" defaultRowHeight="14.6"/>
  <cols>
    <col min="1" max="1" width="3.84375" style="176" customWidth="1"/>
    <col min="2" max="2" width="6" style="177" customWidth="1"/>
    <col min="3" max="3" width="28.84375" style="178" customWidth="1"/>
    <col min="4" max="4" width="23.84375" customWidth="1"/>
    <col min="5" max="5" width="24.53515625" customWidth="1"/>
    <col min="7" max="7" width="20.3046875" customWidth="1"/>
    <col min="8" max="8" width="4" customWidth="1"/>
    <col min="9" max="9" width="20.3046875" customWidth="1"/>
    <col min="10" max="11" width="4" customWidth="1"/>
    <col min="12" max="12" width="20.3046875" customWidth="1"/>
    <col min="13" max="13" width="4" customWidth="1"/>
    <col min="14" max="14" width="20.3046875" customWidth="1"/>
  </cols>
  <sheetData>
    <row r="1" spans="1:14" ht="30.9">
      <c r="B1" s="686" t="s">
        <v>219</v>
      </c>
      <c r="C1" s="686"/>
      <c r="D1" s="686"/>
      <c r="E1" s="686"/>
      <c r="G1" s="694" t="s">
        <v>220</v>
      </c>
      <c r="H1" s="694"/>
      <c r="I1" s="694"/>
      <c r="J1" s="694"/>
      <c r="K1" s="694"/>
      <c r="L1" s="694"/>
      <c r="M1" s="694"/>
      <c r="N1" s="694"/>
    </row>
    <row r="2" spans="1:14" ht="28.3">
      <c r="A2" s="687" t="s">
        <v>178</v>
      </c>
      <c r="B2" s="687"/>
      <c r="C2" s="687"/>
      <c r="D2" s="687"/>
      <c r="E2" s="687"/>
      <c r="G2" s="695" t="s">
        <v>221</v>
      </c>
      <c r="H2" s="695"/>
      <c r="I2" s="695"/>
      <c r="J2" s="234"/>
      <c r="K2" s="235"/>
      <c r="L2" s="696" t="s">
        <v>222</v>
      </c>
      <c r="M2" s="696"/>
      <c r="N2" s="696"/>
    </row>
    <row r="3" spans="1:14" ht="31.5" customHeight="1">
      <c r="A3" s="688">
        <v>44228</v>
      </c>
      <c r="B3" s="688"/>
      <c r="C3" s="180" t="s">
        <v>179</v>
      </c>
      <c r="D3" s="181" t="s">
        <v>180</v>
      </c>
      <c r="E3" s="181" t="s">
        <v>180</v>
      </c>
      <c r="G3" s="28"/>
      <c r="J3" s="29"/>
      <c r="K3" s="28"/>
      <c r="N3" s="29"/>
    </row>
    <row r="4" spans="1:14" ht="19.3">
      <c r="A4" s="236">
        <v>1</v>
      </c>
      <c r="B4" s="190" t="s">
        <v>184</v>
      </c>
      <c r="C4" s="191" t="e">
        <f>VLOOKUP("D",LUTY!$E$2:$AK$32,29,0)</f>
        <v>#REF!</v>
      </c>
      <c r="D4" s="237"/>
      <c r="E4" s="237"/>
      <c r="G4" s="238" t="s">
        <v>223</v>
      </c>
      <c r="I4" s="238" t="s">
        <v>224</v>
      </c>
      <c r="J4" s="29"/>
      <c r="K4" s="28"/>
      <c r="L4" s="238" t="s">
        <v>225</v>
      </c>
      <c r="N4" s="238" t="s">
        <v>226</v>
      </c>
    </row>
    <row r="5" spans="1:14" ht="19.3">
      <c r="A5" s="239">
        <v>2</v>
      </c>
      <c r="B5" s="190" t="s">
        <v>185</v>
      </c>
      <c r="C5" s="191" t="e">
        <f>VLOOKUP("D",LUTY!F$2:$AK$32,28,0)</f>
        <v>#REF!</v>
      </c>
      <c r="D5" s="240"/>
      <c r="E5" s="192"/>
      <c r="G5" s="241" t="str">
        <f>LUTY!F39</f>
        <v>JAKIMIAK</v>
      </c>
      <c r="H5" s="27"/>
      <c r="I5" s="241" t="str">
        <f>LUTY!J39</f>
        <v>BORZĘCKI</v>
      </c>
      <c r="J5" s="242"/>
      <c r="K5" s="243"/>
      <c r="L5" s="244" t="str">
        <f>LUTY!F47</f>
        <v>GRZEGORCZY</v>
      </c>
      <c r="M5" s="27"/>
      <c r="N5" s="244" t="str">
        <f>LUTY!J47</f>
        <v>GRZEGORCZY</v>
      </c>
    </row>
    <row r="6" spans="1:14" ht="21.75" customHeight="1">
      <c r="A6" s="239">
        <v>3</v>
      </c>
      <c r="B6" s="190" t="s">
        <v>186</v>
      </c>
      <c r="C6" s="191" t="e">
        <f>VLOOKUP("D",LUTY!G$2:$AK$32,27,0)</f>
        <v>#REF!</v>
      </c>
      <c r="D6" s="192"/>
      <c r="E6" s="192"/>
      <c r="G6" s="245" t="str">
        <f>LUTY!F40</f>
        <v>ZAJĄC</v>
      </c>
      <c r="H6" s="27"/>
      <c r="I6" s="245" t="str">
        <f>LUTY!J40</f>
        <v>ZAJĄC</v>
      </c>
      <c r="J6" s="242"/>
      <c r="K6" s="243"/>
      <c r="L6" s="246" t="str">
        <f>LUTY!F48</f>
        <v>GĘBALA</v>
      </c>
      <c r="M6" s="27"/>
      <c r="N6" s="246" t="str">
        <f>LUTY!J48</f>
        <v>GĘBALA</v>
      </c>
    </row>
    <row r="7" spans="1:14" ht="21.75" customHeight="1">
      <c r="A7" s="239">
        <v>4</v>
      </c>
      <c r="B7" s="190" t="s">
        <v>187</v>
      </c>
      <c r="C7" s="191" t="e">
        <f>VLOOKUP("D",LUTY!H$2:$AK$32,26,0)</f>
        <v>#REF!</v>
      </c>
      <c r="D7" s="192"/>
      <c r="E7" s="192"/>
      <c r="G7" s="245" t="str">
        <f>LUTY!F41</f>
        <v>MIZGIER</v>
      </c>
      <c r="H7" s="27"/>
      <c r="I7" s="245" t="str">
        <f>LUTY!J41</f>
        <v>MIZGIER</v>
      </c>
      <c r="J7" s="242"/>
      <c r="K7" s="243"/>
      <c r="L7" s="245" t="str">
        <f>LUTY!F49</f>
        <v>ZAWOLIK</v>
      </c>
      <c r="M7" s="27"/>
      <c r="N7" s="245" t="str">
        <f>LUTY!J49</f>
        <v>ZAWOLIK</v>
      </c>
    </row>
    <row r="8" spans="1:14" ht="21.75" customHeight="1">
      <c r="A8" s="239">
        <v>5</v>
      </c>
      <c r="B8" s="190" t="s">
        <v>181</v>
      </c>
      <c r="C8" s="191" t="e">
        <f>VLOOKUP("D",LUTY!I$2:$AK$32,25,0)</f>
        <v>#REF!</v>
      </c>
      <c r="D8" s="192"/>
      <c r="E8" s="192"/>
      <c r="G8" s="247" t="str">
        <f>LUTY!F42</f>
        <v>MŁYŃSKI</v>
      </c>
      <c r="H8" s="27"/>
      <c r="I8" s="247" t="str">
        <f>LUTY!J42</f>
        <v>MŁYŃSKI</v>
      </c>
      <c r="J8" s="242"/>
      <c r="K8" s="243"/>
      <c r="L8" s="247" t="str">
        <f>LUTY!F50</f>
        <v>KOMOSA</v>
      </c>
      <c r="M8" s="27"/>
      <c r="N8" s="247" t="str">
        <f>LUTY!J50</f>
        <v>KOMOSA</v>
      </c>
    </row>
    <row r="9" spans="1:14" ht="21.75" customHeight="1">
      <c r="A9" s="248">
        <v>6</v>
      </c>
      <c r="B9" s="183" t="s">
        <v>182</v>
      </c>
      <c r="C9" s="184" t="e">
        <f>VLOOKUP("D",LUTY!J$2:$AK$32,24,0)</f>
        <v>#REF!</v>
      </c>
      <c r="D9" s="188"/>
      <c r="E9" s="188"/>
      <c r="G9" s="243"/>
      <c r="H9" s="27"/>
      <c r="I9" s="27"/>
      <c r="J9" s="242"/>
      <c r="K9" s="243"/>
      <c r="L9" s="27"/>
      <c r="M9" s="27"/>
      <c r="N9" s="242"/>
    </row>
    <row r="10" spans="1:14" ht="21.75" customHeight="1">
      <c r="A10" s="248">
        <v>7</v>
      </c>
      <c r="B10" s="183" t="s">
        <v>183</v>
      </c>
      <c r="C10" s="184" t="e">
        <f>VLOOKUP("D",LUTY!K$2:$AK$32,23,0)</f>
        <v>#REF!</v>
      </c>
      <c r="D10" s="188"/>
      <c r="E10" s="188"/>
      <c r="G10" s="249" t="s">
        <v>227</v>
      </c>
      <c r="H10" s="27"/>
      <c r="I10" s="249" t="s">
        <v>228</v>
      </c>
      <c r="J10" s="242"/>
      <c r="K10" s="243"/>
      <c r="L10" s="249" t="s">
        <v>229</v>
      </c>
      <c r="M10" s="27"/>
      <c r="N10" s="249" t="s">
        <v>230</v>
      </c>
    </row>
    <row r="11" spans="1:14" ht="21.75" customHeight="1">
      <c r="A11" s="239">
        <v>8</v>
      </c>
      <c r="B11" s="190" t="s">
        <v>184</v>
      </c>
      <c r="C11" s="191" t="e">
        <f>VLOOKUP("D",LUTY!L$2:$AK$32,22,0)</f>
        <v>#REF!</v>
      </c>
      <c r="D11" s="193"/>
      <c r="E11" s="192"/>
      <c r="G11" s="241" t="str">
        <f>LUTY!M39</f>
        <v>ŚWIREPO</v>
      </c>
      <c r="H11" s="27"/>
      <c r="I11" s="241" t="str">
        <f>LUTY!Q39</f>
        <v>ŚWIREPO</v>
      </c>
      <c r="J11" s="242"/>
      <c r="K11" s="243"/>
      <c r="L11" s="244" t="str">
        <f>LUTY!M47</f>
        <v>KUSIAK</v>
      </c>
      <c r="M11" s="27"/>
      <c r="N11" s="244" t="str">
        <f>LUTY!Q47</f>
        <v>KUSIAK</v>
      </c>
    </row>
    <row r="12" spans="1:14" ht="21.75" customHeight="1">
      <c r="A12" s="239">
        <v>9</v>
      </c>
      <c r="B12" s="190" t="s">
        <v>185</v>
      </c>
      <c r="C12" s="191" t="e">
        <f>VLOOKUP("D",LUTY!M$2:$AK$32,21,0)</f>
        <v>#REF!</v>
      </c>
      <c r="D12" s="192"/>
      <c r="E12" s="192"/>
      <c r="G12" s="245" t="str">
        <f>LUTY!M40</f>
        <v>SZNAJDER</v>
      </c>
      <c r="H12" s="27"/>
      <c r="I12" s="245" t="str">
        <f>LUTY!Q40</f>
        <v>SZNAJDER</v>
      </c>
      <c r="J12" s="242"/>
      <c r="K12" s="243"/>
      <c r="L12" s="246" t="str">
        <f>LUTY!M48</f>
        <v>STOPA</v>
      </c>
      <c r="M12" s="27"/>
      <c r="N12" s="246" t="str">
        <f>LUTY!Q48</f>
        <v>STOPA</v>
      </c>
    </row>
    <row r="13" spans="1:14" ht="21.75" customHeight="1">
      <c r="A13" s="239">
        <v>10</v>
      </c>
      <c r="B13" s="190" t="s">
        <v>186</v>
      </c>
      <c r="C13" s="191" t="e">
        <f>VLOOKUP("D",LUTY!N$2:$AK$32,20,0)</f>
        <v>#REF!</v>
      </c>
      <c r="D13" s="192"/>
      <c r="E13" s="192"/>
      <c r="G13" s="245" t="str">
        <f>LUTY!M41</f>
        <v>BARTOSIEWICZ</v>
      </c>
      <c r="H13" s="27"/>
      <c r="I13" s="245" t="str">
        <f>LUTY!Q41</f>
        <v>BARTOSIEWICZ</v>
      </c>
      <c r="J13" s="242"/>
      <c r="K13" s="243"/>
      <c r="L13" s="245" t="str">
        <f>LUTY!M49</f>
        <v>BUDZISŁAWSKI</v>
      </c>
      <c r="M13" s="27"/>
      <c r="N13" s="245" t="str">
        <f>LUTY!Q49</f>
        <v>BUDZISŁAWSKI</v>
      </c>
    </row>
    <row r="14" spans="1:14" ht="21.75" customHeight="1">
      <c r="A14" s="239">
        <v>11</v>
      </c>
      <c r="B14" s="190" t="s">
        <v>187</v>
      </c>
      <c r="C14" s="191" t="e">
        <f>VLOOKUP("D",LUTY!O$2:$AK$32,19,0)</f>
        <v>#REF!</v>
      </c>
      <c r="D14" s="192"/>
      <c r="E14" s="192"/>
      <c r="G14" s="247" t="str">
        <f>LUTY!M42</f>
        <v>DRGAS</v>
      </c>
      <c r="H14" s="27"/>
      <c r="I14" s="247" t="str">
        <f>LUTY!Q42</f>
        <v>DRGAS</v>
      </c>
      <c r="J14" s="242"/>
      <c r="K14" s="243"/>
      <c r="L14" s="247" t="str">
        <f>LUTY!M50</f>
        <v>LISEWSKI</v>
      </c>
      <c r="M14" s="27"/>
      <c r="N14" s="247" t="str">
        <f>LUTY!Q50</f>
        <v>LISEWSKI</v>
      </c>
    </row>
    <row r="15" spans="1:14" ht="21.75" customHeight="1">
      <c r="A15" s="239">
        <v>12</v>
      </c>
      <c r="B15" s="190" t="s">
        <v>181</v>
      </c>
      <c r="C15" s="191" t="e">
        <f>VLOOKUP("D",LUTY!P$2:$AK$32,18,0)</f>
        <v>#REF!</v>
      </c>
      <c r="D15" s="192"/>
      <c r="E15" s="192"/>
      <c r="G15" s="243"/>
      <c r="H15" s="27"/>
      <c r="I15" s="27"/>
      <c r="J15" s="242"/>
      <c r="K15" s="243"/>
      <c r="L15" s="27"/>
      <c r="M15" s="27"/>
      <c r="N15" s="242"/>
    </row>
    <row r="16" spans="1:14" ht="21.75" customHeight="1">
      <c r="A16" s="248">
        <v>13</v>
      </c>
      <c r="B16" s="183" t="s">
        <v>182</v>
      </c>
      <c r="C16" s="184" t="e">
        <f>VLOOKUP("D",LUTY!Q$2:$AK$32,17,0)</f>
        <v>#REF!</v>
      </c>
      <c r="D16" s="188"/>
      <c r="E16" s="188"/>
      <c r="G16" s="249" t="s">
        <v>231</v>
      </c>
      <c r="H16" s="27"/>
      <c r="I16" s="249" t="s">
        <v>232</v>
      </c>
      <c r="J16" s="242"/>
      <c r="K16" s="243"/>
      <c r="L16" s="249" t="s">
        <v>233</v>
      </c>
      <c r="M16" s="27"/>
      <c r="N16" s="249" t="s">
        <v>234</v>
      </c>
    </row>
    <row r="17" spans="1:14" ht="21.75" customHeight="1">
      <c r="A17" s="248">
        <v>14</v>
      </c>
      <c r="B17" s="183" t="s">
        <v>183</v>
      </c>
      <c r="C17" s="184" t="e">
        <f>VLOOKUP("D",LUTY!R$2:$AK$32,16,0)</f>
        <v>#REF!</v>
      </c>
      <c r="D17" s="188"/>
      <c r="E17" s="188"/>
      <c r="G17" s="241" t="str">
        <f>LUTY!T39</f>
        <v>WILCZEK</v>
      </c>
      <c r="H17" s="27"/>
      <c r="I17" s="241" t="str">
        <f>LUTY!X39</f>
        <v>KALITA</v>
      </c>
      <c r="J17" s="242"/>
      <c r="K17" s="243"/>
      <c r="L17" s="244" t="str">
        <f>LUTY!T47</f>
        <v>KUKIEŁKA</v>
      </c>
      <c r="M17" s="27"/>
      <c r="N17" s="244" t="str">
        <f>LUTY!X47</f>
        <v>KUKIEŁKA</v>
      </c>
    </row>
    <row r="18" spans="1:14" ht="21.75" customHeight="1">
      <c r="A18" s="239">
        <v>15</v>
      </c>
      <c r="B18" s="190" t="s">
        <v>184</v>
      </c>
      <c r="C18" s="191" t="e">
        <f>VLOOKUP("D",LUTY!S$2:$AK$32,15,0)</f>
        <v>#REF!</v>
      </c>
      <c r="D18" s="192"/>
      <c r="E18" s="192"/>
      <c r="G18" s="245" t="str">
        <f>LUTY!T40</f>
        <v>NOWICKI</v>
      </c>
      <c r="H18" s="27"/>
      <c r="I18" s="245" t="str">
        <f>LUTY!X40</f>
        <v>NOWICKI</v>
      </c>
      <c r="J18" s="242"/>
      <c r="K18" s="243"/>
      <c r="L18" s="246" t="str">
        <f>LUTY!T48</f>
        <v>SCHEEL</v>
      </c>
      <c r="M18" s="27"/>
      <c r="N18" s="246" t="str">
        <f>LUTY!X48</f>
        <v>SCHEEL</v>
      </c>
    </row>
    <row r="19" spans="1:14" ht="21.75" customHeight="1">
      <c r="A19" s="239">
        <v>16</v>
      </c>
      <c r="B19" s="190" t="s">
        <v>185</v>
      </c>
      <c r="C19" s="191" t="e">
        <f>VLOOKUP("D",LUTY!T$2:$AK$32,14,0)</f>
        <v>#REF!</v>
      </c>
      <c r="D19" s="192"/>
      <c r="E19" s="192"/>
      <c r="G19" s="245" t="str">
        <f>LUTY!T41</f>
        <v>ZEMBRZUSKI</v>
      </c>
      <c r="H19" s="27"/>
      <c r="I19" s="245" t="str">
        <f>LUTY!X41</f>
        <v>ZEMBRZUSKI</v>
      </c>
      <c r="J19" s="242"/>
      <c r="K19" s="243"/>
      <c r="L19" s="245" t="str">
        <f>LUTY!T49</f>
        <v>MATUK</v>
      </c>
      <c r="M19" s="27"/>
      <c r="N19" s="245" t="str">
        <f>LUTY!X49</f>
        <v>MATUK</v>
      </c>
    </row>
    <row r="20" spans="1:14" ht="21.75" customHeight="1">
      <c r="A20" s="239">
        <v>17</v>
      </c>
      <c r="B20" s="190" t="s">
        <v>186</v>
      </c>
      <c r="C20" s="191" t="e">
        <f>VLOOKUP("D",LUTY!U$2:$AK$32,13,0)</f>
        <v>#REF!</v>
      </c>
      <c r="D20" s="192"/>
      <c r="E20" s="192"/>
      <c r="G20" s="247" t="str">
        <f>LUTY!T42</f>
        <v>SPRUTTA</v>
      </c>
      <c r="H20" s="27"/>
      <c r="I20" s="247" t="str">
        <f>LUTY!X42</f>
        <v>SPRUTTA</v>
      </c>
      <c r="J20" s="242"/>
      <c r="K20" s="243"/>
      <c r="L20" s="247" t="str">
        <f>LUTY!T50</f>
        <v>ZAWOLIK</v>
      </c>
      <c r="M20" s="27"/>
      <c r="N20" s="247" t="str">
        <f>LUTY!X50</f>
        <v>ZAWOLIK</v>
      </c>
    </row>
    <row r="21" spans="1:14" ht="21.75" customHeight="1">
      <c r="A21" s="239">
        <v>18</v>
      </c>
      <c r="B21" s="190" t="s">
        <v>187</v>
      </c>
      <c r="C21" s="191" t="e">
        <f>VLOOKUP("D",LUTY!V$2:$AK$32,12,0)</f>
        <v>#REF!</v>
      </c>
      <c r="D21" s="192"/>
      <c r="E21" s="192"/>
      <c r="G21" s="243"/>
      <c r="H21" s="27"/>
      <c r="I21" s="27"/>
      <c r="J21" s="242"/>
      <c r="K21" s="243"/>
      <c r="L21" s="27"/>
      <c r="M21" s="27"/>
      <c r="N21" s="242"/>
    </row>
    <row r="22" spans="1:14" ht="21.75" customHeight="1">
      <c r="A22" s="239">
        <v>19</v>
      </c>
      <c r="B22" s="190" t="s">
        <v>181</v>
      </c>
      <c r="C22" s="191" t="e">
        <f>VLOOKUP("D",LUTY!W$2:$AK$32,11,0)</f>
        <v>#REF!</v>
      </c>
      <c r="D22" s="192"/>
      <c r="E22" s="192"/>
      <c r="G22" s="249" t="s">
        <v>235</v>
      </c>
      <c r="H22" s="27"/>
      <c r="I22" s="249" t="s">
        <v>236</v>
      </c>
      <c r="J22" s="242"/>
      <c r="K22" s="243"/>
      <c r="L22" s="249" t="s">
        <v>237</v>
      </c>
      <c r="M22" s="27"/>
      <c r="N22" s="249" t="s">
        <v>236</v>
      </c>
    </row>
    <row r="23" spans="1:14" ht="21.75" customHeight="1">
      <c r="A23" s="248">
        <v>20</v>
      </c>
      <c r="B23" s="183" t="s">
        <v>182</v>
      </c>
      <c r="C23" s="184" t="e">
        <f>VLOOKUP("D",LUTY!X$2:$AK$29,10,0)</f>
        <v>#REF!</v>
      </c>
      <c r="D23" s="188"/>
      <c r="E23" s="188"/>
      <c r="G23" s="241">
        <f>LUTY!AA39</f>
        <v>0</v>
      </c>
      <c r="H23" s="27"/>
      <c r="I23" s="241" t="str">
        <f>LUTY!AE39</f>
        <v>JAKIMIAK</v>
      </c>
      <c r="J23" s="242"/>
      <c r="K23" s="243"/>
      <c r="L23" s="244" t="str">
        <f>LUTY!AA47</f>
        <v>GRZEGORCZYK</v>
      </c>
      <c r="M23" s="27"/>
      <c r="N23" s="244" t="str">
        <f>LUTY!AE47</f>
        <v>PADJAS</v>
      </c>
    </row>
    <row r="24" spans="1:14" ht="21.75" customHeight="1">
      <c r="A24" s="248">
        <v>21</v>
      </c>
      <c r="B24" s="183" t="s">
        <v>183</v>
      </c>
      <c r="C24" s="184" t="e">
        <f>VLOOKUP("D",LUTY!Y$2:$AK$32,9,0)</f>
        <v>#REF!</v>
      </c>
      <c r="D24" s="188"/>
      <c r="E24" s="188"/>
      <c r="G24" s="245">
        <f>LUTY!AA40</f>
        <v>0</v>
      </c>
      <c r="H24" s="27"/>
      <c r="I24" s="245">
        <f>LUTY!AE40</f>
        <v>0</v>
      </c>
      <c r="J24" s="242"/>
      <c r="K24" s="243"/>
      <c r="L24" s="246" t="str">
        <f>LUTY!AA48</f>
        <v>KOSTRZEWSKI</v>
      </c>
      <c r="M24" s="27"/>
      <c r="N24" s="246" t="str">
        <f>LUTY!AE48</f>
        <v>KOSTRZEWSKI</v>
      </c>
    </row>
    <row r="25" spans="1:14" ht="21.75" customHeight="1">
      <c r="A25" s="239">
        <v>22</v>
      </c>
      <c r="B25" s="190" t="s">
        <v>184</v>
      </c>
      <c r="C25" s="191" t="e">
        <f>VLOOKUP("D",LUTY!Z$2:$AK$32,8,0)</f>
        <v>#REF!</v>
      </c>
      <c r="D25" s="192"/>
      <c r="E25" s="192"/>
      <c r="G25" s="245">
        <f>LUTY!AA41</f>
        <v>0</v>
      </c>
      <c r="H25" s="27"/>
      <c r="I25" s="245" t="str">
        <f>LUTY!AE41</f>
        <v>mizgier</v>
      </c>
      <c r="J25" s="242"/>
      <c r="K25" s="243"/>
      <c r="L25" s="245" t="str">
        <f>LUTY!AA49</f>
        <v>ORZECHOWSKI</v>
      </c>
      <c r="M25" s="27"/>
      <c r="N25" s="245" t="str">
        <f>LUTY!AE49</f>
        <v>ORZECHOWSKI</v>
      </c>
    </row>
    <row r="26" spans="1:14" ht="21.75" customHeight="1">
      <c r="A26" s="239">
        <v>23</v>
      </c>
      <c r="B26" s="190" t="s">
        <v>185</v>
      </c>
      <c r="C26" s="191" t="e">
        <f>VLOOKUP("D",LUTY!AA$2:$AK32,7,0)</f>
        <v>#REF!</v>
      </c>
      <c r="D26" s="192"/>
      <c r="E26" s="192"/>
      <c r="G26" s="247">
        <f>LUTY!AA42</f>
        <v>0</v>
      </c>
      <c r="H26" s="250"/>
      <c r="I26" s="247">
        <f>LUTY!AE42</f>
        <v>0</v>
      </c>
      <c r="J26" s="251"/>
      <c r="K26" s="252"/>
      <c r="L26" s="247" t="str">
        <f>LUTY!AA50</f>
        <v>PAWŁOWSKA</v>
      </c>
      <c r="M26" s="250"/>
      <c r="N26" s="247" t="str">
        <f>LUTY!AE50</f>
        <v>PAWŁOWSKA</v>
      </c>
    </row>
    <row r="27" spans="1:14" ht="21.75" customHeight="1">
      <c r="A27" s="239">
        <v>24</v>
      </c>
      <c r="B27" s="190" t="s">
        <v>186</v>
      </c>
      <c r="C27" s="191" t="e">
        <f>VLOOKUP("D",LUTY!AB$2:$AK$32,6,0)</f>
        <v>#REF!</v>
      </c>
      <c r="D27" s="192"/>
      <c r="E27" s="192"/>
    </row>
    <row r="28" spans="1:14" ht="21.75" customHeight="1">
      <c r="A28" s="239">
        <v>25</v>
      </c>
      <c r="B28" s="190" t="s">
        <v>187</v>
      </c>
      <c r="C28" s="191" t="e">
        <f>VLOOKUP("D",LUTY!AC$2:$AK$32,5,0)</f>
        <v>#REF!</v>
      </c>
      <c r="D28" s="192"/>
      <c r="E28" s="192"/>
    </row>
    <row r="29" spans="1:14" ht="21.75" customHeight="1">
      <c r="A29" s="239">
        <v>26</v>
      </c>
      <c r="B29" s="190" t="s">
        <v>181</v>
      </c>
      <c r="C29" s="191" t="e">
        <f>VLOOKUP("D",LUTY!AD$2:$AK$32,4,0)</f>
        <v>#REF!</v>
      </c>
      <c r="D29" s="192"/>
      <c r="E29" s="192"/>
    </row>
    <row r="30" spans="1:14" ht="21.75" customHeight="1">
      <c r="A30" s="248">
        <v>27</v>
      </c>
      <c r="B30" s="253" t="s">
        <v>182</v>
      </c>
      <c r="C30" s="184" t="e">
        <f>VLOOKUP("D",LUTY!AE$2:$AK$32,3,0)</f>
        <v>#REF!</v>
      </c>
      <c r="D30" s="254"/>
      <c r="E30" s="254"/>
    </row>
    <row r="31" spans="1:14" ht="21.75" customHeight="1">
      <c r="A31" s="248">
        <v>28</v>
      </c>
      <c r="B31" s="183" t="s">
        <v>183</v>
      </c>
      <c r="C31" s="184" t="e">
        <f>VLOOKUP("D",LUTY!AF$2:$AK$32,2,0)</f>
        <v>#N/A</v>
      </c>
      <c r="D31" s="255"/>
      <c r="E31" s="255"/>
    </row>
    <row r="32" spans="1:14" ht="21.75" customHeight="1">
      <c r="A32" s="256"/>
      <c r="B32" s="257"/>
      <c r="C32" s="258"/>
      <c r="D32" s="259"/>
      <c r="E32" s="259"/>
    </row>
    <row r="33" spans="1:5" ht="21.75" customHeight="1">
      <c r="A33" s="260"/>
      <c r="B33" s="261"/>
      <c r="C33" s="262"/>
      <c r="D33" s="263"/>
      <c r="E33" s="263"/>
    </row>
    <row r="34" spans="1:5" ht="19.5" customHeight="1">
      <c r="A34" s="260"/>
      <c r="B34" s="261"/>
      <c r="C34" s="262"/>
      <c r="D34" s="263"/>
      <c r="E34" s="263"/>
    </row>
  </sheetData>
  <mergeCells count="6">
    <mergeCell ref="A3:B3"/>
    <mergeCell ref="B1:E1"/>
    <mergeCell ref="G1:N1"/>
    <mergeCell ref="A2:E2"/>
    <mergeCell ref="G2:I2"/>
    <mergeCell ref="L2:N2"/>
  </mergeCells>
  <pageMargins left="0.23611111111111099" right="0.23611111111111099" top="0.15763888888888899" bottom="0.15763888888888899" header="0.51180555555555496" footer="0.51180555555555496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AMJ125"/>
  <sheetViews>
    <sheetView zoomScaleNormal="100" workbookViewId="0">
      <pane ySplit="1" topLeftCell="A65" activePane="bottomLeft" state="frozen"/>
      <selection pane="bottomLeft" activeCell="AE73" sqref="AE73"/>
    </sheetView>
  </sheetViews>
  <sheetFormatPr defaultColWidth="8.84375" defaultRowHeight="14.6"/>
  <cols>
    <col min="1" max="1" width="6" style="1" customWidth="1"/>
    <col min="2" max="2" width="4.3046875" style="1" customWidth="1"/>
    <col min="3" max="3" width="20.4609375" style="7" customWidth="1"/>
    <col min="4" max="4" width="5.53515625" style="1" customWidth="1"/>
    <col min="5" max="35" width="3.53515625" style="1" customWidth="1"/>
    <col min="36" max="36" width="41.4609375" style="1" hidden="1" customWidth="1"/>
    <col min="37" max="37" width="6.69140625" style="8" customWidth="1"/>
    <col min="38" max="38" width="4.69140625" style="1" customWidth="1"/>
    <col min="39" max="39" width="5.69140625" style="1" customWidth="1"/>
    <col min="40" max="40" width="4.53515625" style="1" customWidth="1"/>
    <col min="41" max="43" width="8.84375" style="1"/>
    <col min="44" max="44" width="20.3046875" style="1" customWidth="1"/>
    <col min="45" max="1024" width="8.84375" style="1"/>
  </cols>
  <sheetData>
    <row r="1" spans="1:45" ht="43.3">
      <c r="A1" s="1" t="s">
        <v>52</v>
      </c>
      <c r="D1" s="264">
        <v>44256</v>
      </c>
      <c r="E1" s="84">
        <v>44256</v>
      </c>
      <c r="F1" s="195">
        <v>44257</v>
      </c>
      <c r="G1" s="195">
        <v>44258</v>
      </c>
      <c r="H1" s="195">
        <v>44259</v>
      </c>
      <c r="I1" s="195">
        <v>44260</v>
      </c>
      <c r="J1" s="196">
        <v>44261</v>
      </c>
      <c r="K1" s="196">
        <v>44262</v>
      </c>
      <c r="L1" s="195">
        <v>44263</v>
      </c>
      <c r="M1" s="195">
        <v>44264</v>
      </c>
      <c r="N1" s="195">
        <v>44265</v>
      </c>
      <c r="O1" s="195">
        <v>44266</v>
      </c>
      <c r="P1" s="195">
        <v>44267</v>
      </c>
      <c r="Q1" s="196">
        <v>44268</v>
      </c>
      <c r="R1" s="196">
        <v>44269</v>
      </c>
      <c r="S1" s="195">
        <v>44270</v>
      </c>
      <c r="T1" s="195">
        <v>44271</v>
      </c>
      <c r="U1" s="195">
        <v>44272</v>
      </c>
      <c r="V1" s="195">
        <v>44273</v>
      </c>
      <c r="W1" s="195">
        <v>44274</v>
      </c>
      <c r="X1" s="196">
        <v>44275</v>
      </c>
      <c r="Y1" s="196">
        <v>44276</v>
      </c>
      <c r="Z1" s="195">
        <v>44277</v>
      </c>
      <c r="AA1" s="195">
        <v>44278</v>
      </c>
      <c r="AB1" s="195">
        <v>44279</v>
      </c>
      <c r="AC1" s="195">
        <v>44280</v>
      </c>
      <c r="AD1" s="195">
        <v>44281</v>
      </c>
      <c r="AE1" s="196">
        <v>44282</v>
      </c>
      <c r="AF1" s="196">
        <v>44283</v>
      </c>
      <c r="AG1" s="195">
        <v>44284</v>
      </c>
      <c r="AH1" s="195">
        <v>44285</v>
      </c>
      <c r="AI1" s="265">
        <v>44286</v>
      </c>
      <c r="AJ1" s="128"/>
      <c r="AK1" s="15">
        <f>23*8</f>
        <v>184</v>
      </c>
      <c r="AL1" s="16" t="s">
        <v>53</v>
      </c>
      <c r="AM1" s="17" t="s">
        <v>54</v>
      </c>
      <c r="AN1" s="18" t="s">
        <v>55</v>
      </c>
      <c r="AO1" s="1" t="s">
        <v>56</v>
      </c>
      <c r="AP1" s="1" t="s">
        <v>57</v>
      </c>
    </row>
    <row r="2" spans="1:45" ht="15.9">
      <c r="A2" s="1" t="s">
        <v>58</v>
      </c>
      <c r="B2" s="1" t="s">
        <v>59</v>
      </c>
      <c r="C2" s="198" t="s">
        <v>60</v>
      </c>
      <c r="D2" s="266" t="e">
        <f>#REF!</f>
        <v>#REF!</v>
      </c>
      <c r="E2" s="200"/>
      <c r="F2" s="22"/>
      <c r="G2" s="22"/>
      <c r="H2" s="22"/>
      <c r="I2" s="22"/>
      <c r="J2" s="267"/>
      <c r="K2" s="267"/>
      <c r="L2" s="22"/>
      <c r="M2" s="268">
        <v>8</v>
      </c>
      <c r="N2" s="269">
        <v>8</v>
      </c>
      <c r="O2" s="268">
        <v>8</v>
      </c>
      <c r="P2" s="269"/>
      <c r="Q2" s="201"/>
      <c r="R2" s="201"/>
      <c r="S2" s="22">
        <v>17</v>
      </c>
      <c r="T2" s="22" t="s">
        <v>70</v>
      </c>
      <c r="U2" s="22" t="s">
        <v>70</v>
      </c>
      <c r="V2" s="22" t="s">
        <v>70</v>
      </c>
      <c r="W2" s="22" t="s">
        <v>70</v>
      </c>
      <c r="X2" s="201" t="s">
        <v>70</v>
      </c>
      <c r="Y2" s="201" t="s">
        <v>70</v>
      </c>
      <c r="Z2" s="22" t="s">
        <v>69</v>
      </c>
      <c r="AA2" s="22"/>
      <c r="AB2" s="22"/>
      <c r="AC2" s="22"/>
      <c r="AD2" s="22"/>
      <c r="AE2" s="201"/>
      <c r="AF2" s="201"/>
      <c r="AG2" s="22"/>
      <c r="AH2" s="22"/>
      <c r="AI2" s="24"/>
      <c r="AJ2" s="26" t="e">
        <f>_xlfn.CONCAT(#REF!,Tabela13[[#This Row],[FUNKCJONARIUSZ]])</f>
        <v>#REF!</v>
      </c>
      <c r="AK2" s="27" t="e">
        <f t="shared" ref="AK2:AK32" si="0">D2+AL2+AM2+AN2-$AK$1+AO2+AP2</f>
        <v>#REF!</v>
      </c>
      <c r="AL2" s="28">
        <f t="shared" ref="AL2:AL32" si="1">COUNTIF(E2:AI2,"D")*24+COUNTIF(E2:AI2,"12g")*12</f>
        <v>0</v>
      </c>
      <c r="AM2">
        <f t="shared" ref="AM2:AM32" si="2">SUM(COUNTIF(E2:AI2,"k")+COUNTIF(E2:AI2,"s")+COUNTIF(E2:AI2,"wse"))*24+SUM(COUNTIF(E2:AI2,"Pk")+COUNTIF(E2:AI2,"Ps"))*12</f>
        <v>156</v>
      </c>
      <c r="AN2" s="29">
        <f t="shared" ref="AN2:AN32" si="3">SUM(E2:AI2)+COUNTIF(E2:AI2,"uw")*8+COUNTIF(E2:AI2,"us")*8+COUNTIF(E2:AI2,"uz")*8+COUNTIF(E2:AI2,"zs")*8</f>
        <v>41</v>
      </c>
      <c r="AO2" s="1">
        <f t="shared" ref="AO2:AO32" si="4">COUNTIF(E2:AI2,"DT")*8</f>
        <v>0</v>
      </c>
      <c r="AP2" s="1">
        <v>0</v>
      </c>
    </row>
    <row r="3" spans="1:45" ht="15.9">
      <c r="A3" s="1" t="s">
        <v>63</v>
      </c>
      <c r="B3" s="1" t="s">
        <v>64</v>
      </c>
      <c r="C3" s="203" t="s">
        <v>65</v>
      </c>
      <c r="D3" s="266" t="e">
        <f>#REF!</f>
        <v>#REF!</v>
      </c>
      <c r="E3" s="204" t="s">
        <v>66</v>
      </c>
      <c r="F3" s="32" t="s">
        <v>66</v>
      </c>
      <c r="G3" s="32" t="s">
        <v>66</v>
      </c>
      <c r="H3" s="32" t="s">
        <v>66</v>
      </c>
      <c r="I3" s="32" t="s">
        <v>66</v>
      </c>
      <c r="J3" s="270" t="s">
        <v>66</v>
      </c>
      <c r="K3" s="270" t="s">
        <v>66</v>
      </c>
      <c r="L3" s="32" t="s">
        <v>66</v>
      </c>
      <c r="M3" s="32" t="s">
        <v>66</v>
      </c>
      <c r="N3" s="32" t="s">
        <v>66</v>
      </c>
      <c r="O3" s="32" t="s">
        <v>66</v>
      </c>
      <c r="P3" s="32">
        <v>17</v>
      </c>
      <c r="Q3" s="36" t="s">
        <v>70</v>
      </c>
      <c r="R3" s="36" t="s">
        <v>70</v>
      </c>
      <c r="S3" s="32">
        <v>12</v>
      </c>
      <c r="T3" s="32"/>
      <c r="U3" s="32"/>
      <c r="V3" s="32"/>
      <c r="W3" s="32"/>
      <c r="X3" s="36"/>
      <c r="Y3" s="36"/>
      <c r="Z3" s="32" t="s">
        <v>238</v>
      </c>
      <c r="AA3" s="32" t="s">
        <v>238</v>
      </c>
      <c r="AB3" s="32"/>
      <c r="AC3" s="32" t="s">
        <v>113</v>
      </c>
      <c r="AD3" s="32"/>
      <c r="AE3" s="36"/>
      <c r="AF3" s="36"/>
      <c r="AG3" s="32" t="s">
        <v>113</v>
      </c>
      <c r="AH3" s="32"/>
      <c r="AI3" s="34"/>
      <c r="AJ3" s="26" t="e">
        <f>_xlfn.CONCAT(#REF!,Tabela13[[#This Row],[FUNKCJONARIUSZ]])</f>
        <v>#REF!</v>
      </c>
      <c r="AK3" s="27" t="e">
        <f t="shared" si="0"/>
        <v>#REF!</v>
      </c>
      <c r="AL3" s="28">
        <f t="shared" si="1"/>
        <v>48</v>
      </c>
      <c r="AM3">
        <f t="shared" si="2"/>
        <v>48</v>
      </c>
      <c r="AN3" s="29">
        <f t="shared" si="3"/>
        <v>45</v>
      </c>
      <c r="AO3" s="1">
        <f t="shared" si="4"/>
        <v>0</v>
      </c>
      <c r="AP3" s="1">
        <v>0</v>
      </c>
    </row>
    <row r="4" spans="1:45" ht="15.9">
      <c r="A4" s="1" t="s">
        <v>67</v>
      </c>
      <c r="B4" s="1" t="s">
        <v>64</v>
      </c>
      <c r="C4" s="203" t="s">
        <v>68</v>
      </c>
      <c r="D4" s="266" t="e">
        <f>#REF!</f>
        <v>#REF!</v>
      </c>
      <c r="E4" s="204"/>
      <c r="F4" s="32"/>
      <c r="G4" s="32"/>
      <c r="H4" s="32"/>
      <c r="I4" s="32"/>
      <c r="J4" s="271"/>
      <c r="K4" s="270"/>
      <c r="L4" s="32">
        <v>17</v>
      </c>
      <c r="M4" s="32" t="s">
        <v>70</v>
      </c>
      <c r="N4" s="32" t="s">
        <v>70</v>
      </c>
      <c r="O4" s="32" t="s">
        <v>70</v>
      </c>
      <c r="P4" s="32">
        <v>11</v>
      </c>
      <c r="Q4" s="36"/>
      <c r="R4" s="36"/>
      <c r="S4" s="32" t="s">
        <v>88</v>
      </c>
      <c r="T4" s="32" t="s">
        <v>88</v>
      </c>
      <c r="U4" s="32" t="s">
        <v>88</v>
      </c>
      <c r="V4" s="32" t="s">
        <v>88</v>
      </c>
      <c r="W4" s="32" t="s">
        <v>88</v>
      </c>
      <c r="X4" s="36"/>
      <c r="Y4" s="36"/>
      <c r="Z4" s="32"/>
      <c r="AA4" s="32"/>
      <c r="AB4" s="32"/>
      <c r="AC4" s="32"/>
      <c r="AD4" s="32"/>
      <c r="AE4" s="36"/>
      <c r="AF4" s="36"/>
      <c r="AG4" s="32"/>
      <c r="AH4" s="32"/>
      <c r="AI4" s="34"/>
      <c r="AJ4" s="26" t="e">
        <f>_xlfn.CONCAT(#REF!,Tabela13[[#This Row],[FUNKCJONARIUSZ]])</f>
        <v>#REF!</v>
      </c>
      <c r="AK4" s="27" t="e">
        <f t="shared" si="0"/>
        <v>#REF!</v>
      </c>
      <c r="AL4" s="28">
        <f t="shared" si="1"/>
        <v>0</v>
      </c>
      <c r="AM4">
        <f t="shared" si="2"/>
        <v>72</v>
      </c>
      <c r="AN4" s="29">
        <f t="shared" si="3"/>
        <v>68</v>
      </c>
      <c r="AO4" s="1">
        <f t="shared" si="4"/>
        <v>0</v>
      </c>
      <c r="AP4" s="1">
        <v>0</v>
      </c>
    </row>
    <row r="5" spans="1:45" ht="15.9">
      <c r="A5" s="1" t="s">
        <v>63</v>
      </c>
      <c r="B5" s="1" t="s">
        <v>64</v>
      </c>
      <c r="C5" s="206" t="s">
        <v>71</v>
      </c>
      <c r="D5" s="266" t="e">
        <f>#REF!</f>
        <v>#REF!</v>
      </c>
      <c r="E5" s="204">
        <v>17</v>
      </c>
      <c r="F5" s="32">
        <v>19</v>
      </c>
      <c r="G5" s="32"/>
      <c r="H5" s="32"/>
      <c r="I5" s="32"/>
      <c r="J5" s="36"/>
      <c r="K5" s="36"/>
      <c r="L5" s="32"/>
      <c r="M5" s="32"/>
      <c r="N5" s="32"/>
      <c r="O5" s="32"/>
      <c r="P5" s="32">
        <v>9</v>
      </c>
      <c r="Q5" s="36" t="s">
        <v>98</v>
      </c>
      <c r="R5" s="36">
        <v>21</v>
      </c>
      <c r="S5" s="32"/>
      <c r="T5" s="32"/>
      <c r="U5" s="32"/>
      <c r="V5" s="32"/>
      <c r="W5" s="32"/>
      <c r="X5" s="36"/>
      <c r="Y5" s="36"/>
      <c r="Z5" s="32"/>
      <c r="AA5" s="32">
        <v>6</v>
      </c>
      <c r="AB5" s="32"/>
      <c r="AC5" s="32"/>
      <c r="AD5" s="32"/>
      <c r="AE5" s="36"/>
      <c r="AF5" s="36"/>
      <c r="AG5" s="32">
        <v>17</v>
      </c>
      <c r="AH5" s="32" t="s">
        <v>70</v>
      </c>
      <c r="AI5" s="34" t="s">
        <v>70</v>
      </c>
      <c r="AJ5" s="26" t="e">
        <f>_xlfn.CONCAT(#REF!,Tabela13[[#This Row],[FUNKCJONARIUSZ]])</f>
        <v>#REF!</v>
      </c>
      <c r="AK5" s="27" t="e">
        <f t="shared" si="0"/>
        <v>#REF!</v>
      </c>
      <c r="AL5" s="28">
        <f t="shared" si="1"/>
        <v>0</v>
      </c>
      <c r="AM5">
        <f t="shared" si="2"/>
        <v>72</v>
      </c>
      <c r="AN5" s="29">
        <f t="shared" si="3"/>
        <v>89</v>
      </c>
      <c r="AO5" s="1">
        <f t="shared" si="4"/>
        <v>0</v>
      </c>
      <c r="AP5" s="1">
        <v>0</v>
      </c>
      <c r="AQ5" s="36" t="s">
        <v>59</v>
      </c>
      <c r="AR5" s="1" t="s">
        <v>72</v>
      </c>
      <c r="AS5" s="1">
        <v>24</v>
      </c>
    </row>
    <row r="6" spans="1:45" ht="15.9">
      <c r="A6" s="1" t="s">
        <v>67</v>
      </c>
      <c r="B6" s="1" t="s">
        <v>73</v>
      </c>
      <c r="C6" s="203" t="s">
        <v>74</v>
      </c>
      <c r="D6" s="266" t="e">
        <f>#REF!</f>
        <v>#REF!</v>
      </c>
      <c r="E6" s="204">
        <v>16</v>
      </c>
      <c r="F6" s="32" t="s">
        <v>70</v>
      </c>
      <c r="G6" s="32" t="s">
        <v>70</v>
      </c>
      <c r="H6" s="32" t="s">
        <v>70</v>
      </c>
      <c r="I6" s="32" t="s">
        <v>70</v>
      </c>
      <c r="J6" s="36" t="s">
        <v>70</v>
      </c>
      <c r="K6" s="36" t="s">
        <v>70</v>
      </c>
      <c r="L6" s="32">
        <v>13</v>
      </c>
      <c r="M6" s="32">
        <v>6</v>
      </c>
      <c r="N6" s="32"/>
      <c r="O6" s="32"/>
      <c r="P6" s="32">
        <v>6</v>
      </c>
      <c r="Q6" s="36"/>
      <c r="R6" s="36"/>
      <c r="S6" s="32">
        <v>2</v>
      </c>
      <c r="T6" s="32"/>
      <c r="U6" s="32"/>
      <c r="V6" s="32"/>
      <c r="W6" s="32">
        <v>10</v>
      </c>
      <c r="X6" s="36"/>
      <c r="Y6" s="36"/>
      <c r="Z6" s="32"/>
      <c r="AA6" s="32"/>
      <c r="AB6" s="32"/>
      <c r="AC6" s="32"/>
      <c r="AD6" s="32"/>
      <c r="AE6" s="36"/>
      <c r="AF6" s="36"/>
      <c r="AG6" s="32"/>
      <c r="AH6" s="32"/>
      <c r="AI6" s="34"/>
      <c r="AJ6" s="26" t="e">
        <f>_xlfn.CONCAT(#REF!,Tabela13[[#This Row],[FUNKCJONARIUSZ]])</f>
        <v>#REF!</v>
      </c>
      <c r="AK6" s="27" t="e">
        <f t="shared" si="0"/>
        <v>#REF!</v>
      </c>
      <c r="AL6" s="28">
        <f t="shared" si="1"/>
        <v>0</v>
      </c>
      <c r="AM6">
        <f t="shared" si="2"/>
        <v>144</v>
      </c>
      <c r="AN6" s="29">
        <f t="shared" si="3"/>
        <v>53</v>
      </c>
      <c r="AO6" s="1">
        <f t="shared" si="4"/>
        <v>0</v>
      </c>
      <c r="AP6" s="1">
        <v>0</v>
      </c>
      <c r="AQ6" s="36" t="s">
        <v>76</v>
      </c>
      <c r="AR6" s="1" t="s">
        <v>77</v>
      </c>
      <c r="AS6" s="1">
        <v>12</v>
      </c>
    </row>
    <row r="7" spans="1:45" ht="15.9">
      <c r="A7" s="1" t="s">
        <v>67</v>
      </c>
      <c r="B7" s="1" t="s">
        <v>59</v>
      </c>
      <c r="C7" s="30" t="s">
        <v>78</v>
      </c>
      <c r="D7" s="266" t="e">
        <f>#REF!</f>
        <v>#REF!</v>
      </c>
      <c r="E7" s="204" t="s">
        <v>66</v>
      </c>
      <c r="F7" s="32" t="s">
        <v>66</v>
      </c>
      <c r="G7" s="32" t="s">
        <v>66</v>
      </c>
      <c r="H7" s="32" t="s">
        <v>66</v>
      </c>
      <c r="I7" s="32">
        <v>4</v>
      </c>
      <c r="J7" s="36" t="s">
        <v>66</v>
      </c>
      <c r="K7" s="36" t="s">
        <v>66</v>
      </c>
      <c r="L7" s="32" t="s">
        <v>66</v>
      </c>
      <c r="M7" s="32" t="s">
        <v>66</v>
      </c>
      <c r="N7" s="32" t="s">
        <v>239</v>
      </c>
      <c r="O7" s="32">
        <v>2</v>
      </c>
      <c r="P7" s="32">
        <v>12</v>
      </c>
      <c r="Q7" s="36" t="s">
        <v>98</v>
      </c>
      <c r="R7" s="36">
        <v>22</v>
      </c>
      <c r="S7" s="32"/>
      <c r="T7" s="32"/>
      <c r="U7" s="32"/>
      <c r="V7" s="32"/>
      <c r="W7" s="32"/>
      <c r="X7" s="36"/>
      <c r="Y7" s="36"/>
      <c r="Z7" s="32">
        <v>8</v>
      </c>
      <c r="AA7" s="32">
        <v>8</v>
      </c>
      <c r="AB7" s="32"/>
      <c r="AC7" s="32"/>
      <c r="AD7" s="32"/>
      <c r="AE7" s="36"/>
      <c r="AF7" s="36"/>
      <c r="AG7" s="32"/>
      <c r="AH7" s="32"/>
      <c r="AI7" s="34"/>
      <c r="AJ7" s="26" t="e">
        <f>_xlfn.CONCAT(#REF!,Tabela13[[#This Row],[FUNKCJONARIUSZ]])</f>
        <v>#REF!</v>
      </c>
      <c r="AK7" s="27" t="e">
        <f t="shared" si="0"/>
        <v>#REF!</v>
      </c>
      <c r="AL7" s="28">
        <f t="shared" si="1"/>
        <v>0</v>
      </c>
      <c r="AM7">
        <f t="shared" si="2"/>
        <v>24</v>
      </c>
      <c r="AN7" s="29">
        <f t="shared" si="3"/>
        <v>56</v>
      </c>
      <c r="AO7" s="1">
        <f t="shared" si="4"/>
        <v>0</v>
      </c>
      <c r="AP7" s="1">
        <v>0</v>
      </c>
      <c r="AQ7" s="36" t="s">
        <v>69</v>
      </c>
      <c r="AR7" s="1" t="s">
        <v>79</v>
      </c>
      <c r="AS7" s="1">
        <v>12</v>
      </c>
    </row>
    <row r="8" spans="1:45" ht="15.9">
      <c r="A8" s="1" t="s">
        <v>67</v>
      </c>
      <c r="B8" s="1" t="s">
        <v>59</v>
      </c>
      <c r="C8" s="203" t="s">
        <v>80</v>
      </c>
      <c r="D8" s="266" t="e">
        <f>#REF!</f>
        <v>#REF!</v>
      </c>
      <c r="E8" s="204" t="s">
        <v>69</v>
      </c>
      <c r="F8" s="32" t="s">
        <v>88</v>
      </c>
      <c r="G8" s="32" t="s">
        <v>88</v>
      </c>
      <c r="H8" s="32" t="s">
        <v>88</v>
      </c>
      <c r="I8" s="32" t="s">
        <v>88</v>
      </c>
      <c r="J8" s="36" t="s">
        <v>66</v>
      </c>
      <c r="K8" s="36" t="s">
        <v>66</v>
      </c>
      <c r="L8" s="32" t="s">
        <v>88</v>
      </c>
      <c r="M8" s="32" t="s">
        <v>88</v>
      </c>
      <c r="N8" s="32" t="s">
        <v>88</v>
      </c>
      <c r="O8" s="37" t="s">
        <v>88</v>
      </c>
      <c r="P8" s="37" t="s">
        <v>88</v>
      </c>
      <c r="Q8" s="36" t="s">
        <v>66</v>
      </c>
      <c r="R8" s="36"/>
      <c r="S8" s="32"/>
      <c r="T8" s="32"/>
      <c r="U8" s="32"/>
      <c r="V8" s="32"/>
      <c r="W8" s="32"/>
      <c r="X8" s="36"/>
      <c r="Y8" s="36"/>
      <c r="Z8" s="32"/>
      <c r="AA8" s="32" t="s">
        <v>240</v>
      </c>
      <c r="AB8" s="32"/>
      <c r="AC8" s="32"/>
      <c r="AD8" s="32"/>
      <c r="AE8" s="36"/>
      <c r="AF8" s="36"/>
      <c r="AG8" s="32"/>
      <c r="AH8" s="32"/>
      <c r="AI8" s="34" t="s">
        <v>241</v>
      </c>
      <c r="AJ8" s="26" t="e">
        <f>_xlfn.CONCAT(#REF!,Tabela13[[#This Row],[FUNKCJONARIUSZ]])</f>
        <v>#REF!</v>
      </c>
      <c r="AK8" s="27" t="e">
        <f t="shared" si="0"/>
        <v>#REF!</v>
      </c>
      <c r="AL8" s="28">
        <f t="shared" si="1"/>
        <v>0</v>
      </c>
      <c r="AM8">
        <f t="shared" si="2"/>
        <v>12</v>
      </c>
      <c r="AN8" s="29">
        <f t="shared" si="3"/>
        <v>72</v>
      </c>
      <c r="AO8" s="1">
        <f t="shared" si="4"/>
        <v>0</v>
      </c>
      <c r="AP8" s="1">
        <v>0</v>
      </c>
      <c r="AQ8" s="36" t="s">
        <v>70</v>
      </c>
      <c r="AR8" s="1" t="s">
        <v>81</v>
      </c>
      <c r="AS8" s="1">
        <v>24</v>
      </c>
    </row>
    <row r="9" spans="1:45" ht="15.9">
      <c r="A9" s="1" t="s">
        <v>67</v>
      </c>
      <c r="B9" s="1" t="s">
        <v>59</v>
      </c>
      <c r="C9" s="203" t="s">
        <v>82</v>
      </c>
      <c r="D9" s="266" t="e">
        <f>#REF!</f>
        <v>#REF!</v>
      </c>
      <c r="E9" s="204" t="s">
        <v>113</v>
      </c>
      <c r="F9" s="32"/>
      <c r="G9" s="32"/>
      <c r="H9" s="37"/>
      <c r="I9" s="37">
        <v>4</v>
      </c>
      <c r="J9" s="207">
        <v>16</v>
      </c>
      <c r="K9" s="207" t="s">
        <v>99</v>
      </c>
      <c r="L9" s="37">
        <v>22</v>
      </c>
      <c r="M9" s="37">
        <v>4.5</v>
      </c>
      <c r="N9" s="272"/>
      <c r="O9" s="273" t="s">
        <v>66</v>
      </c>
      <c r="P9" s="274" t="s">
        <v>66</v>
      </c>
      <c r="Q9" s="275" t="s">
        <v>66</v>
      </c>
      <c r="R9" s="207" t="s">
        <v>66</v>
      </c>
      <c r="S9" s="32"/>
      <c r="T9" s="32"/>
      <c r="U9" s="32"/>
      <c r="V9" s="32"/>
      <c r="W9" s="32"/>
      <c r="X9" s="36"/>
      <c r="Y9" s="36"/>
      <c r="Z9" s="32">
        <v>17</v>
      </c>
      <c r="AA9" s="32" t="s">
        <v>70</v>
      </c>
      <c r="AB9" s="32" t="s">
        <v>70</v>
      </c>
      <c r="AC9" s="32" t="s">
        <v>70</v>
      </c>
      <c r="AD9" s="32" t="s">
        <v>70</v>
      </c>
      <c r="AE9" s="36" t="s">
        <v>70</v>
      </c>
      <c r="AF9" s="36" t="s">
        <v>70</v>
      </c>
      <c r="AG9" s="32" t="s">
        <v>69</v>
      </c>
      <c r="AH9" s="32"/>
      <c r="AI9" s="34"/>
      <c r="AJ9" s="26" t="e">
        <f>_xlfn.CONCAT(#REF!,Tabela13[[#This Row],[FUNKCJONARIUSZ]])</f>
        <v>#REF!</v>
      </c>
      <c r="AK9" s="27" t="e">
        <f t="shared" si="0"/>
        <v>#REF!</v>
      </c>
      <c r="AL9" s="28">
        <f t="shared" si="1"/>
        <v>24</v>
      </c>
      <c r="AM9">
        <f t="shared" si="2"/>
        <v>180</v>
      </c>
      <c r="AN9" s="29">
        <f t="shared" si="3"/>
        <v>63.5</v>
      </c>
      <c r="AO9" s="1">
        <f t="shared" si="4"/>
        <v>0</v>
      </c>
      <c r="AP9" s="1">
        <v>0</v>
      </c>
      <c r="AQ9" s="36" t="s">
        <v>83</v>
      </c>
      <c r="AR9" s="1" t="s">
        <v>84</v>
      </c>
      <c r="AS9" s="1">
        <v>8</v>
      </c>
    </row>
    <row r="10" spans="1:45" ht="15.9">
      <c r="A10" s="1" t="s">
        <v>58</v>
      </c>
      <c r="B10" s="1" t="s">
        <v>73</v>
      </c>
      <c r="C10" s="203" t="s">
        <v>85</v>
      </c>
      <c r="D10" s="266" t="e">
        <f>#REF!</f>
        <v>#REF!</v>
      </c>
      <c r="E10" s="706" t="s">
        <v>101</v>
      </c>
      <c r="F10" s="706"/>
      <c r="G10" s="706"/>
      <c r="H10" s="43"/>
      <c r="I10" s="43"/>
      <c r="J10" s="36"/>
      <c r="K10" s="36"/>
      <c r="L10" s="43"/>
      <c r="M10" s="276">
        <v>8</v>
      </c>
      <c r="N10" s="277">
        <v>8</v>
      </c>
      <c r="O10" s="276">
        <v>8</v>
      </c>
      <c r="P10" s="277"/>
      <c r="Q10" s="36"/>
      <c r="R10" s="36"/>
      <c r="S10" s="32">
        <v>8</v>
      </c>
      <c r="T10" s="32">
        <v>8</v>
      </c>
      <c r="U10" s="32"/>
      <c r="V10" s="32"/>
      <c r="W10" s="32"/>
      <c r="X10" s="36"/>
      <c r="Y10" s="36"/>
      <c r="Z10" s="32">
        <v>8</v>
      </c>
      <c r="AA10" s="32">
        <v>8</v>
      </c>
      <c r="AB10" s="32"/>
      <c r="AC10" s="32"/>
      <c r="AD10" s="32"/>
      <c r="AE10" s="36"/>
      <c r="AF10" s="36"/>
      <c r="AG10" s="32"/>
      <c r="AH10" s="32"/>
      <c r="AI10" s="34" t="s">
        <v>241</v>
      </c>
      <c r="AJ10" s="26" t="e">
        <f>_xlfn.CONCAT(#REF!,Tabela13[[#This Row],[FUNKCJONARIUSZ]])</f>
        <v>#REF!</v>
      </c>
      <c r="AK10" s="27" t="e">
        <f t="shared" si="0"/>
        <v>#REF!</v>
      </c>
      <c r="AL10" s="28">
        <f t="shared" si="1"/>
        <v>0</v>
      </c>
      <c r="AM10">
        <f t="shared" si="2"/>
        <v>0</v>
      </c>
      <c r="AN10" s="29">
        <f t="shared" si="3"/>
        <v>56</v>
      </c>
      <c r="AO10" s="1">
        <f t="shared" si="4"/>
        <v>0</v>
      </c>
      <c r="AP10" s="1">
        <v>11</v>
      </c>
      <c r="AQ10" s="36" t="s">
        <v>75</v>
      </c>
      <c r="AR10" s="1" t="s">
        <v>86</v>
      </c>
      <c r="AS10" s="1">
        <v>8</v>
      </c>
    </row>
    <row r="11" spans="1:45" ht="15.9">
      <c r="A11" s="1" t="s">
        <v>58</v>
      </c>
      <c r="B11" s="1" t="s">
        <v>73</v>
      </c>
      <c r="C11" s="203" t="s">
        <v>87</v>
      </c>
      <c r="D11" s="266" t="e">
        <f>#REF!</f>
        <v>#REF!</v>
      </c>
      <c r="E11" s="204" t="s">
        <v>69</v>
      </c>
      <c r="F11" s="32"/>
      <c r="G11" s="32"/>
      <c r="H11" s="32"/>
      <c r="I11" s="32"/>
      <c r="J11" s="36"/>
      <c r="K11" s="36"/>
      <c r="L11" s="32">
        <v>16.5</v>
      </c>
      <c r="M11" s="32" t="s">
        <v>70</v>
      </c>
      <c r="N11" s="32" t="s">
        <v>70</v>
      </c>
      <c r="O11" s="32" t="s">
        <v>70</v>
      </c>
      <c r="P11" s="32" t="s">
        <v>70</v>
      </c>
      <c r="Q11" s="36" t="s">
        <v>70</v>
      </c>
      <c r="R11" s="36" t="s">
        <v>70</v>
      </c>
      <c r="S11" s="32">
        <v>11</v>
      </c>
      <c r="T11" s="32"/>
      <c r="U11" s="32"/>
      <c r="V11" s="32"/>
      <c r="W11" s="32"/>
      <c r="X11" s="36"/>
      <c r="Y11" s="36"/>
      <c r="Z11" s="32"/>
      <c r="AA11" s="32"/>
      <c r="AB11" s="32"/>
      <c r="AC11" s="32"/>
      <c r="AD11" s="32"/>
      <c r="AE11" s="36"/>
      <c r="AF11" s="36"/>
      <c r="AG11" s="32"/>
      <c r="AH11" s="32"/>
      <c r="AI11" s="34"/>
      <c r="AJ11" s="26" t="e">
        <f>_xlfn.CONCAT(#REF!,Tabela13[[#This Row],[FUNKCJONARIUSZ]])</f>
        <v>#REF!</v>
      </c>
      <c r="AK11" s="27" t="e">
        <f t="shared" si="0"/>
        <v>#REF!</v>
      </c>
      <c r="AL11" s="28">
        <f t="shared" si="1"/>
        <v>0</v>
      </c>
      <c r="AM11">
        <f t="shared" si="2"/>
        <v>156</v>
      </c>
      <c r="AN11" s="29">
        <f t="shared" si="3"/>
        <v>27.5</v>
      </c>
      <c r="AO11" s="1">
        <f t="shared" si="4"/>
        <v>0</v>
      </c>
      <c r="AP11" s="1">
        <v>0</v>
      </c>
      <c r="AQ11" s="36" t="s">
        <v>88</v>
      </c>
      <c r="AR11" s="1" t="s">
        <v>89</v>
      </c>
      <c r="AS11" s="1">
        <v>8</v>
      </c>
    </row>
    <row r="12" spans="1:45" ht="15.9">
      <c r="A12" s="1" t="s">
        <v>90</v>
      </c>
      <c r="B12" s="1" t="s">
        <v>64</v>
      </c>
      <c r="C12" s="203" t="s">
        <v>91</v>
      </c>
      <c r="D12" s="266" t="e">
        <f>#REF!</f>
        <v>#REF!</v>
      </c>
      <c r="E12" s="204"/>
      <c r="F12" s="32" t="s">
        <v>113</v>
      </c>
      <c r="G12" s="32"/>
      <c r="H12" s="32"/>
      <c r="I12" s="32" t="s">
        <v>113</v>
      </c>
      <c r="J12" s="36"/>
      <c r="K12" s="36"/>
      <c r="L12" s="32" t="s">
        <v>59</v>
      </c>
      <c r="M12" s="32"/>
      <c r="N12" s="32"/>
      <c r="O12" s="32"/>
      <c r="P12" s="32"/>
      <c r="Q12" s="36"/>
      <c r="R12" s="36"/>
      <c r="S12" s="32"/>
      <c r="T12" s="32"/>
      <c r="U12" s="32"/>
      <c r="V12" s="32"/>
      <c r="W12" s="32" t="s">
        <v>113</v>
      </c>
      <c r="X12" s="36"/>
      <c r="Y12" s="36"/>
      <c r="Z12" s="32">
        <v>17</v>
      </c>
      <c r="AA12" s="32" t="s">
        <v>70</v>
      </c>
      <c r="AB12" s="32" t="s">
        <v>70</v>
      </c>
      <c r="AC12" s="32" t="s">
        <v>70</v>
      </c>
      <c r="AD12" s="32" t="s">
        <v>70</v>
      </c>
      <c r="AE12" s="36" t="s">
        <v>70</v>
      </c>
      <c r="AF12" s="36" t="s">
        <v>70</v>
      </c>
      <c r="AG12" s="32">
        <v>15</v>
      </c>
      <c r="AH12" s="32"/>
      <c r="AI12" s="34"/>
      <c r="AJ12" s="26" t="e">
        <f>_xlfn.CONCAT(#REF!,Tabela13[[#This Row],[FUNKCJONARIUSZ]])</f>
        <v>#REF!</v>
      </c>
      <c r="AK12" s="27" t="e">
        <f t="shared" si="0"/>
        <v>#REF!</v>
      </c>
      <c r="AL12" s="28">
        <f t="shared" si="1"/>
        <v>96</v>
      </c>
      <c r="AM12">
        <f t="shared" si="2"/>
        <v>144</v>
      </c>
      <c r="AN12" s="29">
        <f t="shared" si="3"/>
        <v>32</v>
      </c>
      <c r="AO12" s="1">
        <f t="shared" si="4"/>
        <v>0</v>
      </c>
      <c r="AP12" s="1">
        <v>0</v>
      </c>
      <c r="AQ12" s="36" t="s">
        <v>92</v>
      </c>
      <c r="AR12" s="1" t="s">
        <v>79</v>
      </c>
      <c r="AS12" s="1">
        <v>12</v>
      </c>
    </row>
    <row r="13" spans="1:45" ht="15.9">
      <c r="A13" s="1" t="s">
        <v>58</v>
      </c>
      <c r="B13" s="1" t="s">
        <v>93</v>
      </c>
      <c r="C13" s="203" t="s">
        <v>94</v>
      </c>
      <c r="D13" s="266" t="e">
        <f>#REF!</f>
        <v>#REF!</v>
      </c>
      <c r="E13" s="204" t="s">
        <v>103</v>
      </c>
      <c r="F13" s="32" t="s">
        <v>103</v>
      </c>
      <c r="G13" s="32" t="s">
        <v>103</v>
      </c>
      <c r="H13" s="32" t="s">
        <v>103</v>
      </c>
      <c r="I13" s="32"/>
      <c r="J13" s="36"/>
      <c r="K13" s="36"/>
      <c r="L13" s="32">
        <v>17</v>
      </c>
      <c r="M13" s="32" t="s">
        <v>70</v>
      </c>
      <c r="N13" s="32" t="s">
        <v>70</v>
      </c>
      <c r="O13" s="32" t="s">
        <v>70</v>
      </c>
      <c r="P13" s="32" t="s">
        <v>70</v>
      </c>
      <c r="Q13" s="36" t="s">
        <v>70</v>
      </c>
      <c r="R13" s="36" t="s">
        <v>70</v>
      </c>
      <c r="S13" s="32">
        <v>11</v>
      </c>
      <c r="T13" s="32"/>
      <c r="U13" s="32"/>
      <c r="V13" s="32"/>
      <c r="W13" s="32" t="s">
        <v>101</v>
      </c>
      <c r="X13" s="36"/>
      <c r="Y13" s="36"/>
      <c r="Z13" s="32"/>
      <c r="AA13" s="32" t="s">
        <v>101</v>
      </c>
      <c r="AB13" s="32" t="s">
        <v>101</v>
      </c>
      <c r="AC13" s="32"/>
      <c r="AD13" s="32"/>
      <c r="AE13" s="36"/>
      <c r="AF13" s="36"/>
      <c r="AG13" s="32"/>
      <c r="AH13" s="32" t="s">
        <v>66</v>
      </c>
      <c r="AI13" s="34" t="s">
        <v>241</v>
      </c>
      <c r="AJ13" s="26" t="e">
        <f>_xlfn.CONCAT(#REF!,Tabela13[[#This Row],[FUNKCJONARIUSZ]])</f>
        <v>#REF!</v>
      </c>
      <c r="AK13" s="27" t="e">
        <f t="shared" si="0"/>
        <v>#REF!</v>
      </c>
      <c r="AL13" s="28">
        <f t="shared" si="1"/>
        <v>0</v>
      </c>
      <c r="AM13">
        <f t="shared" si="2"/>
        <v>144</v>
      </c>
      <c r="AN13" s="29">
        <f t="shared" si="3"/>
        <v>28</v>
      </c>
      <c r="AO13" s="1">
        <f t="shared" si="4"/>
        <v>0</v>
      </c>
      <c r="AP13" s="1">
        <f>8+16+8</f>
        <v>32</v>
      </c>
      <c r="AQ13" s="36" t="s">
        <v>95</v>
      </c>
      <c r="AR13" s="1" t="s">
        <v>96</v>
      </c>
      <c r="AS13" s="1">
        <v>24</v>
      </c>
    </row>
    <row r="14" spans="1:45" ht="15.9">
      <c r="A14" s="1" t="s">
        <v>90</v>
      </c>
      <c r="B14" s="1" t="s">
        <v>59</v>
      </c>
      <c r="C14" s="203" t="s">
        <v>97</v>
      </c>
      <c r="D14" s="266" t="e">
        <f>#REF!</f>
        <v>#REF!</v>
      </c>
      <c r="E14" s="204" t="s">
        <v>66</v>
      </c>
      <c r="F14" s="32">
        <v>8</v>
      </c>
      <c r="G14" s="32" t="s">
        <v>70</v>
      </c>
      <c r="H14" s="32" t="s">
        <v>70</v>
      </c>
      <c r="I14" s="32" t="s">
        <v>70</v>
      </c>
      <c r="J14" s="36" t="s">
        <v>70</v>
      </c>
      <c r="K14" s="36" t="s">
        <v>70</v>
      </c>
      <c r="L14" s="32">
        <v>13.5</v>
      </c>
      <c r="M14" s="32"/>
      <c r="N14" s="32"/>
      <c r="O14" s="32"/>
      <c r="P14" s="32"/>
      <c r="Q14" s="36"/>
      <c r="R14" s="36"/>
      <c r="S14" s="32"/>
      <c r="T14" s="32"/>
      <c r="U14" s="32"/>
      <c r="V14" s="32"/>
      <c r="W14" s="32"/>
      <c r="X14" s="36"/>
      <c r="Y14" s="36"/>
      <c r="Z14" s="32"/>
      <c r="AA14" s="32"/>
      <c r="AB14" s="32"/>
      <c r="AC14" s="32"/>
      <c r="AD14" s="32"/>
      <c r="AE14" s="36"/>
      <c r="AF14" s="36"/>
      <c r="AG14" s="32"/>
      <c r="AH14" s="32"/>
      <c r="AI14" s="34" t="s">
        <v>113</v>
      </c>
      <c r="AJ14" s="26" t="e">
        <f>_xlfn.CONCAT(#REF!,Tabela13[[#This Row],[FUNKCJONARIUSZ]])</f>
        <v>#REF!</v>
      </c>
      <c r="AK14" s="27" t="e">
        <f t="shared" si="0"/>
        <v>#REF!</v>
      </c>
      <c r="AL14" s="28">
        <f t="shared" si="1"/>
        <v>24</v>
      </c>
      <c r="AM14">
        <f t="shared" si="2"/>
        <v>120</v>
      </c>
      <c r="AN14" s="29">
        <f t="shared" si="3"/>
        <v>21.5</v>
      </c>
      <c r="AO14" s="1">
        <f t="shared" si="4"/>
        <v>0</v>
      </c>
      <c r="AP14" s="1">
        <v>0</v>
      </c>
      <c r="AQ14" s="36" t="s">
        <v>98</v>
      </c>
      <c r="AR14" s="1" t="s">
        <v>99</v>
      </c>
      <c r="AS14" s="1">
        <v>24</v>
      </c>
    </row>
    <row r="15" spans="1:45" ht="15.9">
      <c r="A15" s="1" t="s">
        <v>58</v>
      </c>
      <c r="B15" s="1" t="s">
        <v>93</v>
      </c>
      <c r="C15" s="203" t="s">
        <v>100</v>
      </c>
      <c r="D15" s="266">
        <v>-79</v>
      </c>
      <c r="E15" s="204" t="s">
        <v>66</v>
      </c>
      <c r="F15" s="32"/>
      <c r="G15" s="32"/>
      <c r="H15" s="32" t="s">
        <v>113</v>
      </c>
      <c r="I15" s="32"/>
      <c r="J15" s="36"/>
      <c r="K15" s="36"/>
      <c r="L15" s="32" t="s">
        <v>66</v>
      </c>
      <c r="M15" s="32"/>
      <c r="N15" s="32" t="s">
        <v>113</v>
      </c>
      <c r="O15" s="32"/>
      <c r="P15" s="32"/>
      <c r="Q15" s="36" t="s">
        <v>113</v>
      </c>
      <c r="R15" s="36"/>
      <c r="S15" s="32"/>
      <c r="T15" s="32" t="s">
        <v>113</v>
      </c>
      <c r="U15" s="32"/>
      <c r="V15" s="32" t="s">
        <v>66</v>
      </c>
      <c r="W15" s="32"/>
      <c r="X15" s="36"/>
      <c r="Y15" s="36"/>
      <c r="Z15" s="32" t="s">
        <v>113</v>
      </c>
      <c r="AA15" s="32"/>
      <c r="AB15" s="32"/>
      <c r="AC15" s="32"/>
      <c r="AD15" s="32" t="s">
        <v>113</v>
      </c>
      <c r="AE15" s="36"/>
      <c r="AF15" s="36"/>
      <c r="AG15" s="32" t="s">
        <v>75</v>
      </c>
      <c r="AH15" s="32" t="s">
        <v>75</v>
      </c>
      <c r="AI15" s="34" t="s">
        <v>75</v>
      </c>
      <c r="AJ15" s="26" t="e">
        <f>_xlfn.CONCAT(#REF!,Tabela13[[#This Row],[FUNKCJONARIUSZ]])</f>
        <v>#REF!</v>
      </c>
      <c r="AK15" s="27">
        <f t="shared" si="0"/>
        <v>-95</v>
      </c>
      <c r="AL15" s="28">
        <f t="shared" si="1"/>
        <v>144</v>
      </c>
      <c r="AM15">
        <f t="shared" si="2"/>
        <v>0</v>
      </c>
      <c r="AN15" s="29">
        <f t="shared" si="3"/>
        <v>24</v>
      </c>
      <c r="AO15" s="1">
        <f t="shared" si="4"/>
        <v>0</v>
      </c>
      <c r="AQ15" s="32" t="s">
        <v>101</v>
      </c>
      <c r="AR15" s="1" t="s">
        <v>102</v>
      </c>
      <c r="AS15" s="1" t="s">
        <v>103</v>
      </c>
    </row>
    <row r="16" spans="1:45" ht="15.9">
      <c r="A16" s="1" t="s">
        <v>90</v>
      </c>
      <c r="B16" s="1" t="s">
        <v>64</v>
      </c>
      <c r="C16" s="203" t="s">
        <v>104</v>
      </c>
      <c r="D16" s="266" t="e">
        <f>#REF!</f>
        <v>#REF!</v>
      </c>
      <c r="E16" s="204" t="s">
        <v>66</v>
      </c>
      <c r="F16" s="32" t="s">
        <v>66</v>
      </c>
      <c r="G16" s="32" t="s">
        <v>66</v>
      </c>
      <c r="H16" s="32" t="s">
        <v>66</v>
      </c>
      <c r="I16" s="32">
        <v>17</v>
      </c>
      <c r="J16" s="36" t="s">
        <v>70</v>
      </c>
      <c r="K16" s="36" t="s">
        <v>70</v>
      </c>
      <c r="L16" s="32">
        <v>14</v>
      </c>
      <c r="M16" s="32"/>
      <c r="N16" s="32"/>
      <c r="O16" s="32"/>
      <c r="P16" s="32"/>
      <c r="Q16" s="36"/>
      <c r="R16" s="36"/>
      <c r="S16" s="32"/>
      <c r="T16" s="32"/>
      <c r="U16" s="32"/>
      <c r="V16" s="32"/>
      <c r="W16" s="32"/>
      <c r="X16" s="36"/>
      <c r="Y16" s="36"/>
      <c r="Z16" s="32"/>
      <c r="AA16" s="32"/>
      <c r="AB16" s="32"/>
      <c r="AC16" s="32"/>
      <c r="AD16" s="32"/>
      <c r="AE16" s="36"/>
      <c r="AF16" s="36"/>
      <c r="AG16" s="32"/>
      <c r="AH16" s="32"/>
      <c r="AI16" s="34"/>
      <c r="AJ16" s="26" t="e">
        <f>_xlfn.CONCAT(#REF!,Tabela13[[#This Row],[FUNKCJONARIUSZ]])</f>
        <v>#REF!</v>
      </c>
      <c r="AK16" s="27" t="e">
        <f t="shared" si="0"/>
        <v>#REF!</v>
      </c>
      <c r="AL16" s="28">
        <f t="shared" si="1"/>
        <v>0</v>
      </c>
      <c r="AM16">
        <f t="shared" si="2"/>
        <v>48</v>
      </c>
      <c r="AN16" s="29">
        <f t="shared" si="3"/>
        <v>31</v>
      </c>
      <c r="AO16" s="1">
        <f t="shared" si="4"/>
        <v>0</v>
      </c>
      <c r="AP16" s="1">
        <v>0</v>
      </c>
    </row>
    <row r="17" spans="1:42" ht="15.9">
      <c r="A17" s="1" t="s">
        <v>58</v>
      </c>
      <c r="B17" s="1" t="s">
        <v>64</v>
      </c>
      <c r="C17" s="203" t="s">
        <v>161</v>
      </c>
      <c r="D17" s="266" t="e">
        <f>#REF!</f>
        <v>#REF!</v>
      </c>
      <c r="E17" s="204" t="s">
        <v>88</v>
      </c>
      <c r="F17" s="32"/>
      <c r="G17" s="32"/>
      <c r="H17" s="32"/>
      <c r="I17" s="32"/>
      <c r="J17" s="36"/>
      <c r="K17" s="36"/>
      <c r="L17" s="32" t="s">
        <v>66</v>
      </c>
      <c r="M17" s="32" t="s">
        <v>66</v>
      </c>
      <c r="N17" s="32"/>
      <c r="O17" s="32"/>
      <c r="P17" s="32"/>
      <c r="Q17" s="36"/>
      <c r="R17" s="36"/>
      <c r="S17" s="32">
        <v>17</v>
      </c>
      <c r="T17" s="32" t="s">
        <v>70</v>
      </c>
      <c r="U17" s="32" t="s">
        <v>70</v>
      </c>
      <c r="V17" s="32" t="s">
        <v>70</v>
      </c>
      <c r="W17" s="32" t="s">
        <v>70</v>
      </c>
      <c r="X17" s="36" t="s">
        <v>70</v>
      </c>
      <c r="Y17" s="36" t="s">
        <v>70</v>
      </c>
      <c r="Z17" s="32">
        <v>13</v>
      </c>
      <c r="AA17" s="32">
        <v>6</v>
      </c>
      <c r="AB17" s="32"/>
      <c r="AC17" s="32"/>
      <c r="AD17" s="32"/>
      <c r="AE17" s="36"/>
      <c r="AF17" s="36"/>
      <c r="AG17" s="32"/>
      <c r="AH17" s="32"/>
      <c r="AI17" s="34"/>
      <c r="AJ17" s="26" t="e">
        <f>_xlfn.CONCAT(#REF!,Tabela13[[#This Row],[FUNKCJONARIUSZ]])</f>
        <v>#REF!</v>
      </c>
      <c r="AK17" s="27" t="e">
        <f t="shared" si="0"/>
        <v>#REF!</v>
      </c>
      <c r="AL17" s="28">
        <f t="shared" si="1"/>
        <v>0</v>
      </c>
      <c r="AM17">
        <f t="shared" si="2"/>
        <v>144</v>
      </c>
      <c r="AN17" s="29">
        <f t="shared" si="3"/>
        <v>44</v>
      </c>
      <c r="AO17" s="1">
        <f t="shared" si="4"/>
        <v>0</v>
      </c>
      <c r="AP17" s="1">
        <v>0</v>
      </c>
    </row>
    <row r="18" spans="1:42" ht="15.9">
      <c r="A18" s="1" t="s">
        <v>105</v>
      </c>
      <c r="B18" s="1" t="s">
        <v>64</v>
      </c>
      <c r="C18" s="203" t="s">
        <v>106</v>
      </c>
      <c r="D18" s="266" t="e">
        <f>#REF!</f>
        <v>#REF!</v>
      </c>
      <c r="E18" s="204" t="s">
        <v>66</v>
      </c>
      <c r="F18" s="32" t="s">
        <v>66</v>
      </c>
      <c r="G18" s="32" t="s">
        <v>66</v>
      </c>
      <c r="H18" s="32" t="s">
        <v>66</v>
      </c>
      <c r="I18" s="32" t="s">
        <v>66</v>
      </c>
      <c r="J18" s="36" t="s">
        <v>66</v>
      </c>
      <c r="K18" s="36" t="s">
        <v>66</v>
      </c>
      <c r="L18" s="32" t="s">
        <v>75</v>
      </c>
      <c r="M18" s="32" t="s">
        <v>75</v>
      </c>
      <c r="N18" s="32" t="s">
        <v>75</v>
      </c>
      <c r="O18" s="32" t="s">
        <v>75</v>
      </c>
      <c r="P18" s="32" t="s">
        <v>75</v>
      </c>
      <c r="Q18" s="36"/>
      <c r="R18" s="36" t="s">
        <v>113</v>
      </c>
      <c r="S18" s="32"/>
      <c r="T18" s="32"/>
      <c r="U18" s="32" t="s">
        <v>113</v>
      </c>
      <c r="V18" s="32"/>
      <c r="W18" s="32"/>
      <c r="X18" s="36"/>
      <c r="Y18" s="36"/>
      <c r="Z18" s="32"/>
      <c r="AA18" s="32" t="s">
        <v>113</v>
      </c>
      <c r="AB18" s="32"/>
      <c r="AC18" s="32"/>
      <c r="AD18" s="32"/>
      <c r="AE18" s="36"/>
      <c r="AF18" s="36"/>
      <c r="AG18" s="32"/>
      <c r="AH18" s="32"/>
      <c r="AI18" s="34"/>
      <c r="AJ18" s="26" t="e">
        <f>_xlfn.CONCAT(#REF!,Tabela13[[#This Row],[FUNKCJONARIUSZ]])</f>
        <v>#REF!</v>
      </c>
      <c r="AK18" s="27" t="e">
        <f t="shared" si="0"/>
        <v>#REF!</v>
      </c>
      <c r="AL18" s="28">
        <f t="shared" si="1"/>
        <v>72</v>
      </c>
      <c r="AM18">
        <f t="shared" si="2"/>
        <v>0</v>
      </c>
      <c r="AN18" s="29">
        <f t="shared" si="3"/>
        <v>40</v>
      </c>
      <c r="AO18" s="1">
        <f t="shared" si="4"/>
        <v>0</v>
      </c>
      <c r="AP18" s="1">
        <v>0</v>
      </c>
    </row>
    <row r="19" spans="1:42" ht="15.9">
      <c r="A19" s="1" t="s">
        <v>67</v>
      </c>
      <c r="B19" s="1" t="s">
        <v>73</v>
      </c>
      <c r="C19" s="203" t="s">
        <v>107</v>
      </c>
      <c r="D19" s="266" t="e">
        <f>#REF!</f>
        <v>#REF!</v>
      </c>
      <c r="E19" s="204"/>
      <c r="F19" s="32">
        <v>2</v>
      </c>
      <c r="G19" s="32"/>
      <c r="H19" s="32"/>
      <c r="I19" s="32">
        <v>2</v>
      </c>
      <c r="J19" s="36"/>
      <c r="K19" s="36"/>
      <c r="L19" s="32"/>
      <c r="M19" s="32">
        <v>6</v>
      </c>
      <c r="N19" s="32">
        <v>8</v>
      </c>
      <c r="O19" s="32"/>
      <c r="P19" s="32"/>
      <c r="Q19" s="36"/>
      <c r="R19" s="36"/>
      <c r="S19" s="32">
        <v>2</v>
      </c>
      <c r="T19" s="32"/>
      <c r="U19" s="32"/>
      <c r="V19" s="32">
        <v>1</v>
      </c>
      <c r="W19" s="32">
        <v>10</v>
      </c>
      <c r="X19" s="36"/>
      <c r="Y19" s="36"/>
      <c r="Z19" s="32">
        <v>8</v>
      </c>
      <c r="AA19" s="32">
        <v>8</v>
      </c>
      <c r="AB19" s="32"/>
      <c r="AC19" s="32"/>
      <c r="AD19" s="32"/>
      <c r="AE19" s="36"/>
      <c r="AF19" s="36"/>
      <c r="AG19" s="32"/>
      <c r="AH19" s="32">
        <v>16</v>
      </c>
      <c r="AI19" s="34" t="s">
        <v>70</v>
      </c>
      <c r="AJ19" s="26" t="e">
        <f>_xlfn.CONCAT(#REF!,Tabela13[[#This Row],[FUNKCJONARIUSZ]])</f>
        <v>#REF!</v>
      </c>
      <c r="AK19" s="27" t="e">
        <f t="shared" si="0"/>
        <v>#REF!</v>
      </c>
      <c r="AL19" s="28">
        <f t="shared" si="1"/>
        <v>0</v>
      </c>
      <c r="AM19">
        <f t="shared" si="2"/>
        <v>24</v>
      </c>
      <c r="AN19" s="29">
        <f t="shared" si="3"/>
        <v>63</v>
      </c>
      <c r="AO19" s="1">
        <f t="shared" si="4"/>
        <v>0</v>
      </c>
      <c r="AP19" s="1">
        <v>0</v>
      </c>
    </row>
    <row r="20" spans="1:42" ht="15.9">
      <c r="A20" s="1" t="s">
        <v>90</v>
      </c>
      <c r="B20" s="1" t="s">
        <v>59</v>
      </c>
      <c r="C20" s="203" t="s">
        <v>108</v>
      </c>
      <c r="D20" s="266" t="e">
        <f>#REF!</f>
        <v>#REF!</v>
      </c>
      <c r="E20" s="204"/>
      <c r="F20" s="32"/>
      <c r="G20" s="32"/>
      <c r="H20" s="32"/>
      <c r="I20" s="32"/>
      <c r="J20" s="36"/>
      <c r="K20" s="36"/>
      <c r="L20" s="32"/>
      <c r="M20" s="32"/>
      <c r="N20" s="32"/>
      <c r="O20" s="32"/>
      <c r="P20" s="32"/>
      <c r="Q20" s="36"/>
      <c r="R20" s="36"/>
      <c r="S20" s="32"/>
      <c r="T20" s="32"/>
      <c r="U20" s="32"/>
      <c r="V20" s="32"/>
      <c r="W20" s="32"/>
      <c r="X20" s="36"/>
      <c r="Y20" s="36"/>
      <c r="Z20" s="32"/>
      <c r="AA20" s="32"/>
      <c r="AB20" s="32"/>
      <c r="AC20" s="32"/>
      <c r="AD20" s="32"/>
      <c r="AE20" s="36"/>
      <c r="AF20" s="36"/>
      <c r="AG20" s="32">
        <v>17</v>
      </c>
      <c r="AH20" s="32" t="s">
        <v>70</v>
      </c>
      <c r="AI20" s="34" t="s">
        <v>70</v>
      </c>
      <c r="AJ20" s="26" t="e">
        <f>_xlfn.CONCAT(#REF!,Tabela13[[#This Row],[FUNKCJONARIUSZ]])</f>
        <v>#REF!</v>
      </c>
      <c r="AK20" s="27" t="e">
        <f t="shared" si="0"/>
        <v>#REF!</v>
      </c>
      <c r="AL20" s="28">
        <f t="shared" si="1"/>
        <v>0</v>
      </c>
      <c r="AM20">
        <f t="shared" si="2"/>
        <v>48</v>
      </c>
      <c r="AN20" s="29">
        <f t="shared" si="3"/>
        <v>17</v>
      </c>
      <c r="AO20" s="1">
        <f t="shared" si="4"/>
        <v>0</v>
      </c>
      <c r="AP20" s="1">
        <v>0</v>
      </c>
    </row>
    <row r="21" spans="1:42" ht="15.9">
      <c r="A21" s="1" t="s">
        <v>58</v>
      </c>
      <c r="B21" s="1" t="s">
        <v>59</v>
      </c>
      <c r="C21" s="203" t="s">
        <v>109</v>
      </c>
      <c r="D21" s="266" t="e">
        <f>#REF!</f>
        <v>#REF!</v>
      </c>
      <c r="E21" s="204">
        <v>17</v>
      </c>
      <c r="F21" s="32" t="s">
        <v>70</v>
      </c>
      <c r="G21" s="32" t="s">
        <v>70</v>
      </c>
      <c r="H21" s="32" t="s">
        <v>70</v>
      </c>
      <c r="I21" s="32" t="s">
        <v>70</v>
      </c>
      <c r="J21" s="36" t="s">
        <v>70</v>
      </c>
      <c r="K21" s="36" t="s">
        <v>70</v>
      </c>
      <c r="L21" s="32" t="s">
        <v>69</v>
      </c>
      <c r="M21" s="32"/>
      <c r="N21" s="32"/>
      <c r="O21" s="32"/>
      <c r="P21" s="32"/>
      <c r="Q21" s="36"/>
      <c r="R21" s="36"/>
      <c r="S21" s="32"/>
      <c r="T21" s="32">
        <v>8</v>
      </c>
      <c r="U21" s="32"/>
      <c r="V21" s="32"/>
      <c r="W21" s="32"/>
      <c r="X21" s="36" t="s">
        <v>113</v>
      </c>
      <c r="Y21" s="36"/>
      <c r="Z21" s="32"/>
      <c r="AA21" s="32"/>
      <c r="AB21" s="32"/>
      <c r="AC21" s="32"/>
      <c r="AD21" s="32"/>
      <c r="AE21" s="36"/>
      <c r="AF21" s="36"/>
      <c r="AG21" s="32"/>
      <c r="AH21" s="32"/>
      <c r="AI21" s="34" t="s">
        <v>241</v>
      </c>
      <c r="AJ21" s="26" t="e">
        <f>_xlfn.CONCAT(#REF!,Tabela13[[#This Row],[FUNKCJONARIUSZ]])</f>
        <v>#REF!</v>
      </c>
      <c r="AK21" s="27" t="e">
        <f t="shared" si="0"/>
        <v>#REF!</v>
      </c>
      <c r="AL21" s="28">
        <f t="shared" si="1"/>
        <v>24</v>
      </c>
      <c r="AM21">
        <f t="shared" si="2"/>
        <v>156</v>
      </c>
      <c r="AN21" s="29">
        <f t="shared" si="3"/>
        <v>25</v>
      </c>
      <c r="AO21" s="1">
        <f t="shared" si="4"/>
        <v>0</v>
      </c>
      <c r="AP21" s="1">
        <v>0</v>
      </c>
    </row>
    <row r="22" spans="1:42" ht="15.9">
      <c r="A22" s="1" t="s">
        <v>63</v>
      </c>
      <c r="B22" s="1" t="s">
        <v>59</v>
      </c>
      <c r="C22" s="203" t="s">
        <v>162</v>
      </c>
      <c r="D22" s="266" t="e">
        <f>#REF!</f>
        <v>#REF!</v>
      </c>
      <c r="E22" s="204" t="s">
        <v>103</v>
      </c>
      <c r="F22" s="32" t="s">
        <v>103</v>
      </c>
      <c r="G22" s="32" t="s">
        <v>103</v>
      </c>
      <c r="H22" s="32" t="s">
        <v>103</v>
      </c>
      <c r="I22" s="32"/>
      <c r="J22" s="36" t="s">
        <v>113</v>
      </c>
      <c r="K22" s="36"/>
      <c r="L22" s="32"/>
      <c r="M22" s="32"/>
      <c r="N22" s="32"/>
      <c r="O22" s="32"/>
      <c r="P22" s="32" t="s">
        <v>113</v>
      </c>
      <c r="Q22" s="36"/>
      <c r="R22" s="36"/>
      <c r="S22" s="37" t="s">
        <v>75</v>
      </c>
      <c r="T22" s="37" t="s">
        <v>75</v>
      </c>
      <c r="U22" s="37" t="s">
        <v>75</v>
      </c>
      <c r="V22" s="37" t="s">
        <v>75</v>
      </c>
      <c r="W22" s="37" t="s">
        <v>75</v>
      </c>
      <c r="X22" s="207"/>
      <c r="Y22" s="207"/>
      <c r="Z22" s="37" t="s">
        <v>75</v>
      </c>
      <c r="AA22" s="32" t="s">
        <v>75</v>
      </c>
      <c r="AB22" s="32" t="s">
        <v>75</v>
      </c>
      <c r="AC22" s="32" t="s">
        <v>75</v>
      </c>
      <c r="AD22" s="32" t="s">
        <v>75</v>
      </c>
      <c r="AE22" s="36"/>
      <c r="AF22" s="36" t="s">
        <v>59</v>
      </c>
      <c r="AG22" s="32"/>
      <c r="AH22" s="32"/>
      <c r="AI22" s="34" t="s">
        <v>241</v>
      </c>
      <c r="AJ22" s="26" t="e">
        <f>_xlfn.CONCAT(#REF!,Tabela13[[#This Row],[FUNKCJONARIUSZ]])</f>
        <v>#REF!</v>
      </c>
      <c r="AK22" s="27" t="e">
        <f t="shared" si="0"/>
        <v>#REF!</v>
      </c>
      <c r="AL22" s="28">
        <f t="shared" si="1"/>
        <v>72</v>
      </c>
      <c r="AM22">
        <f t="shared" si="2"/>
        <v>0</v>
      </c>
      <c r="AN22" s="29">
        <f t="shared" si="3"/>
        <v>80</v>
      </c>
      <c r="AO22" s="1">
        <f t="shared" si="4"/>
        <v>0</v>
      </c>
      <c r="AP22" s="1">
        <v>0</v>
      </c>
    </row>
    <row r="23" spans="1:42" ht="15.9">
      <c r="A23" s="1" t="s">
        <v>67</v>
      </c>
      <c r="B23" s="1" t="s">
        <v>93</v>
      </c>
      <c r="C23" s="203" t="s">
        <v>110</v>
      </c>
      <c r="D23" s="266" t="e">
        <f>#REF!</f>
        <v>#REF!</v>
      </c>
      <c r="E23" s="204" t="s">
        <v>103</v>
      </c>
      <c r="F23" s="32" t="s">
        <v>66</v>
      </c>
      <c r="G23" s="32" t="s">
        <v>103</v>
      </c>
      <c r="H23" s="32" t="s">
        <v>103</v>
      </c>
      <c r="I23" s="32" t="s">
        <v>66</v>
      </c>
      <c r="J23" s="36" t="s">
        <v>66</v>
      </c>
      <c r="K23" s="36" t="s">
        <v>66</v>
      </c>
      <c r="L23" s="37" t="s">
        <v>66</v>
      </c>
      <c r="M23" s="37" t="s">
        <v>66</v>
      </c>
      <c r="N23" s="37" t="s">
        <v>66</v>
      </c>
      <c r="O23" s="37" t="s">
        <v>66</v>
      </c>
      <c r="P23" s="37" t="s">
        <v>66</v>
      </c>
      <c r="Q23" s="36" t="s">
        <v>66</v>
      </c>
      <c r="R23" s="145" t="s">
        <v>66</v>
      </c>
      <c r="S23" s="32">
        <v>17</v>
      </c>
      <c r="T23" s="32" t="s">
        <v>70</v>
      </c>
      <c r="U23" s="32" t="s">
        <v>70</v>
      </c>
      <c r="V23" s="32" t="s">
        <v>70</v>
      </c>
      <c r="W23" s="32" t="s">
        <v>70</v>
      </c>
      <c r="X23" s="36" t="s">
        <v>70</v>
      </c>
      <c r="Y23" s="36" t="s">
        <v>70</v>
      </c>
      <c r="Z23" s="32" t="s">
        <v>69</v>
      </c>
      <c r="AA23" s="48">
        <v>3</v>
      </c>
      <c r="AB23" s="32"/>
      <c r="AC23" s="32"/>
      <c r="AD23" s="32"/>
      <c r="AE23" s="36"/>
      <c r="AF23" s="36"/>
      <c r="AG23" s="32"/>
      <c r="AH23" s="32"/>
      <c r="AI23" s="34" t="s">
        <v>242</v>
      </c>
      <c r="AJ23" s="26" t="e">
        <f>_xlfn.CONCAT(#REF!,Tabela13[[#This Row],[FUNKCJONARIUSZ]])</f>
        <v>#REF!</v>
      </c>
      <c r="AK23" s="27" t="e">
        <f t="shared" si="0"/>
        <v>#REF!</v>
      </c>
      <c r="AL23" s="28">
        <f t="shared" si="1"/>
        <v>0</v>
      </c>
      <c r="AM23">
        <f t="shared" si="2"/>
        <v>156</v>
      </c>
      <c r="AN23" s="29">
        <f t="shared" si="3"/>
        <v>20</v>
      </c>
      <c r="AO23" s="1">
        <f t="shared" si="4"/>
        <v>0</v>
      </c>
      <c r="AP23" s="1">
        <v>0</v>
      </c>
    </row>
    <row r="24" spans="1:42" ht="15.9">
      <c r="A24" s="1" t="s">
        <v>58</v>
      </c>
      <c r="B24" s="1" t="s">
        <v>59</v>
      </c>
      <c r="C24" s="203" t="s">
        <v>111</v>
      </c>
      <c r="D24" s="266" t="e">
        <f>#REF!</f>
        <v>#REF!</v>
      </c>
      <c r="E24" s="204"/>
      <c r="F24" s="32"/>
      <c r="G24" s="32"/>
      <c r="H24" s="32"/>
      <c r="I24" s="32"/>
      <c r="J24" s="36"/>
      <c r="K24" s="145"/>
      <c r="L24" s="44">
        <v>16.5</v>
      </c>
      <c r="M24" s="45" t="s">
        <v>70</v>
      </c>
      <c r="N24" s="45" t="s">
        <v>70</v>
      </c>
      <c r="O24" s="45" t="s">
        <v>70</v>
      </c>
      <c r="P24" s="47" t="s">
        <v>69</v>
      </c>
      <c r="Q24" s="168"/>
      <c r="R24" s="36"/>
      <c r="S24" s="41"/>
      <c r="T24" s="41"/>
      <c r="U24" s="41"/>
      <c r="V24" s="41"/>
      <c r="W24" s="41"/>
      <c r="X24" s="208"/>
      <c r="Y24" s="208"/>
      <c r="Z24" s="41"/>
      <c r="AA24" s="32"/>
      <c r="AB24" s="32"/>
      <c r="AC24" s="32"/>
      <c r="AD24" s="32"/>
      <c r="AE24" s="36"/>
      <c r="AF24" s="36"/>
      <c r="AG24" s="32">
        <v>17</v>
      </c>
      <c r="AH24" s="32" t="s">
        <v>70</v>
      </c>
      <c r="AI24" s="34" t="s">
        <v>70</v>
      </c>
      <c r="AJ24" s="26" t="e">
        <f>_xlfn.CONCAT(#REF!,Tabela13[[#This Row],[FUNKCJONARIUSZ]])</f>
        <v>#REF!</v>
      </c>
      <c r="AK24" s="27" t="e">
        <f t="shared" si="0"/>
        <v>#REF!</v>
      </c>
      <c r="AL24" s="28">
        <f t="shared" si="1"/>
        <v>0</v>
      </c>
      <c r="AM24">
        <f t="shared" si="2"/>
        <v>132</v>
      </c>
      <c r="AN24" s="29">
        <f t="shared" si="3"/>
        <v>33.5</v>
      </c>
      <c r="AO24" s="1">
        <f t="shared" si="4"/>
        <v>0</v>
      </c>
      <c r="AP24" s="1">
        <v>0</v>
      </c>
    </row>
    <row r="25" spans="1:42" ht="15.9">
      <c r="A25" s="1" t="s">
        <v>63</v>
      </c>
      <c r="B25" s="1" t="s">
        <v>192</v>
      </c>
      <c r="C25" s="210" t="s">
        <v>112</v>
      </c>
      <c r="D25" s="266" t="e">
        <f>#REF!</f>
        <v>#REF!</v>
      </c>
      <c r="E25" s="204">
        <v>8</v>
      </c>
      <c r="F25" s="32"/>
      <c r="G25" s="32">
        <v>12</v>
      </c>
      <c r="H25" s="32">
        <v>4</v>
      </c>
      <c r="I25" s="32">
        <v>8</v>
      </c>
      <c r="J25" s="36"/>
      <c r="K25" s="36"/>
      <c r="L25" s="41">
        <v>4</v>
      </c>
      <c r="M25" s="41">
        <v>8</v>
      </c>
      <c r="N25" s="41"/>
      <c r="O25" s="41">
        <v>12</v>
      </c>
      <c r="P25" s="41">
        <v>12</v>
      </c>
      <c r="Q25" s="36" t="s">
        <v>98</v>
      </c>
      <c r="R25" s="36">
        <v>21</v>
      </c>
      <c r="S25" s="32"/>
      <c r="T25" s="32"/>
      <c r="U25" s="32"/>
      <c r="V25" s="32"/>
      <c r="W25" s="32">
        <v>12</v>
      </c>
      <c r="X25" s="36">
        <v>4</v>
      </c>
      <c r="Y25" s="36">
        <v>8</v>
      </c>
      <c r="Z25" s="32"/>
      <c r="AA25" s="32">
        <v>12</v>
      </c>
      <c r="AB25" s="32">
        <v>4</v>
      </c>
      <c r="AC25" s="32">
        <v>8</v>
      </c>
      <c r="AD25" s="32"/>
      <c r="AE25" s="36"/>
      <c r="AF25" s="36"/>
      <c r="AG25" s="32"/>
      <c r="AH25" s="32"/>
      <c r="AI25" s="34">
        <v>4</v>
      </c>
      <c r="AJ25" s="26" t="e">
        <f>_xlfn.CONCAT(#REF!,Tabela13[[#This Row],[FUNKCJONARIUSZ]])</f>
        <v>#REF!</v>
      </c>
      <c r="AK25" s="27" t="e">
        <f t="shared" si="0"/>
        <v>#REF!</v>
      </c>
      <c r="AL25" s="28">
        <f t="shared" si="1"/>
        <v>0</v>
      </c>
      <c r="AM25">
        <f t="shared" si="2"/>
        <v>24</v>
      </c>
      <c r="AN25" s="29">
        <f t="shared" si="3"/>
        <v>141</v>
      </c>
      <c r="AO25" s="1">
        <f t="shared" si="4"/>
        <v>0</v>
      </c>
      <c r="AP25" s="1">
        <v>0</v>
      </c>
    </row>
    <row r="26" spans="1:42" ht="15.9">
      <c r="A26" s="1" t="s">
        <v>67</v>
      </c>
      <c r="B26" s="1" t="s">
        <v>93</v>
      </c>
      <c r="C26" s="203" t="s">
        <v>114</v>
      </c>
      <c r="D26" s="266" t="e">
        <f>#REF!</f>
        <v>#REF!</v>
      </c>
      <c r="E26" s="204"/>
      <c r="F26" s="32"/>
      <c r="G26" s="32" t="s">
        <v>113</v>
      </c>
      <c r="H26" s="32"/>
      <c r="I26" s="32"/>
      <c r="J26" s="36"/>
      <c r="K26" s="36"/>
      <c r="L26" s="32"/>
      <c r="M26" s="32" t="s">
        <v>59</v>
      </c>
      <c r="N26" s="32"/>
      <c r="O26" s="32"/>
      <c r="P26" s="32"/>
      <c r="Q26" s="36"/>
      <c r="R26" s="36"/>
      <c r="S26" s="32"/>
      <c r="T26" s="32"/>
      <c r="U26" s="32"/>
      <c r="V26" s="32"/>
      <c r="W26" s="32"/>
      <c r="X26" s="36"/>
      <c r="Y26" s="36"/>
      <c r="Z26" s="32">
        <v>17</v>
      </c>
      <c r="AA26" s="32" t="s">
        <v>70</v>
      </c>
      <c r="AB26" s="32" t="s">
        <v>70</v>
      </c>
      <c r="AC26" s="32" t="s">
        <v>70</v>
      </c>
      <c r="AD26" s="32" t="s">
        <v>70</v>
      </c>
      <c r="AE26" s="36" t="s">
        <v>70</v>
      </c>
      <c r="AF26" s="36" t="s">
        <v>70</v>
      </c>
      <c r="AG26" s="32" t="s">
        <v>69</v>
      </c>
      <c r="AH26" s="32"/>
      <c r="AI26" s="34"/>
      <c r="AJ26" s="26" t="e">
        <f>_xlfn.CONCAT(#REF!,Tabela13[[#This Row],[FUNKCJONARIUSZ]])</f>
        <v>#REF!</v>
      </c>
      <c r="AK26" s="27" t="e">
        <f t="shared" si="0"/>
        <v>#REF!</v>
      </c>
      <c r="AL26" s="28">
        <f t="shared" si="1"/>
        <v>48</v>
      </c>
      <c r="AM26">
        <f t="shared" si="2"/>
        <v>156</v>
      </c>
      <c r="AN26" s="29">
        <f t="shared" si="3"/>
        <v>17</v>
      </c>
      <c r="AO26" s="1">
        <f t="shared" si="4"/>
        <v>0</v>
      </c>
      <c r="AP26" s="1">
        <v>0</v>
      </c>
    </row>
    <row r="27" spans="1:42" ht="15.9">
      <c r="A27" s="1" t="s">
        <v>63</v>
      </c>
      <c r="B27" s="1" t="s">
        <v>59</v>
      </c>
      <c r="C27" s="203" t="s">
        <v>115</v>
      </c>
      <c r="D27" s="266" t="e">
        <f>#REF!</f>
        <v>#REF!</v>
      </c>
      <c r="E27" s="204">
        <v>8</v>
      </c>
      <c r="F27" s="32">
        <v>5</v>
      </c>
      <c r="G27" s="32">
        <v>8</v>
      </c>
      <c r="H27" s="32">
        <v>8</v>
      </c>
      <c r="I27" s="32">
        <v>8</v>
      </c>
      <c r="J27" s="36"/>
      <c r="K27" s="36" t="s">
        <v>113</v>
      </c>
      <c r="L27" s="32"/>
      <c r="M27" s="32"/>
      <c r="N27" s="32" t="s">
        <v>66</v>
      </c>
      <c r="O27" s="32" t="s">
        <v>59</v>
      </c>
      <c r="P27" s="32"/>
      <c r="Q27" s="36"/>
      <c r="R27" s="36"/>
      <c r="S27" s="32" t="s">
        <v>113</v>
      </c>
      <c r="T27" s="32"/>
      <c r="U27" s="32" t="s">
        <v>66</v>
      </c>
      <c r="V27" s="32" t="s">
        <v>113</v>
      </c>
      <c r="W27" s="32"/>
      <c r="X27" s="36"/>
      <c r="Y27" s="36"/>
      <c r="Z27" s="32"/>
      <c r="AA27" s="32"/>
      <c r="AB27" s="32" t="s">
        <v>66</v>
      </c>
      <c r="AC27" s="32"/>
      <c r="AD27" s="32"/>
      <c r="AE27" s="36"/>
      <c r="AF27" s="36"/>
      <c r="AG27" s="32"/>
      <c r="AH27" s="32"/>
      <c r="AI27" s="34" t="s">
        <v>241</v>
      </c>
      <c r="AJ27" s="26" t="e">
        <f>_xlfn.CONCAT(#REF!,Tabela13[[#This Row],[FUNKCJONARIUSZ]])</f>
        <v>#REF!</v>
      </c>
      <c r="AK27" s="27" t="e">
        <f t="shared" si="0"/>
        <v>#REF!</v>
      </c>
      <c r="AL27" s="28">
        <f t="shared" si="1"/>
        <v>96</v>
      </c>
      <c r="AM27">
        <f t="shared" si="2"/>
        <v>0</v>
      </c>
      <c r="AN27" s="29">
        <f t="shared" si="3"/>
        <v>37</v>
      </c>
      <c r="AO27" s="1">
        <f t="shared" si="4"/>
        <v>0</v>
      </c>
      <c r="AP27" s="1">
        <v>0</v>
      </c>
    </row>
    <row r="28" spans="1:42" s="1" customFormat="1" ht="15.9" hidden="1">
      <c r="A28" s="1" t="s">
        <v>58</v>
      </c>
      <c r="B28" s="1" t="s">
        <v>59</v>
      </c>
      <c r="C28" s="203" t="s">
        <v>170</v>
      </c>
      <c r="D28" s="266" t="e">
        <f>#REF!</f>
        <v>#REF!</v>
      </c>
      <c r="E28" s="204"/>
      <c r="F28" s="32"/>
      <c r="G28" s="32"/>
      <c r="H28" s="32"/>
      <c r="I28" s="32"/>
      <c r="J28" s="36"/>
      <c r="K28" s="36"/>
      <c r="L28" s="32"/>
      <c r="M28" s="32"/>
      <c r="N28" s="32"/>
      <c r="O28" s="32"/>
      <c r="P28" s="32"/>
      <c r="Q28" s="36"/>
      <c r="R28" s="36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6"/>
      <c r="AF28" s="36"/>
      <c r="AG28" s="32"/>
      <c r="AH28" s="32"/>
      <c r="AI28" s="34"/>
      <c r="AJ28" s="26" t="e">
        <f>_xlfn.CONCAT(#REF!,Tabela13[[#This Row],[FUNKCJONARIUSZ]])</f>
        <v>#REF!</v>
      </c>
      <c r="AK28" s="27" t="e">
        <f t="shared" si="0"/>
        <v>#REF!</v>
      </c>
      <c r="AL28" s="28">
        <f t="shared" si="1"/>
        <v>0</v>
      </c>
      <c r="AM28">
        <f t="shared" si="2"/>
        <v>0</v>
      </c>
      <c r="AN28" s="29">
        <f t="shared" si="3"/>
        <v>0</v>
      </c>
      <c r="AO28" s="1">
        <f t="shared" si="4"/>
        <v>0</v>
      </c>
      <c r="AP28" s="1">
        <v>0</v>
      </c>
    </row>
    <row r="29" spans="1:42" ht="15.9">
      <c r="A29" s="1" t="s">
        <v>63</v>
      </c>
      <c r="B29" s="1" t="s">
        <v>73</v>
      </c>
      <c r="C29" s="203" t="s">
        <v>116</v>
      </c>
      <c r="D29" s="266" t="e">
        <f>#REF!</f>
        <v>#REF!</v>
      </c>
      <c r="E29" s="204"/>
      <c r="F29" s="32">
        <v>4</v>
      </c>
      <c r="G29" s="32">
        <v>4</v>
      </c>
      <c r="H29" s="32"/>
      <c r="I29" s="32"/>
      <c r="J29" s="36"/>
      <c r="K29" s="36"/>
      <c r="L29" s="32"/>
      <c r="M29" s="32"/>
      <c r="N29" s="32"/>
      <c r="O29" s="32"/>
      <c r="P29" s="32"/>
      <c r="Q29" s="36"/>
      <c r="R29" s="36"/>
      <c r="S29" s="32">
        <v>16</v>
      </c>
      <c r="T29" s="32" t="s">
        <v>70</v>
      </c>
      <c r="U29" s="32" t="s">
        <v>70</v>
      </c>
      <c r="V29" s="32" t="s">
        <v>70</v>
      </c>
      <c r="W29" s="32" t="s">
        <v>70</v>
      </c>
      <c r="X29" s="36" t="s">
        <v>70</v>
      </c>
      <c r="Y29" s="36" t="s">
        <v>70</v>
      </c>
      <c r="Z29" s="32">
        <v>11</v>
      </c>
      <c r="AA29" s="32"/>
      <c r="AB29" s="32"/>
      <c r="AC29" s="32"/>
      <c r="AD29" s="32"/>
      <c r="AE29" s="36"/>
      <c r="AF29" s="36"/>
      <c r="AG29" s="32"/>
      <c r="AH29" s="32"/>
      <c r="AI29" s="34"/>
      <c r="AJ29" s="26" t="e">
        <f>_xlfn.CONCAT(#REF!,Tabela13[[#This Row],[FUNKCJONARIUSZ]])</f>
        <v>#REF!</v>
      </c>
      <c r="AK29" s="27" t="e">
        <f t="shared" si="0"/>
        <v>#REF!</v>
      </c>
      <c r="AL29" s="28">
        <f t="shared" si="1"/>
        <v>0</v>
      </c>
      <c r="AM29">
        <f t="shared" si="2"/>
        <v>144</v>
      </c>
      <c r="AN29" s="29">
        <f t="shared" si="3"/>
        <v>35</v>
      </c>
      <c r="AO29" s="1">
        <f t="shared" si="4"/>
        <v>0</v>
      </c>
      <c r="AP29" s="1">
        <v>0</v>
      </c>
    </row>
    <row r="30" spans="1:42" ht="15.9">
      <c r="A30" s="1" t="s">
        <v>58</v>
      </c>
      <c r="B30" s="1" t="s">
        <v>93</v>
      </c>
      <c r="C30" s="203" t="s">
        <v>117</v>
      </c>
      <c r="D30" s="266" t="e">
        <f>#REF!</f>
        <v>#REF!</v>
      </c>
      <c r="E30" s="204" t="s">
        <v>61</v>
      </c>
      <c r="F30" s="32"/>
      <c r="G30" s="32"/>
      <c r="H30" s="32"/>
      <c r="I30" s="32"/>
      <c r="J30" s="36"/>
      <c r="K30" s="36"/>
      <c r="L30" s="32"/>
      <c r="M30" s="32"/>
      <c r="N30" s="32"/>
      <c r="O30" s="32"/>
      <c r="P30" s="32"/>
      <c r="Q30" s="36"/>
      <c r="R30" s="36"/>
      <c r="S30" s="32"/>
      <c r="T30" s="32"/>
      <c r="U30" s="32"/>
      <c r="V30" s="32"/>
      <c r="W30" s="32"/>
      <c r="X30" s="36"/>
      <c r="Y30" s="36"/>
      <c r="Z30" s="32"/>
      <c r="AA30" s="32"/>
      <c r="AB30" s="32"/>
      <c r="AC30" s="32"/>
      <c r="AD30" s="32"/>
      <c r="AE30" s="36"/>
      <c r="AF30" s="36"/>
      <c r="AG30" s="32"/>
      <c r="AH30" s="32"/>
      <c r="AI30" s="34" t="s">
        <v>241</v>
      </c>
      <c r="AJ30" s="26" t="e">
        <f>_xlfn.CONCAT(#REF!,Tabela13[[#This Row],[FUNKCJONARIUSZ]])</f>
        <v>#REF!</v>
      </c>
      <c r="AK30" s="27" t="e">
        <f t="shared" si="0"/>
        <v>#REF!</v>
      </c>
      <c r="AL30" s="28">
        <f t="shared" si="1"/>
        <v>0</v>
      </c>
      <c r="AM30">
        <f t="shared" si="2"/>
        <v>12</v>
      </c>
      <c r="AN30" s="29">
        <f t="shared" si="3"/>
        <v>0</v>
      </c>
      <c r="AO30" s="1">
        <f t="shared" si="4"/>
        <v>0</v>
      </c>
      <c r="AP30" s="1">
        <v>0</v>
      </c>
    </row>
    <row r="31" spans="1:42" ht="15.9">
      <c r="A31" s="1" t="s">
        <v>105</v>
      </c>
      <c r="B31" s="1" t="s">
        <v>59</v>
      </c>
      <c r="C31" s="203" t="s">
        <v>118</v>
      </c>
      <c r="D31" s="266" t="e">
        <f>#REF!</f>
        <v>#REF!</v>
      </c>
      <c r="E31" s="204" t="s">
        <v>103</v>
      </c>
      <c r="F31" s="32" t="s">
        <v>103</v>
      </c>
      <c r="G31" s="32" t="s">
        <v>103</v>
      </c>
      <c r="H31" s="32" t="s">
        <v>103</v>
      </c>
      <c r="I31" s="32"/>
      <c r="J31" s="36"/>
      <c r="K31" s="36"/>
      <c r="L31" s="32" t="s">
        <v>75</v>
      </c>
      <c r="M31" s="32" t="s">
        <v>75</v>
      </c>
      <c r="N31" s="32" t="s">
        <v>75</v>
      </c>
      <c r="O31" s="32" t="s">
        <v>75</v>
      </c>
      <c r="P31" s="32" t="s">
        <v>75</v>
      </c>
      <c r="Q31" s="36"/>
      <c r="R31" s="36"/>
      <c r="S31" s="32" t="s">
        <v>75</v>
      </c>
      <c r="T31" s="32" t="s">
        <v>75</v>
      </c>
      <c r="U31" s="32" t="s">
        <v>75</v>
      </c>
      <c r="V31" s="32" t="s">
        <v>75</v>
      </c>
      <c r="W31" s="32" t="s">
        <v>75</v>
      </c>
      <c r="X31" s="36"/>
      <c r="Y31" s="36" t="s">
        <v>113</v>
      </c>
      <c r="Z31" s="32"/>
      <c r="AA31" s="32"/>
      <c r="AB31" s="32" t="s">
        <v>113</v>
      </c>
      <c r="AC31" s="32"/>
      <c r="AD31" s="32"/>
      <c r="AE31" s="36" t="s">
        <v>113</v>
      </c>
      <c r="AF31" s="36"/>
      <c r="AG31" s="32"/>
      <c r="AH31" s="32" t="s">
        <v>113</v>
      </c>
      <c r="AI31" s="34"/>
      <c r="AJ31" s="26" t="e">
        <f>_xlfn.CONCAT(#REF!,Tabela13[[#This Row],[FUNKCJONARIUSZ]])</f>
        <v>#REF!</v>
      </c>
      <c r="AK31" s="27" t="e">
        <f t="shared" si="0"/>
        <v>#REF!</v>
      </c>
      <c r="AL31" s="28">
        <f t="shared" si="1"/>
        <v>96</v>
      </c>
      <c r="AM31">
        <f t="shared" si="2"/>
        <v>0</v>
      </c>
      <c r="AN31" s="29">
        <f t="shared" si="3"/>
        <v>80</v>
      </c>
      <c r="AO31" s="1">
        <f t="shared" si="4"/>
        <v>0</v>
      </c>
      <c r="AP31" s="1">
        <v>0</v>
      </c>
    </row>
    <row r="32" spans="1:42" ht="15.9">
      <c r="A32" s="1" t="s">
        <v>58</v>
      </c>
      <c r="B32" s="1" t="s">
        <v>73</v>
      </c>
      <c r="C32" s="212" t="s">
        <v>119</v>
      </c>
      <c r="D32" s="266" t="e">
        <f>#REF!</f>
        <v>#REF!</v>
      </c>
      <c r="E32" s="96">
        <v>7</v>
      </c>
      <c r="F32" s="51"/>
      <c r="G32" s="51"/>
      <c r="H32" s="51"/>
      <c r="I32" s="51"/>
      <c r="J32" s="213"/>
      <c r="K32" s="213"/>
      <c r="L32" s="51"/>
      <c r="M32" s="51">
        <v>8</v>
      </c>
      <c r="N32" s="51">
        <v>8</v>
      </c>
      <c r="O32" s="51"/>
      <c r="P32" s="51">
        <v>5.5</v>
      </c>
      <c r="Q32" s="213"/>
      <c r="R32" s="213"/>
      <c r="S32" s="51">
        <v>7.5</v>
      </c>
      <c r="T32" s="51">
        <v>8.5</v>
      </c>
      <c r="U32" s="51"/>
      <c r="V32" s="51"/>
      <c r="W32" s="51">
        <v>3</v>
      </c>
      <c r="X32" s="213"/>
      <c r="Y32" s="213"/>
      <c r="Z32" s="51">
        <v>17</v>
      </c>
      <c r="AA32" s="51" t="s">
        <v>70</v>
      </c>
      <c r="AB32" s="51" t="s">
        <v>70</v>
      </c>
      <c r="AC32" s="51" t="s">
        <v>70</v>
      </c>
      <c r="AD32" s="51" t="s">
        <v>70</v>
      </c>
      <c r="AE32" s="213" t="s">
        <v>70</v>
      </c>
      <c r="AF32" s="213" t="s">
        <v>70</v>
      </c>
      <c r="AG32" s="51" t="s">
        <v>69</v>
      </c>
      <c r="AH32" s="51"/>
      <c r="AI32" s="53"/>
      <c r="AJ32" s="26" t="e">
        <f>_xlfn.CONCAT(#REF!,Tabela13[[#This Row],[FUNKCJONARIUSZ]])</f>
        <v>#REF!</v>
      </c>
      <c r="AK32" s="27" t="e">
        <f t="shared" si="0"/>
        <v>#REF!</v>
      </c>
      <c r="AL32" s="28">
        <f t="shared" si="1"/>
        <v>0</v>
      </c>
      <c r="AM32">
        <f t="shared" si="2"/>
        <v>156</v>
      </c>
      <c r="AN32" s="29">
        <f t="shared" si="3"/>
        <v>64.5</v>
      </c>
      <c r="AO32" s="1">
        <f t="shared" si="4"/>
        <v>0</v>
      </c>
      <c r="AP32" s="1">
        <v>0</v>
      </c>
    </row>
    <row r="33" spans="2:42" s="55" customFormat="1" ht="15.9">
      <c r="C33" s="278"/>
      <c r="D33" s="279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 t="s">
        <v>243</v>
      </c>
      <c r="AA33" s="280" t="s">
        <v>243</v>
      </c>
      <c r="AB33" s="280" t="s">
        <v>243</v>
      </c>
      <c r="AC33" s="280" t="s">
        <v>243</v>
      </c>
      <c r="AD33" s="280" t="s">
        <v>243</v>
      </c>
      <c r="AE33" s="280" t="s">
        <v>243</v>
      </c>
      <c r="AF33" s="280" t="s">
        <v>243</v>
      </c>
      <c r="AG33" s="281" t="s">
        <v>243</v>
      </c>
      <c r="AH33" s="282"/>
      <c r="AI33" s="282"/>
      <c r="AJ33" s="283"/>
      <c r="AK33" s="282" t="e">
        <f>s</f>
        <v>#NAME?</v>
      </c>
      <c r="AL33" s="284"/>
      <c r="AM33" s="285"/>
      <c r="AN33" s="286"/>
    </row>
    <row r="34" spans="2:42" ht="15.9">
      <c r="B34" s="61"/>
      <c r="C34" s="62" t="s">
        <v>120</v>
      </c>
      <c r="D34" s="63"/>
      <c r="E34" s="64">
        <f t="shared" ref="E34:AI34" si="5">COUNTIF(E2:E32,"D")</f>
        <v>1</v>
      </c>
      <c r="F34" s="64">
        <f t="shared" si="5"/>
        <v>1</v>
      </c>
      <c r="G34" s="64">
        <f t="shared" si="5"/>
        <v>1</v>
      </c>
      <c r="H34" s="64">
        <f t="shared" si="5"/>
        <v>1</v>
      </c>
      <c r="I34" s="64">
        <f t="shared" si="5"/>
        <v>1</v>
      </c>
      <c r="J34" s="64">
        <f t="shared" si="5"/>
        <v>1</v>
      </c>
      <c r="K34" s="64">
        <f t="shared" si="5"/>
        <v>1</v>
      </c>
      <c r="L34" s="64">
        <f t="shared" si="5"/>
        <v>1</v>
      </c>
      <c r="M34" s="64">
        <f t="shared" si="5"/>
        <v>1</v>
      </c>
      <c r="N34" s="64">
        <f t="shared" si="5"/>
        <v>1</v>
      </c>
      <c r="O34" s="64">
        <f t="shared" si="5"/>
        <v>1</v>
      </c>
      <c r="P34" s="64">
        <f t="shared" si="5"/>
        <v>1</v>
      </c>
      <c r="Q34" s="64">
        <f t="shared" si="5"/>
        <v>1</v>
      </c>
      <c r="R34" s="64">
        <f t="shared" si="5"/>
        <v>1</v>
      </c>
      <c r="S34" s="64">
        <f t="shared" si="5"/>
        <v>1</v>
      </c>
      <c r="T34" s="64">
        <f t="shared" si="5"/>
        <v>1</v>
      </c>
      <c r="U34" s="64">
        <f t="shared" si="5"/>
        <v>1</v>
      </c>
      <c r="V34" s="64">
        <f t="shared" si="5"/>
        <v>1</v>
      </c>
      <c r="W34" s="64">
        <f t="shared" si="5"/>
        <v>1</v>
      </c>
      <c r="X34" s="64">
        <f t="shared" si="5"/>
        <v>1</v>
      </c>
      <c r="Y34" s="64">
        <f t="shared" si="5"/>
        <v>1</v>
      </c>
      <c r="Z34" s="64">
        <f t="shared" si="5"/>
        <v>1</v>
      </c>
      <c r="AA34" s="64">
        <f t="shared" si="5"/>
        <v>1</v>
      </c>
      <c r="AB34" s="64">
        <f t="shared" si="5"/>
        <v>1</v>
      </c>
      <c r="AC34" s="64">
        <f t="shared" si="5"/>
        <v>1</v>
      </c>
      <c r="AD34" s="64">
        <f t="shared" si="5"/>
        <v>1</v>
      </c>
      <c r="AE34" s="64">
        <f t="shared" si="5"/>
        <v>1</v>
      </c>
      <c r="AF34" s="64">
        <f t="shared" si="5"/>
        <v>1</v>
      </c>
      <c r="AG34" s="64">
        <f t="shared" si="5"/>
        <v>1</v>
      </c>
      <c r="AH34" s="64">
        <f t="shared" si="5"/>
        <v>1</v>
      </c>
      <c r="AI34" s="64">
        <f t="shared" si="5"/>
        <v>1</v>
      </c>
      <c r="AJ34"/>
      <c r="AK34" s="27"/>
      <c r="AL34" s="28"/>
      <c r="AM34"/>
      <c r="AN34" s="29"/>
    </row>
    <row r="35" spans="2:42" ht="15.9">
      <c r="B35" s="61"/>
      <c r="C35" s="65" t="s">
        <v>121</v>
      </c>
      <c r="D35" s="66"/>
      <c r="E35" s="64">
        <f t="shared" ref="E35:AI35" si="6">COUNTIF(E52:E102,"D")</f>
        <v>2</v>
      </c>
      <c r="F35" s="64">
        <f t="shared" si="6"/>
        <v>1</v>
      </c>
      <c r="G35" s="64">
        <f t="shared" si="6"/>
        <v>2</v>
      </c>
      <c r="H35" s="64">
        <f t="shared" si="6"/>
        <v>2</v>
      </c>
      <c r="I35" s="64">
        <f t="shared" si="6"/>
        <v>2</v>
      </c>
      <c r="J35" s="64">
        <f t="shared" si="6"/>
        <v>2</v>
      </c>
      <c r="K35" s="64">
        <f t="shared" si="6"/>
        <v>2</v>
      </c>
      <c r="L35" s="64">
        <f t="shared" si="6"/>
        <v>2</v>
      </c>
      <c r="M35" s="64">
        <f t="shared" si="6"/>
        <v>2</v>
      </c>
      <c r="N35" s="64">
        <f t="shared" si="6"/>
        <v>2</v>
      </c>
      <c r="O35" s="64">
        <f t="shared" si="6"/>
        <v>2</v>
      </c>
      <c r="P35" s="64">
        <f t="shared" si="6"/>
        <v>2</v>
      </c>
      <c r="Q35" s="64">
        <f t="shared" si="6"/>
        <v>2</v>
      </c>
      <c r="R35" s="64">
        <f t="shared" si="6"/>
        <v>1</v>
      </c>
      <c r="S35" s="64">
        <f t="shared" si="6"/>
        <v>2</v>
      </c>
      <c r="T35" s="64">
        <f t="shared" si="6"/>
        <v>2</v>
      </c>
      <c r="U35" s="64">
        <f t="shared" si="6"/>
        <v>1</v>
      </c>
      <c r="V35" s="64">
        <f t="shared" si="6"/>
        <v>1</v>
      </c>
      <c r="W35" s="64">
        <f t="shared" si="6"/>
        <v>2</v>
      </c>
      <c r="X35" s="64">
        <f t="shared" si="6"/>
        <v>2</v>
      </c>
      <c r="Y35" s="64">
        <f t="shared" si="6"/>
        <v>2</v>
      </c>
      <c r="Z35" s="64">
        <f t="shared" si="6"/>
        <v>3</v>
      </c>
      <c r="AA35" s="64">
        <f t="shared" si="6"/>
        <v>2</v>
      </c>
      <c r="AB35" s="64">
        <f t="shared" si="6"/>
        <v>1</v>
      </c>
      <c r="AC35" s="64">
        <f t="shared" si="6"/>
        <v>3</v>
      </c>
      <c r="AD35" s="64">
        <f t="shared" si="6"/>
        <v>2</v>
      </c>
      <c r="AE35" s="64">
        <f t="shared" si="6"/>
        <v>2</v>
      </c>
      <c r="AF35" s="287">
        <f t="shared" si="6"/>
        <v>2</v>
      </c>
      <c r="AG35" s="287">
        <f t="shared" si="6"/>
        <v>1</v>
      </c>
      <c r="AH35" s="287">
        <f t="shared" si="6"/>
        <v>2</v>
      </c>
      <c r="AI35" s="287">
        <f t="shared" si="6"/>
        <v>0</v>
      </c>
      <c r="AJ35"/>
      <c r="AK35" s="27"/>
      <c r="AL35" s="28"/>
      <c r="AM35"/>
      <c r="AN35" s="29"/>
    </row>
    <row r="36" spans="2:42">
      <c r="C36" s="67" t="s">
        <v>122</v>
      </c>
      <c r="D36" s="68"/>
      <c r="E36" s="64">
        <f t="shared" ref="E36:AI36" si="7">COUNTIF(E2:E32,"S")+COUNTIF(E52:E102,"S")</f>
        <v>0</v>
      </c>
      <c r="F36" s="64">
        <f t="shared" si="7"/>
        <v>2</v>
      </c>
      <c r="G36" s="64">
        <f t="shared" si="7"/>
        <v>3</v>
      </c>
      <c r="H36" s="64">
        <f t="shared" si="7"/>
        <v>3</v>
      </c>
      <c r="I36" s="64">
        <f t="shared" si="7"/>
        <v>3</v>
      </c>
      <c r="J36" s="64">
        <f t="shared" si="7"/>
        <v>4</v>
      </c>
      <c r="K36" s="64">
        <f t="shared" si="7"/>
        <v>4</v>
      </c>
      <c r="L36" s="64">
        <f t="shared" si="7"/>
        <v>0</v>
      </c>
      <c r="M36" s="64">
        <f t="shared" si="7"/>
        <v>4</v>
      </c>
      <c r="N36" s="64">
        <f t="shared" si="7"/>
        <v>4</v>
      </c>
      <c r="O36" s="64">
        <f t="shared" si="7"/>
        <v>4</v>
      </c>
      <c r="P36" s="64">
        <f t="shared" si="7"/>
        <v>2</v>
      </c>
      <c r="Q36" s="64">
        <f t="shared" si="7"/>
        <v>4</v>
      </c>
      <c r="R36" s="64">
        <f t="shared" si="7"/>
        <v>4</v>
      </c>
      <c r="S36" s="64">
        <f t="shared" si="7"/>
        <v>0</v>
      </c>
      <c r="T36" s="64">
        <f t="shared" si="7"/>
        <v>4</v>
      </c>
      <c r="U36" s="64">
        <f t="shared" si="7"/>
        <v>4</v>
      </c>
      <c r="V36" s="64">
        <f t="shared" si="7"/>
        <v>4</v>
      </c>
      <c r="W36" s="64">
        <f t="shared" si="7"/>
        <v>4</v>
      </c>
      <c r="X36" s="64">
        <f t="shared" si="7"/>
        <v>4</v>
      </c>
      <c r="Y36" s="64">
        <f t="shared" si="7"/>
        <v>4</v>
      </c>
      <c r="Z36" s="64">
        <f t="shared" si="7"/>
        <v>0</v>
      </c>
      <c r="AA36" s="64">
        <f t="shared" si="7"/>
        <v>4</v>
      </c>
      <c r="AB36" s="64">
        <f t="shared" si="7"/>
        <v>4</v>
      </c>
      <c r="AC36" s="64">
        <f t="shared" si="7"/>
        <v>4</v>
      </c>
      <c r="AD36" s="64">
        <f t="shared" si="7"/>
        <v>4</v>
      </c>
      <c r="AE36" s="64">
        <f t="shared" si="7"/>
        <v>4</v>
      </c>
      <c r="AF36" s="64">
        <f t="shared" si="7"/>
        <v>4</v>
      </c>
      <c r="AG36" s="64">
        <f t="shared" si="7"/>
        <v>0</v>
      </c>
      <c r="AH36" s="64">
        <f t="shared" si="7"/>
        <v>4</v>
      </c>
      <c r="AI36" s="64">
        <f t="shared" si="7"/>
        <v>5</v>
      </c>
      <c r="AJ36"/>
      <c r="AK36" s="27"/>
      <c r="AL36" s="28"/>
      <c r="AM36"/>
      <c r="AN36" s="29"/>
    </row>
    <row r="37" spans="2:42">
      <c r="C37" s="69" t="s">
        <v>123</v>
      </c>
      <c r="D37" s="70"/>
      <c r="E37" s="64">
        <f t="shared" ref="E37:AI37" si="8">COUNTIF(E2:E34,"K")+COUNTIF(E53:E103,"K")</f>
        <v>4</v>
      </c>
      <c r="F37" s="64">
        <f t="shared" si="8"/>
        <v>0</v>
      </c>
      <c r="G37" s="64">
        <f t="shared" si="8"/>
        <v>4</v>
      </c>
      <c r="H37" s="64">
        <f t="shared" si="8"/>
        <v>4</v>
      </c>
      <c r="I37" s="64">
        <f t="shared" si="8"/>
        <v>4</v>
      </c>
      <c r="J37" s="64">
        <f t="shared" si="8"/>
        <v>4</v>
      </c>
      <c r="K37" s="64">
        <f t="shared" si="8"/>
        <v>4</v>
      </c>
      <c r="L37" s="64">
        <f t="shared" si="8"/>
        <v>4</v>
      </c>
      <c r="M37" s="64">
        <f t="shared" si="8"/>
        <v>0</v>
      </c>
      <c r="N37" s="64">
        <f t="shared" si="8"/>
        <v>4</v>
      </c>
      <c r="O37" s="64">
        <f t="shared" si="8"/>
        <v>4</v>
      </c>
      <c r="P37" s="64">
        <f t="shared" si="8"/>
        <v>4</v>
      </c>
      <c r="Q37" s="64">
        <f t="shared" si="8"/>
        <v>4</v>
      </c>
      <c r="R37" s="64">
        <f t="shared" si="8"/>
        <v>4</v>
      </c>
      <c r="S37" s="64">
        <f t="shared" si="8"/>
        <v>4</v>
      </c>
      <c r="T37" s="64">
        <f t="shared" si="8"/>
        <v>0</v>
      </c>
      <c r="U37" s="64">
        <f t="shared" si="8"/>
        <v>4</v>
      </c>
      <c r="V37" s="64">
        <f t="shared" si="8"/>
        <v>4</v>
      </c>
      <c r="W37" s="64">
        <f t="shared" si="8"/>
        <v>3</v>
      </c>
      <c r="X37" s="64">
        <f t="shared" si="8"/>
        <v>4</v>
      </c>
      <c r="Y37" s="64">
        <f t="shared" si="8"/>
        <v>3</v>
      </c>
      <c r="Z37" s="64">
        <f t="shared" si="8"/>
        <v>2</v>
      </c>
      <c r="AA37" s="64">
        <f t="shared" si="8"/>
        <v>3</v>
      </c>
      <c r="AB37" s="64">
        <f t="shared" si="8"/>
        <v>3</v>
      </c>
      <c r="AC37" s="64">
        <f t="shared" si="8"/>
        <v>3</v>
      </c>
      <c r="AD37" s="64">
        <f t="shared" si="8"/>
        <v>1</v>
      </c>
      <c r="AE37" s="64">
        <f t="shared" si="8"/>
        <v>3</v>
      </c>
      <c r="AF37" s="64">
        <f t="shared" si="8"/>
        <v>3</v>
      </c>
      <c r="AG37" s="64">
        <f t="shared" si="8"/>
        <v>3</v>
      </c>
      <c r="AH37" s="64">
        <f t="shared" si="8"/>
        <v>0</v>
      </c>
      <c r="AI37" s="64">
        <f t="shared" si="8"/>
        <v>4</v>
      </c>
      <c r="AJ37"/>
      <c r="AK37" s="27"/>
      <c r="AL37" s="28"/>
      <c r="AM37"/>
      <c r="AN37" s="29"/>
    </row>
    <row r="38" spans="2:42" ht="15.9">
      <c r="C38" s="56"/>
      <c r="D38" s="57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97"/>
      <c r="AH38" s="98"/>
      <c r="AI38" s="27"/>
      <c r="AJ38"/>
      <c r="AK38" s="27"/>
      <c r="AL38" s="28"/>
      <c r="AM38"/>
      <c r="AN38" s="29"/>
    </row>
    <row r="39" spans="2:42" s="73" customFormat="1">
      <c r="C39" s="660" t="s">
        <v>122</v>
      </c>
      <c r="D39" s="660"/>
      <c r="E39" s="99"/>
      <c r="F39" s="661" t="s">
        <v>173</v>
      </c>
      <c r="G39" s="661"/>
      <c r="H39" s="661"/>
      <c r="I39" s="100"/>
      <c r="J39" s="693" t="s">
        <v>173</v>
      </c>
      <c r="K39" s="693"/>
      <c r="L39" s="100"/>
      <c r="M39" s="661" t="s">
        <v>125</v>
      </c>
      <c r="N39" s="661"/>
      <c r="O39" s="661"/>
      <c r="P39" s="100"/>
      <c r="Q39" s="661" t="s">
        <v>244</v>
      </c>
      <c r="R39" s="661"/>
      <c r="S39" s="100"/>
      <c r="T39" s="661" t="s">
        <v>127</v>
      </c>
      <c r="U39" s="661"/>
      <c r="V39" s="661"/>
      <c r="W39" s="100"/>
      <c r="X39" s="661" t="s">
        <v>127</v>
      </c>
      <c r="Y39" s="661"/>
      <c r="Z39" s="100"/>
      <c r="AA39" s="661" t="s">
        <v>129</v>
      </c>
      <c r="AB39" s="661"/>
      <c r="AC39" s="661"/>
      <c r="AD39" s="100"/>
      <c r="AE39" s="658" t="s">
        <v>129</v>
      </c>
      <c r="AF39" s="658"/>
      <c r="AG39" s="101"/>
      <c r="AH39" s="658" t="s">
        <v>125</v>
      </c>
      <c r="AI39" s="658"/>
      <c r="AJ39" s="80"/>
      <c r="AK39" s="27"/>
      <c r="AL39" s="28"/>
      <c r="AM39"/>
      <c r="AN39" s="29"/>
      <c r="AO39" s="1"/>
      <c r="AP39" s="1"/>
    </row>
    <row r="40" spans="2:42" s="73" customFormat="1">
      <c r="C40" s="660"/>
      <c r="D40" s="660"/>
      <c r="E40" s="102"/>
      <c r="F40" s="653" t="s">
        <v>245</v>
      </c>
      <c r="G40" s="653"/>
      <c r="H40" s="653"/>
      <c r="I40" s="103"/>
      <c r="J40" s="654" t="s">
        <v>133</v>
      </c>
      <c r="K40" s="654"/>
      <c r="L40" s="103"/>
      <c r="M40" s="653" t="s">
        <v>130</v>
      </c>
      <c r="N40" s="653"/>
      <c r="O40" s="653"/>
      <c r="P40" s="103"/>
      <c r="Q40" s="653" t="s">
        <v>130</v>
      </c>
      <c r="R40" s="653"/>
      <c r="S40" s="103"/>
      <c r="T40" s="653" t="s">
        <v>135</v>
      </c>
      <c r="U40" s="653"/>
      <c r="V40" s="653"/>
      <c r="W40" s="103"/>
      <c r="X40" s="653" t="s">
        <v>135</v>
      </c>
      <c r="Y40" s="653"/>
      <c r="Z40" s="103"/>
      <c r="AA40" s="653" t="s">
        <v>174</v>
      </c>
      <c r="AB40" s="653"/>
      <c r="AC40" s="653"/>
      <c r="AD40" s="103"/>
      <c r="AE40" s="648" t="s">
        <v>174</v>
      </c>
      <c r="AF40" s="648"/>
      <c r="AG40" s="104"/>
      <c r="AH40" s="648" t="s">
        <v>134</v>
      </c>
      <c r="AI40" s="648"/>
      <c r="AJ40" s="80"/>
      <c r="AK40" s="27"/>
      <c r="AL40" s="28"/>
      <c r="AM40"/>
      <c r="AN40" s="29"/>
      <c r="AO40" s="1"/>
      <c r="AP40" s="1"/>
    </row>
    <row r="41" spans="2:42" s="73" customFormat="1">
      <c r="C41" s="660"/>
      <c r="D41" s="660"/>
      <c r="E41" s="102"/>
      <c r="F41" s="653" t="s">
        <v>142</v>
      </c>
      <c r="G41" s="653"/>
      <c r="H41" s="653"/>
      <c r="I41" s="103"/>
      <c r="J41" s="654" t="s">
        <v>142</v>
      </c>
      <c r="K41" s="654"/>
      <c r="L41" s="103"/>
      <c r="M41" s="705" t="s">
        <v>140</v>
      </c>
      <c r="N41" s="705"/>
      <c r="O41" s="705"/>
      <c r="P41" s="103"/>
      <c r="Q41" s="653" t="s">
        <v>140</v>
      </c>
      <c r="R41" s="653"/>
      <c r="S41" s="103"/>
      <c r="T41" s="653" t="s">
        <v>136</v>
      </c>
      <c r="U41" s="653"/>
      <c r="V41" s="653"/>
      <c r="W41" s="103"/>
      <c r="X41" s="653" t="s">
        <v>136</v>
      </c>
      <c r="Y41" s="653"/>
      <c r="Z41" s="103"/>
      <c r="AA41" s="653" t="s">
        <v>197</v>
      </c>
      <c r="AB41" s="653"/>
      <c r="AC41" s="653"/>
      <c r="AD41" s="103"/>
      <c r="AE41" s="648" t="s">
        <v>137</v>
      </c>
      <c r="AF41" s="648"/>
      <c r="AG41" s="105"/>
      <c r="AH41" s="648" t="s">
        <v>246</v>
      </c>
      <c r="AI41" s="648"/>
      <c r="AJ41" s="80"/>
      <c r="AK41" s="27"/>
      <c r="AL41" s="28"/>
      <c r="AM41"/>
      <c r="AN41" s="29"/>
      <c r="AO41" s="1"/>
      <c r="AP41" s="1"/>
    </row>
    <row r="42" spans="2:42" s="73" customFormat="1">
      <c r="C42" s="660"/>
      <c r="D42" s="660"/>
      <c r="E42" s="106"/>
      <c r="F42" s="649" t="s">
        <v>143</v>
      </c>
      <c r="G42" s="649"/>
      <c r="H42" s="649"/>
      <c r="I42" s="107"/>
      <c r="J42" s="650" t="s">
        <v>149</v>
      </c>
      <c r="K42" s="650"/>
      <c r="L42" s="107"/>
      <c r="M42" s="649" t="s">
        <v>145</v>
      </c>
      <c r="N42" s="649"/>
      <c r="O42" s="649"/>
      <c r="P42" s="107"/>
      <c r="Q42" s="649" t="s">
        <v>151</v>
      </c>
      <c r="R42" s="649"/>
      <c r="S42" s="107"/>
      <c r="T42" s="649" t="s">
        <v>175</v>
      </c>
      <c r="U42" s="649"/>
      <c r="V42" s="649"/>
      <c r="W42" s="107"/>
      <c r="X42" s="649" t="s">
        <v>175</v>
      </c>
      <c r="Y42" s="649"/>
      <c r="Z42" s="107"/>
      <c r="AA42" s="649" t="s">
        <v>147</v>
      </c>
      <c r="AB42" s="649"/>
      <c r="AC42" s="649"/>
      <c r="AD42" s="107"/>
      <c r="AE42" s="651" t="s">
        <v>147</v>
      </c>
      <c r="AF42" s="651"/>
      <c r="AG42" s="108"/>
      <c r="AH42" s="651" t="s">
        <v>143</v>
      </c>
      <c r="AI42" s="651"/>
      <c r="AJ42" s="80"/>
      <c r="AK42" s="27"/>
      <c r="AL42" s="28"/>
      <c r="AM42"/>
      <c r="AN42" s="29"/>
      <c r="AO42" s="1"/>
      <c r="AP42" s="1"/>
    </row>
    <row r="43" spans="2:42" s="73" customFormat="1">
      <c r="C43" s="77"/>
      <c r="D43" s="77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109"/>
      <c r="AH43" s="110"/>
      <c r="AI43" s="79"/>
      <c r="AJ43" s="80"/>
      <c r="AK43" s="27"/>
      <c r="AL43" s="28"/>
      <c r="AM43"/>
      <c r="AN43" s="29"/>
      <c r="AO43" s="1"/>
      <c r="AP43" s="1"/>
    </row>
    <row r="44" spans="2:42" s="73" customFormat="1" ht="11.25" customHeight="1">
      <c r="C44" s="655" t="s">
        <v>123</v>
      </c>
      <c r="D44" s="655"/>
      <c r="E44" s="99"/>
      <c r="F44" s="656" t="s">
        <v>247</v>
      </c>
      <c r="G44" s="656"/>
      <c r="H44" s="656"/>
      <c r="I44" s="100"/>
      <c r="J44" s="657" t="s">
        <v>247</v>
      </c>
      <c r="K44" s="657"/>
      <c r="L44" s="100"/>
      <c r="M44" s="656" t="s">
        <v>248</v>
      </c>
      <c r="N44" s="656"/>
      <c r="O44" s="656"/>
      <c r="P44" s="100"/>
      <c r="Q44" s="657" t="s">
        <v>248</v>
      </c>
      <c r="R44" s="657"/>
      <c r="S44" s="100"/>
      <c r="T44" s="656" t="s">
        <v>205</v>
      </c>
      <c r="U44" s="656"/>
      <c r="V44" s="656"/>
      <c r="W44" s="100"/>
      <c r="X44" s="656" t="s">
        <v>205</v>
      </c>
      <c r="Y44" s="656"/>
      <c r="Z44" s="100"/>
      <c r="AA44" s="656" t="s">
        <v>202</v>
      </c>
      <c r="AB44" s="656"/>
      <c r="AC44" s="656"/>
      <c r="AD44" s="100"/>
      <c r="AE44" s="652" t="s">
        <v>202</v>
      </c>
      <c r="AF44" s="652"/>
      <c r="AG44" s="113"/>
      <c r="AH44" s="652"/>
      <c r="AI44" s="652"/>
      <c r="AJ44" s="80"/>
      <c r="AK44" s="27"/>
      <c r="AL44" s="28"/>
      <c r="AM44"/>
      <c r="AN44" s="29"/>
      <c r="AO44" s="1"/>
      <c r="AP44" s="1"/>
    </row>
    <row r="45" spans="2:42" s="73" customFormat="1" ht="11.25" customHeight="1">
      <c r="C45" s="655"/>
      <c r="D45" s="655"/>
      <c r="E45" s="102"/>
      <c r="F45" s="654" t="s">
        <v>249</v>
      </c>
      <c r="G45" s="654"/>
      <c r="H45" s="654"/>
      <c r="I45" s="103"/>
      <c r="J45" s="654" t="s">
        <v>249</v>
      </c>
      <c r="K45" s="654"/>
      <c r="L45" s="103"/>
      <c r="M45" s="653" t="s">
        <v>250</v>
      </c>
      <c r="N45" s="653"/>
      <c r="O45" s="653"/>
      <c r="P45" s="103"/>
      <c r="Q45" s="654" t="s">
        <v>250</v>
      </c>
      <c r="R45" s="654"/>
      <c r="S45" s="103"/>
      <c r="T45" s="654" t="s">
        <v>209</v>
      </c>
      <c r="U45" s="654"/>
      <c r="V45" s="654"/>
      <c r="W45" s="103"/>
      <c r="X45" s="653" t="s">
        <v>209</v>
      </c>
      <c r="Y45" s="653"/>
      <c r="Z45" s="103"/>
      <c r="AA45" s="653" t="s">
        <v>251</v>
      </c>
      <c r="AB45" s="653"/>
      <c r="AC45" s="653"/>
      <c r="AD45" s="103"/>
      <c r="AE45" s="648" t="s">
        <v>251</v>
      </c>
      <c r="AF45" s="648"/>
      <c r="AG45" s="104"/>
      <c r="AH45" s="648"/>
      <c r="AI45" s="648"/>
      <c r="AJ45" s="80"/>
      <c r="AK45" s="27"/>
      <c r="AL45" s="28"/>
      <c r="AM45"/>
      <c r="AN45" s="29"/>
      <c r="AO45" s="1"/>
      <c r="AP45" s="1"/>
    </row>
    <row r="46" spans="2:42" s="73" customFormat="1" ht="11.25" customHeight="1">
      <c r="C46" s="655"/>
      <c r="D46" s="655"/>
      <c r="E46" s="102"/>
      <c r="F46" s="653" t="s">
        <v>252</v>
      </c>
      <c r="G46" s="653"/>
      <c r="H46" s="653"/>
      <c r="I46" s="103"/>
      <c r="J46" s="654" t="s">
        <v>252</v>
      </c>
      <c r="K46" s="654"/>
      <c r="L46" s="103"/>
      <c r="M46" s="653" t="s">
        <v>253</v>
      </c>
      <c r="N46" s="653"/>
      <c r="O46" s="653"/>
      <c r="P46" s="103"/>
      <c r="Q46" s="654" t="s">
        <v>253</v>
      </c>
      <c r="R46" s="654"/>
      <c r="S46" s="103"/>
      <c r="T46" s="653" t="s">
        <v>212</v>
      </c>
      <c r="U46" s="653"/>
      <c r="V46" s="653"/>
      <c r="W46" s="103"/>
      <c r="X46" s="653" t="s">
        <v>212</v>
      </c>
      <c r="Y46" s="653"/>
      <c r="Z46" s="103"/>
      <c r="AA46" s="653" t="s">
        <v>196</v>
      </c>
      <c r="AB46" s="653"/>
      <c r="AC46" s="653"/>
      <c r="AD46" s="103"/>
      <c r="AE46" s="648" t="s">
        <v>196</v>
      </c>
      <c r="AF46" s="648"/>
      <c r="AG46" s="104"/>
      <c r="AH46" s="648"/>
      <c r="AI46" s="648"/>
      <c r="AJ46" s="80"/>
      <c r="AK46" s="27"/>
      <c r="AL46" s="28"/>
      <c r="AM46"/>
      <c r="AN46" s="29"/>
      <c r="AO46" s="1"/>
      <c r="AP46" s="1"/>
    </row>
    <row r="47" spans="2:42" s="73" customFormat="1" ht="11.25" customHeight="1">
      <c r="C47" s="655"/>
      <c r="D47" s="655"/>
      <c r="E47" s="106"/>
      <c r="F47" s="649" t="s">
        <v>254</v>
      </c>
      <c r="G47" s="649"/>
      <c r="H47" s="649"/>
      <c r="I47" s="107"/>
      <c r="J47" s="650" t="s">
        <v>254</v>
      </c>
      <c r="K47" s="650"/>
      <c r="L47" s="107"/>
      <c r="M47" s="649" t="s">
        <v>210</v>
      </c>
      <c r="N47" s="649"/>
      <c r="O47" s="649"/>
      <c r="P47" s="107"/>
      <c r="Q47" s="650" t="s">
        <v>210</v>
      </c>
      <c r="R47" s="650"/>
      <c r="S47" s="107"/>
      <c r="T47" s="649" t="s">
        <v>255</v>
      </c>
      <c r="U47" s="649"/>
      <c r="V47" s="649"/>
      <c r="W47" s="107"/>
      <c r="X47" s="649" t="s">
        <v>214</v>
      </c>
      <c r="Y47" s="649"/>
      <c r="Z47" s="107"/>
      <c r="AA47" s="649" t="s">
        <v>216</v>
      </c>
      <c r="AB47" s="649"/>
      <c r="AC47" s="649"/>
      <c r="AD47" s="107"/>
      <c r="AE47" s="651" t="s">
        <v>216</v>
      </c>
      <c r="AF47" s="651"/>
      <c r="AG47" s="108"/>
      <c r="AH47" s="651"/>
      <c r="AI47" s="651"/>
      <c r="AJ47" s="80"/>
      <c r="AK47" s="27"/>
      <c r="AL47" s="28"/>
      <c r="AM47"/>
      <c r="AN47" s="29"/>
      <c r="AO47" s="1"/>
      <c r="AP47" s="1"/>
    </row>
    <row r="48" spans="2:42" ht="15.9">
      <c r="C48" s="61"/>
      <c r="D48" s="81"/>
      <c r="AK48" s="27"/>
      <c r="AL48" s="28"/>
      <c r="AM48"/>
      <c r="AN48" s="29"/>
    </row>
    <row r="49" spans="1:42" ht="15.9">
      <c r="C49" s="61"/>
      <c r="D49" s="81"/>
      <c r="AK49" s="27"/>
      <c r="AL49" s="28"/>
      <c r="AM49"/>
      <c r="AN49" s="29"/>
    </row>
    <row r="50" spans="1:42" ht="43.3">
      <c r="A50" s="1" t="s">
        <v>52</v>
      </c>
      <c r="E50" s="84">
        <v>44256</v>
      </c>
      <c r="F50" s="195">
        <v>44257</v>
      </c>
      <c r="G50" s="195">
        <v>44258</v>
      </c>
      <c r="H50" s="195">
        <v>44259</v>
      </c>
      <c r="I50" s="195">
        <v>44260</v>
      </c>
      <c r="J50" s="196">
        <v>44261</v>
      </c>
      <c r="K50" s="196">
        <v>44262</v>
      </c>
      <c r="L50" s="195">
        <v>44263</v>
      </c>
      <c r="M50" s="195">
        <v>44264</v>
      </c>
      <c r="N50" s="195">
        <v>44265</v>
      </c>
      <c r="O50" s="195">
        <v>44266</v>
      </c>
      <c r="P50" s="195">
        <v>44267</v>
      </c>
      <c r="Q50" s="196">
        <v>44268</v>
      </c>
      <c r="R50" s="196">
        <v>44269</v>
      </c>
      <c r="S50" s="195">
        <v>44270</v>
      </c>
      <c r="T50" s="195">
        <v>44271</v>
      </c>
      <c r="U50" s="195">
        <v>44272</v>
      </c>
      <c r="V50" s="195">
        <v>44273</v>
      </c>
      <c r="W50" s="195">
        <v>44274</v>
      </c>
      <c r="X50" s="196">
        <v>44275</v>
      </c>
      <c r="Y50" s="196">
        <v>44276</v>
      </c>
      <c r="Z50" s="195">
        <v>44277</v>
      </c>
      <c r="AA50" s="195">
        <v>44278</v>
      </c>
      <c r="AB50" s="195">
        <v>44279</v>
      </c>
      <c r="AC50" s="195">
        <v>44280</v>
      </c>
      <c r="AD50" s="195">
        <v>44281</v>
      </c>
      <c r="AE50" s="196">
        <v>44282</v>
      </c>
      <c r="AF50" s="196">
        <v>44283</v>
      </c>
      <c r="AG50" s="195">
        <v>44284</v>
      </c>
      <c r="AH50" s="195">
        <v>44285</v>
      </c>
      <c r="AI50" s="265">
        <v>44286</v>
      </c>
      <c r="AJ50" s="288"/>
      <c r="AK50" s="15">
        <f>23*8</f>
        <v>184</v>
      </c>
      <c r="AL50" s="16" t="s">
        <v>53</v>
      </c>
      <c r="AM50" s="17" t="s">
        <v>54</v>
      </c>
      <c r="AN50" s="18" t="s">
        <v>55</v>
      </c>
      <c r="AO50" s="1" t="s">
        <v>56</v>
      </c>
      <c r="AP50" s="1" t="s">
        <v>57</v>
      </c>
    </row>
    <row r="51" spans="1:42" ht="15.9">
      <c r="A51" s="1" t="s">
        <v>152</v>
      </c>
      <c r="B51" s="1" t="s">
        <v>93</v>
      </c>
      <c r="C51" s="289" t="s">
        <v>3</v>
      </c>
      <c r="D51" s="161" t="e">
        <f>#REF!</f>
        <v>#REF!</v>
      </c>
      <c r="E51" s="200">
        <v>17</v>
      </c>
      <c r="F51" s="22" t="s">
        <v>70</v>
      </c>
      <c r="G51" s="22" t="s">
        <v>70</v>
      </c>
      <c r="H51" s="22" t="s">
        <v>70</v>
      </c>
      <c r="I51" s="22">
        <v>15</v>
      </c>
      <c r="J51" s="267"/>
      <c r="K51" s="267"/>
      <c r="L51" s="22">
        <v>7</v>
      </c>
      <c r="M51" s="22"/>
      <c r="N51" s="22">
        <v>8</v>
      </c>
      <c r="O51" s="22"/>
      <c r="P51" s="22">
        <v>17</v>
      </c>
      <c r="Q51" s="201" t="s">
        <v>98</v>
      </c>
      <c r="R51" s="201">
        <v>23</v>
      </c>
      <c r="S51" s="22"/>
      <c r="T51" s="22"/>
      <c r="U51" s="22">
        <v>8</v>
      </c>
      <c r="V51" s="22" t="s">
        <v>113</v>
      </c>
      <c r="W51" s="22"/>
      <c r="X51" s="201"/>
      <c r="Y51" s="201"/>
      <c r="Z51" s="22"/>
      <c r="AA51" s="22"/>
      <c r="AB51" s="22"/>
      <c r="AC51" s="22"/>
      <c r="AD51" s="22"/>
      <c r="AE51" s="201"/>
      <c r="AF51" s="201"/>
      <c r="AG51" s="22"/>
      <c r="AH51" s="22" t="s">
        <v>242</v>
      </c>
      <c r="AI51" s="24"/>
      <c r="AJ51" s="26" t="e">
        <f>_xlfn.CONCAT(#REF!,#REF!)</f>
        <v>#REF!</v>
      </c>
      <c r="AK51" s="27" t="e">
        <f t="shared" ref="AK51:AK65" si="9">D51+AL51+AM51+AN51-$AK$50+AO51+AP51</f>
        <v>#REF!</v>
      </c>
      <c r="AL51" s="28">
        <f t="shared" ref="AL51:AL82" si="10">COUNTIF(E51:AI51,"D")*24+COUNTIF(E51:AI51,"12g")*12</f>
        <v>24</v>
      </c>
      <c r="AM51">
        <f t="shared" ref="AM51:AM82" si="11">SUM(COUNTIF(E51:AI51,"k")+COUNTIF(E51:AI51,"s")+COUNTIF(E51:AI51,"wse"))*24+SUM(COUNTIF(E51:AI51,"Pk")+COUNTIF(E51:AI51,"Ps"))*12</f>
        <v>96</v>
      </c>
      <c r="AN51" s="29">
        <f t="shared" ref="AN51:AN80" si="12">SUM(E51:AI51)+COUNTIF(E51:AI51,"uw")*8+COUNTIF(E51:AI51,"us")*8+COUNTIF(E51:AI51,"uz")*8+COUNTIF(E51:AI51,"u")*8</f>
        <v>95</v>
      </c>
      <c r="AO51" s="1">
        <f t="shared" ref="AO51:AO88" si="13">COUNTIF(E51:AI51,"DT")*8</f>
        <v>0</v>
      </c>
    </row>
    <row r="52" spans="1:42" ht="15.9">
      <c r="A52" s="1" t="s">
        <v>155</v>
      </c>
      <c r="B52" s="1" t="s">
        <v>73</v>
      </c>
      <c r="C52" s="290" t="s">
        <v>4</v>
      </c>
      <c r="D52" s="161" t="e">
        <f>#REF!</f>
        <v>#REF!</v>
      </c>
      <c r="E52" s="204"/>
      <c r="F52" s="32"/>
      <c r="G52" s="32"/>
      <c r="H52" s="32"/>
      <c r="I52" s="32"/>
      <c r="J52" s="36"/>
      <c r="K52" s="36"/>
      <c r="L52" s="32"/>
      <c r="M52" s="32"/>
      <c r="N52" s="32"/>
      <c r="O52" s="32"/>
      <c r="P52" s="32"/>
      <c r="Q52" s="36"/>
      <c r="R52" s="36"/>
      <c r="S52" s="32"/>
      <c r="T52" s="32"/>
      <c r="U52" s="32"/>
      <c r="V52" s="32"/>
      <c r="W52" s="32"/>
      <c r="X52" s="36"/>
      <c r="Y52" s="36"/>
      <c r="Z52" s="32" t="s">
        <v>92</v>
      </c>
      <c r="AA52" s="32" t="s">
        <v>95</v>
      </c>
      <c r="AB52" s="32" t="s">
        <v>95</v>
      </c>
      <c r="AC52" s="32" t="s">
        <v>95</v>
      </c>
      <c r="AD52" s="32" t="s">
        <v>95</v>
      </c>
      <c r="AE52" s="36" t="s">
        <v>95</v>
      </c>
      <c r="AF52" s="36" t="s">
        <v>95</v>
      </c>
      <c r="AG52" s="32" t="s">
        <v>95</v>
      </c>
      <c r="AH52" s="32" t="s">
        <v>92</v>
      </c>
      <c r="AI52" s="34"/>
      <c r="AJ52" s="26" t="e">
        <f>_xlfn.CONCAT(#REF!,#REF!)</f>
        <v>#REF!</v>
      </c>
      <c r="AK52" s="27" t="e">
        <f t="shared" si="9"/>
        <v>#REF!</v>
      </c>
      <c r="AL52" s="28">
        <f t="shared" si="10"/>
        <v>0</v>
      </c>
      <c r="AM52">
        <f t="shared" si="11"/>
        <v>192</v>
      </c>
      <c r="AN52" s="29">
        <f t="shared" si="12"/>
        <v>0</v>
      </c>
      <c r="AO52" s="1">
        <f t="shared" si="13"/>
        <v>0</v>
      </c>
    </row>
    <row r="53" spans="1:42" ht="15.9">
      <c r="A53" s="1" t="s">
        <v>67</v>
      </c>
      <c r="B53" s="1" t="s">
        <v>73</v>
      </c>
      <c r="C53" s="290" t="s">
        <v>5</v>
      </c>
      <c r="D53" s="161" t="e">
        <f>#REF!</f>
        <v>#REF!</v>
      </c>
      <c r="E53" s="204"/>
      <c r="F53" s="32"/>
      <c r="G53" s="32"/>
      <c r="H53" s="32"/>
      <c r="I53" s="32"/>
      <c r="J53" s="36"/>
      <c r="K53" s="36"/>
      <c r="L53" s="32"/>
      <c r="M53" s="32"/>
      <c r="N53" s="32" t="s">
        <v>59</v>
      </c>
      <c r="O53" s="32"/>
      <c r="P53" s="32"/>
      <c r="Q53" s="36"/>
      <c r="R53" s="36"/>
      <c r="S53" s="32"/>
      <c r="T53" s="32"/>
      <c r="U53" s="32"/>
      <c r="V53" s="32"/>
      <c r="W53" s="32"/>
      <c r="X53" s="36"/>
      <c r="Y53" s="36" t="s">
        <v>98</v>
      </c>
      <c r="Z53" s="32" t="s">
        <v>98</v>
      </c>
      <c r="AA53" s="32"/>
      <c r="AB53" s="32"/>
      <c r="AC53" s="32"/>
      <c r="AD53" s="32"/>
      <c r="AE53" s="36"/>
      <c r="AF53" s="36"/>
      <c r="AG53" s="32"/>
      <c r="AH53" s="32"/>
      <c r="AI53" s="34"/>
      <c r="AJ53" s="26" t="e">
        <f>_xlfn.CONCAT(#REF!,#REF!)</f>
        <v>#REF!</v>
      </c>
      <c r="AK53" s="27" t="e">
        <f t="shared" si="9"/>
        <v>#REF!</v>
      </c>
      <c r="AL53" s="28">
        <f t="shared" si="10"/>
        <v>24</v>
      </c>
      <c r="AM53">
        <f t="shared" si="11"/>
        <v>48</v>
      </c>
      <c r="AN53" s="29">
        <f t="shared" si="12"/>
        <v>0</v>
      </c>
      <c r="AO53" s="1">
        <f t="shared" si="13"/>
        <v>0</v>
      </c>
    </row>
    <row r="54" spans="1:42" ht="15.9">
      <c r="A54" s="1" t="s">
        <v>152</v>
      </c>
      <c r="B54" s="1" t="s">
        <v>64</v>
      </c>
      <c r="C54" s="291" t="s">
        <v>6</v>
      </c>
      <c r="D54" s="161" t="e">
        <f>#REF!</f>
        <v>#REF!</v>
      </c>
      <c r="E54" s="204"/>
      <c r="F54" s="32" t="s">
        <v>59</v>
      </c>
      <c r="G54" s="32"/>
      <c r="H54" s="32" t="s">
        <v>88</v>
      </c>
      <c r="I54" s="32"/>
      <c r="J54" s="36" t="s">
        <v>59</v>
      </c>
      <c r="K54" s="36"/>
      <c r="L54" s="32"/>
      <c r="M54" s="32"/>
      <c r="N54" s="32"/>
      <c r="O54" s="32"/>
      <c r="P54" s="32"/>
      <c r="Q54" s="36"/>
      <c r="R54" s="36" t="s">
        <v>59</v>
      </c>
      <c r="S54" s="32"/>
      <c r="T54" s="32">
        <v>8</v>
      </c>
      <c r="U54" s="32" t="s">
        <v>113</v>
      </c>
      <c r="V54" s="32"/>
      <c r="W54" s="32"/>
      <c r="X54" s="36" t="s">
        <v>113</v>
      </c>
      <c r="Y54" s="36"/>
      <c r="Z54" s="32"/>
      <c r="AA54" s="32"/>
      <c r="AB54" s="32"/>
      <c r="AC54" s="32"/>
      <c r="AD54" s="32"/>
      <c r="AE54" s="36" t="s">
        <v>113</v>
      </c>
      <c r="AF54" s="36"/>
      <c r="AG54" s="32"/>
      <c r="AH54" s="32" t="s">
        <v>242</v>
      </c>
      <c r="AI54" s="34"/>
      <c r="AJ54" s="26" t="e">
        <f>_xlfn.CONCAT(#REF!,#REF!)</f>
        <v>#REF!</v>
      </c>
      <c r="AK54" s="27" t="e">
        <f t="shared" si="9"/>
        <v>#REF!</v>
      </c>
      <c r="AL54" s="28">
        <f t="shared" si="10"/>
        <v>144</v>
      </c>
      <c r="AM54">
        <f t="shared" si="11"/>
        <v>0</v>
      </c>
      <c r="AN54" s="29">
        <f t="shared" si="12"/>
        <v>16</v>
      </c>
      <c r="AO54" s="1">
        <f t="shared" si="13"/>
        <v>0</v>
      </c>
    </row>
    <row r="55" spans="1:42" ht="15.9">
      <c r="A55" s="1" t="s">
        <v>156</v>
      </c>
      <c r="B55" s="1" t="s">
        <v>59</v>
      </c>
      <c r="C55" s="292" t="s">
        <v>7</v>
      </c>
      <c r="D55" s="161" t="e">
        <f>#REF!</f>
        <v>#REF!</v>
      </c>
      <c r="E55" s="204">
        <v>8</v>
      </c>
      <c r="F55" s="32">
        <v>17</v>
      </c>
      <c r="G55" s="32" t="s">
        <v>154</v>
      </c>
      <c r="H55" s="32" t="s">
        <v>154</v>
      </c>
      <c r="I55" s="32" t="s">
        <v>154</v>
      </c>
      <c r="J55" s="36" t="s">
        <v>154</v>
      </c>
      <c r="K55" s="36" t="s">
        <v>154</v>
      </c>
      <c r="L55" s="32" t="s">
        <v>154</v>
      </c>
      <c r="M55" s="32">
        <v>15</v>
      </c>
      <c r="N55" s="32"/>
      <c r="O55" s="32">
        <v>8</v>
      </c>
      <c r="P55" s="32"/>
      <c r="Q55" s="36"/>
      <c r="R55" s="36"/>
      <c r="S55" s="32"/>
      <c r="T55" s="32">
        <v>8</v>
      </c>
      <c r="U55" s="32"/>
      <c r="V55" s="32"/>
      <c r="W55" s="32"/>
      <c r="X55" s="36"/>
      <c r="Y55" s="36"/>
      <c r="Z55" s="32" t="s">
        <v>92</v>
      </c>
      <c r="AA55" s="32" t="s">
        <v>95</v>
      </c>
      <c r="AB55" s="32" t="s">
        <v>95</v>
      </c>
      <c r="AC55" s="32" t="s">
        <v>95</v>
      </c>
      <c r="AD55" s="32" t="s">
        <v>92</v>
      </c>
      <c r="AE55" s="36"/>
      <c r="AF55" s="36"/>
      <c r="AG55" s="32"/>
      <c r="AH55" s="32"/>
      <c r="AI55" s="34"/>
      <c r="AJ55" s="26" t="e">
        <f>_xlfn.CONCAT(#REF!,#REF!)</f>
        <v>#REF!</v>
      </c>
      <c r="AK55" s="27" t="e">
        <f t="shared" si="9"/>
        <v>#REF!</v>
      </c>
      <c r="AL55" s="28">
        <f t="shared" si="10"/>
        <v>0</v>
      </c>
      <c r="AM55">
        <f t="shared" si="11"/>
        <v>240</v>
      </c>
      <c r="AN55" s="29">
        <f t="shared" si="12"/>
        <v>56</v>
      </c>
      <c r="AO55" s="1">
        <f t="shared" si="13"/>
        <v>0</v>
      </c>
    </row>
    <row r="56" spans="1:42" ht="15.9">
      <c r="A56" s="1" t="s">
        <v>58</v>
      </c>
      <c r="B56" s="1" t="s">
        <v>73</v>
      </c>
      <c r="C56" s="291" t="s">
        <v>8</v>
      </c>
      <c r="D56" s="161" t="e">
        <f>#REF!</f>
        <v>#REF!</v>
      </c>
      <c r="E56" s="204"/>
      <c r="F56" s="32"/>
      <c r="G56" s="32" t="s">
        <v>59</v>
      </c>
      <c r="H56" s="32"/>
      <c r="I56" s="32"/>
      <c r="J56" s="36"/>
      <c r="K56" s="36"/>
      <c r="L56" s="32"/>
      <c r="M56" s="32">
        <v>8</v>
      </c>
      <c r="N56" s="32"/>
      <c r="O56" s="32" t="s">
        <v>113</v>
      </c>
      <c r="P56" s="32"/>
      <c r="Q56" s="36"/>
      <c r="R56" s="36"/>
      <c r="S56" s="32"/>
      <c r="T56" s="32">
        <v>8</v>
      </c>
      <c r="U56" s="32"/>
      <c r="V56" s="32"/>
      <c r="W56" s="32"/>
      <c r="X56" s="36"/>
      <c r="Y56" s="36"/>
      <c r="Z56" s="32" t="s">
        <v>88</v>
      </c>
      <c r="AA56" s="32" t="s">
        <v>88</v>
      </c>
      <c r="AB56" s="32" t="s">
        <v>88</v>
      </c>
      <c r="AC56" s="32" t="s">
        <v>88</v>
      </c>
      <c r="AD56" s="32" t="s">
        <v>88</v>
      </c>
      <c r="AE56" s="36" t="s">
        <v>66</v>
      </c>
      <c r="AF56" s="36" t="s">
        <v>66</v>
      </c>
      <c r="AG56" s="32" t="s">
        <v>88</v>
      </c>
      <c r="AH56" s="32" t="s">
        <v>88</v>
      </c>
      <c r="AI56" s="34"/>
      <c r="AJ56" s="26" t="e">
        <f>_xlfn.CONCAT(#REF!,#REF!)</f>
        <v>#REF!</v>
      </c>
      <c r="AK56" s="27" t="e">
        <f t="shared" si="9"/>
        <v>#REF!</v>
      </c>
      <c r="AL56" s="28">
        <f t="shared" si="10"/>
        <v>48</v>
      </c>
      <c r="AM56">
        <f t="shared" si="11"/>
        <v>0</v>
      </c>
      <c r="AN56" s="29">
        <f t="shared" si="12"/>
        <v>72</v>
      </c>
      <c r="AO56" s="1">
        <f t="shared" si="13"/>
        <v>0</v>
      </c>
    </row>
    <row r="57" spans="1:42" ht="15.9">
      <c r="A57" s="1" t="s">
        <v>152</v>
      </c>
      <c r="B57" s="1" t="s">
        <v>59</v>
      </c>
      <c r="C57" s="291" t="s">
        <v>9</v>
      </c>
      <c r="D57" s="161" t="e">
        <f>#REF!</f>
        <v>#REF!</v>
      </c>
      <c r="E57" s="204"/>
      <c r="F57" s="32">
        <v>8</v>
      </c>
      <c r="G57" s="32"/>
      <c r="H57" s="32"/>
      <c r="I57" s="32">
        <v>8</v>
      </c>
      <c r="J57" s="36"/>
      <c r="K57" s="36"/>
      <c r="L57" s="32" t="s">
        <v>113</v>
      </c>
      <c r="M57" s="32"/>
      <c r="N57" s="32">
        <v>8</v>
      </c>
      <c r="O57" s="32" t="s">
        <v>113</v>
      </c>
      <c r="P57" s="32"/>
      <c r="Q57" s="36"/>
      <c r="R57" s="36"/>
      <c r="S57" s="32">
        <v>8</v>
      </c>
      <c r="T57" s="32" t="s">
        <v>113</v>
      </c>
      <c r="U57" s="32"/>
      <c r="V57" s="32">
        <v>8</v>
      </c>
      <c r="W57" s="32">
        <v>8</v>
      </c>
      <c r="X57" s="36"/>
      <c r="Y57" s="36"/>
      <c r="Z57" s="32"/>
      <c r="AA57" s="32"/>
      <c r="AB57" s="32"/>
      <c r="AC57" s="32"/>
      <c r="AD57" s="32"/>
      <c r="AE57" s="36"/>
      <c r="AF57" s="36"/>
      <c r="AG57" s="32"/>
      <c r="AH57" s="32" t="s">
        <v>242</v>
      </c>
      <c r="AI57" s="34"/>
      <c r="AJ57" s="26" t="e">
        <f>_xlfn.CONCAT(#REF!,#REF!)</f>
        <v>#REF!</v>
      </c>
      <c r="AK57" s="27" t="e">
        <f t="shared" si="9"/>
        <v>#REF!</v>
      </c>
      <c r="AL57" s="28">
        <f t="shared" si="10"/>
        <v>72</v>
      </c>
      <c r="AM57">
        <f t="shared" si="11"/>
        <v>0</v>
      </c>
      <c r="AN57" s="29">
        <f t="shared" si="12"/>
        <v>48</v>
      </c>
      <c r="AO57" s="1">
        <f t="shared" si="13"/>
        <v>0</v>
      </c>
    </row>
    <row r="58" spans="1:42" ht="15.9">
      <c r="A58" s="1" t="s">
        <v>157</v>
      </c>
      <c r="B58" s="1" t="s">
        <v>59</v>
      </c>
      <c r="C58" s="292" t="s">
        <v>10</v>
      </c>
      <c r="D58" s="161" t="e">
        <f>#REF!</f>
        <v>#REF!</v>
      </c>
      <c r="E58" s="204">
        <v>6</v>
      </c>
      <c r="F58" s="32"/>
      <c r="G58" s="32"/>
      <c r="H58" s="32">
        <v>4</v>
      </c>
      <c r="I58" s="32"/>
      <c r="J58" s="36"/>
      <c r="K58" s="36"/>
      <c r="L58" s="32"/>
      <c r="M58" s="32">
        <v>6</v>
      </c>
      <c r="N58" s="32">
        <v>7</v>
      </c>
      <c r="O58" s="32"/>
      <c r="P58" s="32">
        <v>17</v>
      </c>
      <c r="Q58" s="36" t="s">
        <v>70</v>
      </c>
      <c r="R58" s="36" t="s">
        <v>70</v>
      </c>
      <c r="S58" s="32">
        <v>15</v>
      </c>
      <c r="T58" s="32"/>
      <c r="U58" s="32"/>
      <c r="V58" s="32"/>
      <c r="W58" s="32"/>
      <c r="X58" s="36"/>
      <c r="Y58" s="36"/>
      <c r="Z58" s="32" t="s">
        <v>101</v>
      </c>
      <c r="AA58" s="32" t="s">
        <v>101</v>
      </c>
      <c r="AB58" s="32" t="s">
        <v>101</v>
      </c>
      <c r="AC58" s="32" t="s">
        <v>101</v>
      </c>
      <c r="AD58" s="32" t="s">
        <v>101</v>
      </c>
      <c r="AE58" s="36"/>
      <c r="AF58" s="36"/>
      <c r="AG58" s="32"/>
      <c r="AH58" s="32"/>
      <c r="AI58" s="34"/>
      <c r="AJ58" s="26" t="e">
        <f>_xlfn.CONCAT(#REF!,#REF!)</f>
        <v>#REF!</v>
      </c>
      <c r="AK58" s="27" t="e">
        <f t="shared" si="9"/>
        <v>#REF!</v>
      </c>
      <c r="AL58" s="28">
        <f t="shared" si="10"/>
        <v>0</v>
      </c>
      <c r="AM58">
        <f t="shared" si="11"/>
        <v>48</v>
      </c>
      <c r="AN58" s="29">
        <f t="shared" si="12"/>
        <v>55</v>
      </c>
      <c r="AO58" s="1">
        <f t="shared" si="13"/>
        <v>0</v>
      </c>
    </row>
    <row r="59" spans="1:42" ht="15.9">
      <c r="A59" s="1" t="s">
        <v>58</v>
      </c>
      <c r="B59" s="1" t="s">
        <v>59</v>
      </c>
      <c r="C59" s="290" t="s">
        <v>11</v>
      </c>
      <c r="D59" s="161" t="e">
        <f>#REF!</f>
        <v>#REF!</v>
      </c>
      <c r="E59" s="204">
        <v>8</v>
      </c>
      <c r="F59" s="32"/>
      <c r="G59" s="32"/>
      <c r="H59" s="32">
        <v>8</v>
      </c>
      <c r="I59" s="32">
        <v>8</v>
      </c>
      <c r="J59" s="36"/>
      <c r="K59" s="36"/>
      <c r="L59" s="32"/>
      <c r="M59" s="32">
        <v>8</v>
      </c>
      <c r="N59" s="32"/>
      <c r="O59" s="32"/>
      <c r="P59" s="32"/>
      <c r="Q59" s="36"/>
      <c r="R59" s="36"/>
      <c r="S59" s="32"/>
      <c r="T59" s="32"/>
      <c r="U59" s="32">
        <v>8</v>
      </c>
      <c r="V59" s="32"/>
      <c r="W59" s="32"/>
      <c r="X59" s="36"/>
      <c r="Y59" s="36"/>
      <c r="Z59" s="32"/>
      <c r="AA59" s="32"/>
      <c r="AB59" s="32"/>
      <c r="AC59" s="32"/>
      <c r="AD59" s="32"/>
      <c r="AE59" s="36"/>
      <c r="AF59" s="36"/>
      <c r="AG59" s="32"/>
      <c r="AH59" s="32">
        <v>17</v>
      </c>
      <c r="AI59" s="34" t="s">
        <v>95</v>
      </c>
      <c r="AJ59" s="26" t="e">
        <f>_xlfn.CONCAT(#REF!,#REF!)</f>
        <v>#REF!</v>
      </c>
      <c r="AK59" s="27" t="e">
        <f t="shared" si="9"/>
        <v>#REF!</v>
      </c>
      <c r="AL59" s="28">
        <f t="shared" si="10"/>
        <v>0</v>
      </c>
      <c r="AM59">
        <f t="shared" si="11"/>
        <v>24</v>
      </c>
      <c r="AN59" s="29">
        <f t="shared" si="12"/>
        <v>57</v>
      </c>
      <c r="AO59" s="1">
        <f t="shared" si="13"/>
        <v>0</v>
      </c>
    </row>
    <row r="60" spans="1:42" ht="15.9">
      <c r="A60" s="1" t="s">
        <v>152</v>
      </c>
      <c r="B60" s="1" t="s">
        <v>64</v>
      </c>
      <c r="C60" s="291" t="s">
        <v>12</v>
      </c>
      <c r="D60" s="161" t="e">
        <f>#REF!</f>
        <v>#REF!</v>
      </c>
      <c r="E60" s="293">
        <v>14</v>
      </c>
      <c r="F60" s="32"/>
      <c r="G60" s="32"/>
      <c r="H60" s="32"/>
      <c r="I60" s="32"/>
      <c r="J60" s="36"/>
      <c r="K60" s="36"/>
      <c r="L60" s="32"/>
      <c r="M60" s="32"/>
      <c r="N60" s="32"/>
      <c r="O60" s="32"/>
      <c r="P60" s="32">
        <v>17</v>
      </c>
      <c r="Q60" s="36" t="s">
        <v>98</v>
      </c>
      <c r="R60" s="36">
        <v>23</v>
      </c>
      <c r="S60" s="32"/>
      <c r="T60" s="32"/>
      <c r="U60" s="32">
        <v>7</v>
      </c>
      <c r="V60" s="32">
        <v>8</v>
      </c>
      <c r="W60" s="32"/>
      <c r="X60" s="36"/>
      <c r="Y60" s="36">
        <v>17</v>
      </c>
      <c r="Z60" s="32" t="s">
        <v>98</v>
      </c>
      <c r="AA60" s="32"/>
      <c r="AB60" s="32"/>
      <c r="AC60" s="32"/>
      <c r="AD60" s="32" t="s">
        <v>113</v>
      </c>
      <c r="AE60" s="36"/>
      <c r="AF60" s="36"/>
      <c r="AG60" s="32"/>
      <c r="AH60" s="32" t="s">
        <v>242</v>
      </c>
      <c r="AI60" s="34"/>
      <c r="AJ60" s="26" t="e">
        <f>_xlfn.CONCAT(#REF!,#REF!)</f>
        <v>#REF!</v>
      </c>
      <c r="AK60" s="27" t="e">
        <f t="shared" si="9"/>
        <v>#REF!</v>
      </c>
      <c r="AL60" s="28">
        <f t="shared" si="10"/>
        <v>24</v>
      </c>
      <c r="AM60">
        <f t="shared" si="11"/>
        <v>48</v>
      </c>
      <c r="AN60" s="29">
        <f t="shared" si="12"/>
        <v>86</v>
      </c>
      <c r="AO60" s="1">
        <f t="shared" si="13"/>
        <v>0</v>
      </c>
    </row>
    <row r="61" spans="1:42" ht="15.9">
      <c r="A61" s="1" t="s">
        <v>152</v>
      </c>
      <c r="B61" s="1" t="s">
        <v>93</v>
      </c>
      <c r="C61" s="291" t="s">
        <v>13</v>
      </c>
      <c r="D61" s="161" t="e">
        <f>#REF!</f>
        <v>#REF!</v>
      </c>
      <c r="E61" s="204">
        <v>8</v>
      </c>
      <c r="F61" s="32">
        <v>8</v>
      </c>
      <c r="G61" s="32">
        <v>8</v>
      </c>
      <c r="H61" s="32"/>
      <c r="I61" s="32">
        <v>8</v>
      </c>
      <c r="J61" s="36">
        <v>17</v>
      </c>
      <c r="K61" s="36" t="s">
        <v>98</v>
      </c>
      <c r="L61" s="32">
        <v>24</v>
      </c>
      <c r="M61" s="32"/>
      <c r="N61" s="32"/>
      <c r="O61" s="32"/>
      <c r="P61" s="32">
        <v>8</v>
      </c>
      <c r="Q61" s="36"/>
      <c r="R61" s="36"/>
      <c r="S61" s="32">
        <v>8</v>
      </c>
      <c r="T61" s="32">
        <v>8</v>
      </c>
      <c r="U61" s="32">
        <v>8</v>
      </c>
      <c r="V61" s="32">
        <v>8</v>
      </c>
      <c r="W61" s="32">
        <v>8</v>
      </c>
      <c r="X61" s="36"/>
      <c r="Y61" s="36" t="s">
        <v>98</v>
      </c>
      <c r="Z61" s="32" t="s">
        <v>98</v>
      </c>
      <c r="AA61" s="32"/>
      <c r="AB61" s="32"/>
      <c r="AC61" s="32"/>
      <c r="AD61" s="32"/>
      <c r="AE61" s="36"/>
      <c r="AF61" s="36"/>
      <c r="AG61" s="32"/>
      <c r="AH61" s="32" t="s">
        <v>242</v>
      </c>
      <c r="AI61" s="34"/>
      <c r="AJ61" s="26" t="e">
        <f>_xlfn.CONCAT(#REF!,#REF!)</f>
        <v>#REF!</v>
      </c>
      <c r="AK61" s="27" t="e">
        <f t="shared" si="9"/>
        <v>#REF!</v>
      </c>
      <c r="AL61" s="28">
        <f t="shared" si="10"/>
        <v>0</v>
      </c>
      <c r="AM61">
        <f t="shared" si="11"/>
        <v>72</v>
      </c>
      <c r="AN61" s="29">
        <f t="shared" si="12"/>
        <v>121</v>
      </c>
      <c r="AO61" s="1">
        <f t="shared" si="13"/>
        <v>0</v>
      </c>
    </row>
    <row r="62" spans="1:42" ht="15.9">
      <c r="A62" s="1" t="s">
        <v>152</v>
      </c>
      <c r="B62" s="1" t="s">
        <v>73</v>
      </c>
      <c r="C62" s="291" t="s">
        <v>14</v>
      </c>
      <c r="D62" s="161" t="e">
        <f>#REF!</f>
        <v>#REF!</v>
      </c>
      <c r="E62" s="204">
        <v>14</v>
      </c>
      <c r="F62" s="32"/>
      <c r="G62" s="32"/>
      <c r="H62" s="32"/>
      <c r="I62" s="32"/>
      <c r="J62" s="36"/>
      <c r="K62" s="36"/>
      <c r="L62" s="32"/>
      <c r="M62" s="32">
        <v>8</v>
      </c>
      <c r="N62" s="32">
        <v>8</v>
      </c>
      <c r="O62" s="32"/>
      <c r="P62" s="32"/>
      <c r="Q62" s="36"/>
      <c r="R62" s="36"/>
      <c r="S62" s="32" t="s">
        <v>59</v>
      </c>
      <c r="T62" s="32"/>
      <c r="U62" s="32">
        <v>8</v>
      </c>
      <c r="V62" s="32">
        <v>8</v>
      </c>
      <c r="W62" s="32" t="s">
        <v>113</v>
      </c>
      <c r="X62" s="36"/>
      <c r="Y62" s="36"/>
      <c r="Z62" s="32"/>
      <c r="AA62" s="32" t="s">
        <v>113</v>
      </c>
      <c r="AB62" s="32"/>
      <c r="AC62" s="32"/>
      <c r="AD62" s="32"/>
      <c r="AE62" s="36"/>
      <c r="AF62" s="36"/>
      <c r="AG62" s="32"/>
      <c r="AH62" s="32"/>
      <c r="AI62" s="34">
        <v>16</v>
      </c>
      <c r="AJ62" s="26" t="e">
        <f>_xlfn.CONCAT(#REF!,#REF!)</f>
        <v>#REF!</v>
      </c>
      <c r="AK62" s="27" t="e">
        <f t="shared" si="9"/>
        <v>#REF!</v>
      </c>
      <c r="AL62" s="28">
        <f t="shared" si="10"/>
        <v>72</v>
      </c>
      <c r="AM62">
        <f t="shared" si="11"/>
        <v>0</v>
      </c>
      <c r="AN62" s="29">
        <f t="shared" si="12"/>
        <v>62</v>
      </c>
      <c r="AO62" s="1">
        <f t="shared" si="13"/>
        <v>0</v>
      </c>
    </row>
    <row r="63" spans="1:42" ht="15.9">
      <c r="A63" s="1" t="s">
        <v>155</v>
      </c>
      <c r="B63" s="1" t="s">
        <v>64</v>
      </c>
      <c r="C63" s="290" t="s">
        <v>15</v>
      </c>
      <c r="D63" s="161" t="e">
        <f>#REF!</f>
        <v>#REF!</v>
      </c>
      <c r="E63" s="204"/>
      <c r="F63" s="32"/>
      <c r="G63" s="32"/>
      <c r="H63" s="32"/>
      <c r="I63" s="32"/>
      <c r="J63" s="36"/>
      <c r="K63" s="36"/>
      <c r="L63" s="32"/>
      <c r="M63" s="32"/>
      <c r="N63" s="32"/>
      <c r="O63" s="32"/>
      <c r="P63" s="32"/>
      <c r="Q63" s="36"/>
      <c r="R63" s="36"/>
      <c r="S63" s="32"/>
      <c r="T63" s="32"/>
      <c r="U63" s="32"/>
      <c r="V63" s="32"/>
      <c r="W63" s="32"/>
      <c r="X63" s="36"/>
      <c r="Y63" s="36"/>
      <c r="Z63" s="32" t="s">
        <v>92</v>
      </c>
      <c r="AA63" s="32" t="s">
        <v>95</v>
      </c>
      <c r="AB63" s="32" t="s">
        <v>95</v>
      </c>
      <c r="AC63" s="32" t="s">
        <v>95</v>
      </c>
      <c r="AD63" s="32" t="s">
        <v>92</v>
      </c>
      <c r="AE63" s="36"/>
      <c r="AF63" s="36"/>
      <c r="AG63" s="32"/>
      <c r="AH63" s="32"/>
      <c r="AI63" s="34"/>
      <c r="AJ63" s="26" t="e">
        <f>_xlfn.CONCAT(#REF!,#REF!)</f>
        <v>#REF!</v>
      </c>
      <c r="AK63" s="27" t="e">
        <f t="shared" si="9"/>
        <v>#REF!</v>
      </c>
      <c r="AL63" s="28">
        <f t="shared" si="10"/>
        <v>0</v>
      </c>
      <c r="AM63">
        <f t="shared" si="11"/>
        <v>96</v>
      </c>
      <c r="AN63" s="29">
        <f t="shared" si="12"/>
        <v>0</v>
      </c>
      <c r="AO63" s="1">
        <f t="shared" si="13"/>
        <v>0</v>
      </c>
    </row>
    <row r="64" spans="1:42" ht="15.9">
      <c r="A64" s="1" t="s">
        <v>67</v>
      </c>
      <c r="B64" s="1" t="s">
        <v>64</v>
      </c>
      <c r="C64" s="290" t="s">
        <v>16</v>
      </c>
      <c r="D64" s="161" t="e">
        <f>#REF!</f>
        <v>#REF!</v>
      </c>
      <c r="E64" s="204" t="s">
        <v>75</v>
      </c>
      <c r="F64" s="32" t="s">
        <v>75</v>
      </c>
      <c r="G64" s="32" t="s">
        <v>75</v>
      </c>
      <c r="H64" s="32" t="s">
        <v>75</v>
      </c>
      <c r="I64" s="32" t="s">
        <v>75</v>
      </c>
      <c r="J64" s="36"/>
      <c r="K64" s="36"/>
      <c r="L64" s="32"/>
      <c r="M64" s="32"/>
      <c r="N64" s="32"/>
      <c r="O64" s="32"/>
      <c r="P64" s="32"/>
      <c r="Q64" s="36"/>
      <c r="R64" s="36"/>
      <c r="S64" s="32"/>
      <c r="T64" s="32"/>
      <c r="U64" s="32"/>
      <c r="V64" s="32"/>
      <c r="W64" s="32"/>
      <c r="X64" s="36"/>
      <c r="Y64" s="36">
        <v>16</v>
      </c>
      <c r="Z64" s="32">
        <v>13</v>
      </c>
      <c r="AA64" s="32"/>
      <c r="AB64" s="32"/>
      <c r="AC64" s="32"/>
      <c r="AD64" s="32"/>
      <c r="AE64" s="36"/>
      <c r="AF64" s="36"/>
      <c r="AG64" s="32"/>
      <c r="AH64" s="32" t="s">
        <v>92</v>
      </c>
      <c r="AI64" s="34" t="s">
        <v>95</v>
      </c>
      <c r="AJ64" s="26" t="e">
        <f>_xlfn.CONCAT(#REF!,#REF!)</f>
        <v>#REF!</v>
      </c>
      <c r="AK64" s="27" t="e">
        <f t="shared" si="9"/>
        <v>#REF!</v>
      </c>
      <c r="AL64" s="28">
        <f t="shared" si="10"/>
        <v>0</v>
      </c>
      <c r="AM64">
        <f t="shared" si="11"/>
        <v>36</v>
      </c>
      <c r="AN64" s="29">
        <f t="shared" si="12"/>
        <v>69</v>
      </c>
      <c r="AO64" s="1">
        <f t="shared" si="13"/>
        <v>0</v>
      </c>
    </row>
    <row r="65" spans="1:41" ht="15.9">
      <c r="A65" s="1" t="s">
        <v>155</v>
      </c>
      <c r="B65" s="1" t="s">
        <v>93</v>
      </c>
      <c r="C65" s="290" t="s">
        <v>17</v>
      </c>
      <c r="D65" s="161" t="e">
        <f>#REF!</f>
        <v>#REF!</v>
      </c>
      <c r="E65" s="204" t="s">
        <v>95</v>
      </c>
      <c r="F65" s="32">
        <v>15</v>
      </c>
      <c r="G65" s="32"/>
      <c r="H65" s="32"/>
      <c r="I65" s="32"/>
      <c r="J65" s="36"/>
      <c r="K65" s="36"/>
      <c r="L65" s="32"/>
      <c r="M65" s="32"/>
      <c r="N65" s="32"/>
      <c r="O65" s="32"/>
      <c r="P65" s="32"/>
      <c r="Q65" s="36"/>
      <c r="R65" s="36"/>
      <c r="S65" s="32"/>
      <c r="T65" s="32">
        <v>17</v>
      </c>
      <c r="U65" s="32" t="s">
        <v>95</v>
      </c>
      <c r="V65" s="32" t="s">
        <v>95</v>
      </c>
      <c r="W65" s="32" t="s">
        <v>95</v>
      </c>
      <c r="X65" s="36" t="s">
        <v>95</v>
      </c>
      <c r="Y65" s="36" t="s">
        <v>95</v>
      </c>
      <c r="Z65" s="32">
        <v>13</v>
      </c>
      <c r="AA65" s="32"/>
      <c r="AB65" s="32"/>
      <c r="AC65" s="32"/>
      <c r="AD65" s="32"/>
      <c r="AE65" s="36"/>
      <c r="AF65" s="36"/>
      <c r="AG65" s="32"/>
      <c r="AH65" s="32"/>
      <c r="AI65" s="34"/>
      <c r="AJ65" s="26" t="e">
        <f>_xlfn.CONCAT(#REF!,#REF!)</f>
        <v>#REF!</v>
      </c>
      <c r="AK65" s="27" t="e">
        <f t="shared" si="9"/>
        <v>#REF!</v>
      </c>
      <c r="AL65" s="28">
        <f t="shared" si="10"/>
        <v>0</v>
      </c>
      <c r="AM65">
        <f t="shared" si="11"/>
        <v>144</v>
      </c>
      <c r="AN65" s="29">
        <f t="shared" si="12"/>
        <v>45</v>
      </c>
      <c r="AO65" s="1">
        <f t="shared" si="13"/>
        <v>0</v>
      </c>
    </row>
    <row r="66" spans="1:41" ht="15.9">
      <c r="A66" s="1" t="s">
        <v>155</v>
      </c>
      <c r="B66" s="1" t="s">
        <v>64</v>
      </c>
      <c r="C66" s="292" t="s">
        <v>18</v>
      </c>
      <c r="D66" s="161" t="e">
        <f>#REF!</f>
        <v>#REF!</v>
      </c>
      <c r="E66" s="294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5"/>
      <c r="W66" s="295"/>
      <c r="X66" s="295"/>
      <c r="Y66" s="295"/>
      <c r="Z66" s="295"/>
      <c r="AA66" s="295"/>
      <c r="AB66" s="295"/>
      <c r="AC66" s="295"/>
      <c r="AD66" s="295"/>
      <c r="AE66" s="295"/>
      <c r="AF66" s="295"/>
      <c r="AG66" s="295"/>
      <c r="AH66" s="295"/>
      <c r="AI66" s="296"/>
      <c r="AJ66" s="26" t="e">
        <f>_xlfn.CONCAT(#REF!,#REF!)</f>
        <v>#REF!</v>
      </c>
      <c r="AK66" s="27">
        <v>0</v>
      </c>
      <c r="AL66" s="28">
        <f t="shared" si="10"/>
        <v>0</v>
      </c>
      <c r="AM66">
        <f t="shared" si="11"/>
        <v>0</v>
      </c>
      <c r="AN66" s="29">
        <f t="shared" si="12"/>
        <v>0</v>
      </c>
      <c r="AO66" s="1">
        <f t="shared" si="13"/>
        <v>0</v>
      </c>
    </row>
    <row r="67" spans="1:41" ht="15.9">
      <c r="A67" s="1" t="s">
        <v>157</v>
      </c>
      <c r="B67" s="1" t="s">
        <v>59</v>
      </c>
      <c r="C67" s="291" t="s">
        <v>19</v>
      </c>
      <c r="D67" s="161" t="e">
        <f>#REF!</f>
        <v>#REF!</v>
      </c>
      <c r="E67" s="204" t="s">
        <v>75</v>
      </c>
      <c r="F67" s="32" t="s">
        <v>75</v>
      </c>
      <c r="G67" s="32" t="s">
        <v>75</v>
      </c>
      <c r="H67" s="32" t="s">
        <v>75</v>
      </c>
      <c r="I67" s="32" t="s">
        <v>75</v>
      </c>
      <c r="J67" s="36">
        <v>17</v>
      </c>
      <c r="K67" s="36" t="s">
        <v>98</v>
      </c>
      <c r="L67" s="32">
        <v>24</v>
      </c>
      <c r="M67" s="32"/>
      <c r="N67" s="32"/>
      <c r="O67" s="32"/>
      <c r="P67" s="32">
        <v>8</v>
      </c>
      <c r="Q67" s="36"/>
      <c r="R67" s="36"/>
      <c r="S67" s="32"/>
      <c r="T67" s="32">
        <v>17</v>
      </c>
      <c r="U67" s="32" t="s">
        <v>95</v>
      </c>
      <c r="V67" s="32" t="s">
        <v>95</v>
      </c>
      <c r="W67" s="32">
        <v>14</v>
      </c>
      <c r="X67" s="36"/>
      <c r="Y67" s="36"/>
      <c r="Z67" s="32"/>
      <c r="AA67" s="32"/>
      <c r="AB67" s="32"/>
      <c r="AC67" s="32"/>
      <c r="AD67" s="32"/>
      <c r="AE67" s="36"/>
      <c r="AF67" s="36"/>
      <c r="AG67" s="32"/>
      <c r="AH67" s="32" t="s">
        <v>242</v>
      </c>
      <c r="AI67" s="34"/>
      <c r="AJ67" s="26" t="e">
        <f>_xlfn.CONCAT(#REF!,#REF!)</f>
        <v>#REF!</v>
      </c>
      <c r="AK67" s="27" t="e">
        <f t="shared" ref="AK67:AK92" si="14">D67+AL67+AM67+AN67-$AK$50+AO67+AP67</f>
        <v>#REF!</v>
      </c>
      <c r="AL67" s="28">
        <f t="shared" si="10"/>
        <v>0</v>
      </c>
      <c r="AM67">
        <f t="shared" si="11"/>
        <v>72</v>
      </c>
      <c r="AN67" s="29">
        <f t="shared" si="12"/>
        <v>120</v>
      </c>
      <c r="AO67" s="1">
        <f t="shared" si="13"/>
        <v>0</v>
      </c>
    </row>
    <row r="68" spans="1:41" ht="15.9">
      <c r="A68" s="1" t="s">
        <v>152</v>
      </c>
      <c r="B68" s="1" t="s">
        <v>64</v>
      </c>
      <c r="C68" s="291" t="s">
        <v>20</v>
      </c>
      <c r="D68" s="161" t="e">
        <f>#REF!</f>
        <v>#REF!</v>
      </c>
      <c r="E68" s="204">
        <v>8</v>
      </c>
      <c r="F68" s="32" t="s">
        <v>256</v>
      </c>
      <c r="G68" s="32" t="s">
        <v>256</v>
      </c>
      <c r="H68" s="32" t="s">
        <v>256</v>
      </c>
      <c r="I68" s="32"/>
      <c r="J68" s="36" t="s">
        <v>98</v>
      </c>
      <c r="K68" s="36" t="s">
        <v>98</v>
      </c>
      <c r="L68" s="32" t="s">
        <v>66</v>
      </c>
      <c r="M68" s="32"/>
      <c r="N68" s="32"/>
      <c r="O68" s="32"/>
      <c r="P68" s="32"/>
      <c r="Q68" s="36"/>
      <c r="R68" s="36"/>
      <c r="S68" s="32">
        <v>8</v>
      </c>
      <c r="T68" s="32">
        <v>8</v>
      </c>
      <c r="U68" s="32">
        <v>8</v>
      </c>
      <c r="V68" s="32">
        <v>8</v>
      </c>
      <c r="W68" s="32">
        <v>8</v>
      </c>
      <c r="X68" s="36"/>
      <c r="Y68" s="36" t="s">
        <v>98</v>
      </c>
      <c r="Z68" s="32" t="s">
        <v>98</v>
      </c>
      <c r="AA68" s="32"/>
      <c r="AB68" s="32"/>
      <c r="AC68" s="32"/>
      <c r="AD68" s="32"/>
      <c r="AE68" s="36"/>
      <c r="AF68" s="36"/>
      <c r="AG68" s="32"/>
      <c r="AH68" s="32"/>
      <c r="AI68" s="34"/>
      <c r="AJ68" s="26" t="e">
        <f>_xlfn.CONCAT(#REF!,#REF!)</f>
        <v>#REF!</v>
      </c>
      <c r="AK68" s="27" t="e">
        <f t="shared" si="14"/>
        <v>#REF!</v>
      </c>
      <c r="AL68" s="28">
        <f t="shared" si="10"/>
        <v>0</v>
      </c>
      <c r="AM68">
        <f t="shared" si="11"/>
        <v>96</v>
      </c>
      <c r="AN68" s="29">
        <f t="shared" si="12"/>
        <v>48</v>
      </c>
      <c r="AO68" s="1">
        <f t="shared" si="13"/>
        <v>0</v>
      </c>
    </row>
    <row r="69" spans="1:41" ht="15.9">
      <c r="A69" s="1" t="s">
        <v>152</v>
      </c>
      <c r="B69" s="1" t="s">
        <v>64</v>
      </c>
      <c r="C69" s="291" t="s">
        <v>21</v>
      </c>
      <c r="D69" s="161" t="e">
        <f>#REF!</f>
        <v>#REF!</v>
      </c>
      <c r="E69" s="204">
        <v>8</v>
      </c>
      <c r="F69" s="32" t="s">
        <v>256</v>
      </c>
      <c r="G69" s="32" t="s">
        <v>256</v>
      </c>
      <c r="H69" s="32" t="s">
        <v>256</v>
      </c>
      <c r="I69" s="32"/>
      <c r="J69" s="36" t="s">
        <v>113</v>
      </c>
      <c r="K69" s="36"/>
      <c r="L69" s="32"/>
      <c r="M69" s="32"/>
      <c r="N69" s="32"/>
      <c r="O69" s="32">
        <v>8</v>
      </c>
      <c r="P69" s="32"/>
      <c r="Q69" s="36" t="s">
        <v>59</v>
      </c>
      <c r="R69" s="36"/>
      <c r="S69" s="32">
        <v>8</v>
      </c>
      <c r="T69" s="32">
        <v>8</v>
      </c>
      <c r="U69" s="32"/>
      <c r="V69" s="32"/>
      <c r="W69" s="32"/>
      <c r="X69" s="36" t="s">
        <v>113</v>
      </c>
      <c r="Y69" s="36"/>
      <c r="Z69" s="32"/>
      <c r="AA69" s="32"/>
      <c r="AB69" s="32"/>
      <c r="AC69" s="32"/>
      <c r="AD69" s="32"/>
      <c r="AE69" s="36" t="s">
        <v>113</v>
      </c>
      <c r="AF69" s="36"/>
      <c r="AG69" s="32"/>
      <c r="AH69" s="32"/>
      <c r="AI69" s="34"/>
      <c r="AJ69" s="26" t="e">
        <f>_xlfn.CONCAT(#REF!,#REF!)</f>
        <v>#REF!</v>
      </c>
      <c r="AK69" s="27" t="e">
        <f t="shared" si="14"/>
        <v>#REF!</v>
      </c>
      <c r="AL69" s="28">
        <f t="shared" si="10"/>
        <v>96</v>
      </c>
      <c r="AM69">
        <f t="shared" si="11"/>
        <v>0</v>
      </c>
      <c r="AN69" s="29">
        <f t="shared" si="12"/>
        <v>32</v>
      </c>
      <c r="AO69" s="1">
        <f t="shared" si="13"/>
        <v>0</v>
      </c>
    </row>
    <row r="70" spans="1:41" ht="15.9">
      <c r="A70" s="1" t="s">
        <v>155</v>
      </c>
      <c r="B70" s="1" t="s">
        <v>59</v>
      </c>
      <c r="C70" s="290" t="s">
        <v>22</v>
      </c>
      <c r="D70" s="161" t="e">
        <f>#REF!</f>
        <v>#REF!</v>
      </c>
      <c r="E70" s="204"/>
      <c r="F70" s="32"/>
      <c r="G70" s="32"/>
      <c r="H70" s="32"/>
      <c r="I70" s="32"/>
      <c r="J70" s="36"/>
      <c r="K70" s="36"/>
      <c r="L70" s="32"/>
      <c r="M70" s="32">
        <v>4</v>
      </c>
      <c r="N70" s="32"/>
      <c r="O70" s="32"/>
      <c r="P70" s="32"/>
      <c r="Q70" s="36"/>
      <c r="R70" s="36"/>
      <c r="S70" s="32"/>
      <c r="T70" s="32">
        <v>6</v>
      </c>
      <c r="U70" s="32"/>
      <c r="V70" s="32"/>
      <c r="W70" s="32"/>
      <c r="X70" s="36"/>
      <c r="Y70" s="36"/>
      <c r="Z70" s="32"/>
      <c r="AA70" s="32" t="s">
        <v>257</v>
      </c>
      <c r="AB70" s="32"/>
      <c r="AC70" s="32"/>
      <c r="AD70" s="32"/>
      <c r="AE70" s="36"/>
      <c r="AF70" s="36"/>
      <c r="AG70" s="32"/>
      <c r="AH70" s="32"/>
      <c r="AI70" s="34"/>
      <c r="AJ70" s="26" t="e">
        <f>_xlfn.CONCAT(#REF!,#REF!)</f>
        <v>#REF!</v>
      </c>
      <c r="AK70" s="27" t="e">
        <f t="shared" si="14"/>
        <v>#REF!</v>
      </c>
      <c r="AL70" s="28">
        <f t="shared" si="10"/>
        <v>0</v>
      </c>
      <c r="AM70">
        <f t="shared" si="11"/>
        <v>0</v>
      </c>
      <c r="AN70" s="29">
        <f t="shared" si="12"/>
        <v>10</v>
      </c>
      <c r="AO70" s="1">
        <f t="shared" si="13"/>
        <v>0</v>
      </c>
    </row>
    <row r="71" spans="1:41" ht="15.9">
      <c r="A71" s="1" t="s">
        <v>155</v>
      </c>
      <c r="B71" s="1" t="s">
        <v>59</v>
      </c>
      <c r="C71" s="290" t="s">
        <v>23</v>
      </c>
      <c r="D71" s="161" t="e">
        <f>#REF!</f>
        <v>#REF!</v>
      </c>
      <c r="E71" s="204"/>
      <c r="F71" s="32"/>
      <c r="G71" s="32"/>
      <c r="H71" s="32"/>
      <c r="I71" s="32"/>
      <c r="J71" s="36"/>
      <c r="K71" s="36"/>
      <c r="L71" s="32"/>
      <c r="M71" s="32"/>
      <c r="N71" s="32"/>
      <c r="O71" s="32"/>
      <c r="P71" s="32"/>
      <c r="Q71" s="36"/>
      <c r="R71" s="36"/>
      <c r="S71" s="32"/>
      <c r="T71" s="32"/>
      <c r="U71" s="32"/>
      <c r="V71" s="32"/>
      <c r="W71" s="32"/>
      <c r="X71" s="36"/>
      <c r="Y71" s="36"/>
      <c r="Z71" s="32" t="s">
        <v>92</v>
      </c>
      <c r="AA71" s="32" t="s">
        <v>95</v>
      </c>
      <c r="AB71" s="32" t="s">
        <v>95</v>
      </c>
      <c r="AC71" s="32" t="s">
        <v>95</v>
      </c>
      <c r="AD71" s="32" t="s">
        <v>95</v>
      </c>
      <c r="AE71" s="36" t="s">
        <v>95</v>
      </c>
      <c r="AF71" s="36" t="s">
        <v>95</v>
      </c>
      <c r="AG71" s="32" t="s">
        <v>95</v>
      </c>
      <c r="AH71" s="32" t="s">
        <v>92</v>
      </c>
      <c r="AI71" s="34"/>
      <c r="AJ71" s="26" t="e">
        <f>_xlfn.CONCAT(#REF!,#REF!)</f>
        <v>#REF!</v>
      </c>
      <c r="AK71" s="27" t="e">
        <f t="shared" si="14"/>
        <v>#REF!</v>
      </c>
      <c r="AL71" s="28">
        <f t="shared" si="10"/>
        <v>0</v>
      </c>
      <c r="AM71">
        <f t="shared" si="11"/>
        <v>192</v>
      </c>
      <c r="AN71" s="29">
        <f t="shared" si="12"/>
        <v>0</v>
      </c>
      <c r="AO71" s="1">
        <f t="shared" si="13"/>
        <v>0</v>
      </c>
    </row>
    <row r="72" spans="1:41" ht="15.9">
      <c r="A72" s="1" t="s">
        <v>155</v>
      </c>
      <c r="B72" s="1" t="s">
        <v>64</v>
      </c>
      <c r="C72" s="290" t="s">
        <v>24</v>
      </c>
      <c r="D72" s="161" t="e">
        <f>#REF!</f>
        <v>#REF!</v>
      </c>
      <c r="E72" s="204" t="s">
        <v>95</v>
      </c>
      <c r="F72" s="32">
        <v>13</v>
      </c>
      <c r="G72" s="32" t="s">
        <v>75</v>
      </c>
      <c r="H72" s="32" t="s">
        <v>75</v>
      </c>
      <c r="I72" s="32" t="s">
        <v>75</v>
      </c>
      <c r="J72" s="36"/>
      <c r="K72" s="36" t="s">
        <v>66</v>
      </c>
      <c r="L72" s="32" t="s">
        <v>75</v>
      </c>
      <c r="M72" s="32" t="s">
        <v>75</v>
      </c>
      <c r="N72" s="32" t="s">
        <v>75</v>
      </c>
      <c r="O72" s="32" t="s">
        <v>75</v>
      </c>
      <c r="P72" s="32" t="s">
        <v>75</v>
      </c>
      <c r="Q72" s="36" t="s">
        <v>66</v>
      </c>
      <c r="R72" s="36" t="s">
        <v>66</v>
      </c>
      <c r="S72" s="32" t="s">
        <v>75</v>
      </c>
      <c r="T72" s="32" t="s">
        <v>75</v>
      </c>
      <c r="U72" s="32" t="s">
        <v>75</v>
      </c>
      <c r="V72" s="32"/>
      <c r="W72" s="32">
        <v>17.5</v>
      </c>
      <c r="X72" s="36" t="s">
        <v>95</v>
      </c>
      <c r="Y72" s="36" t="s">
        <v>92</v>
      </c>
      <c r="Z72" s="32"/>
      <c r="AA72" s="32"/>
      <c r="AB72" s="32"/>
      <c r="AC72" s="32"/>
      <c r="AD72" s="32"/>
      <c r="AE72" s="36"/>
      <c r="AF72" s="36"/>
      <c r="AG72" s="32"/>
      <c r="AH72" s="32"/>
      <c r="AI72" s="34"/>
      <c r="AJ72" s="26" t="e">
        <f>_xlfn.CONCAT(#REF!,#REF!)</f>
        <v>#REF!</v>
      </c>
      <c r="AK72" s="27" t="e">
        <f t="shared" si="14"/>
        <v>#REF!</v>
      </c>
      <c r="AL72" s="28">
        <f t="shared" si="10"/>
        <v>0</v>
      </c>
      <c r="AM72">
        <f t="shared" si="11"/>
        <v>60</v>
      </c>
      <c r="AN72" s="29">
        <f t="shared" si="12"/>
        <v>118.5</v>
      </c>
      <c r="AO72" s="1">
        <f t="shared" si="13"/>
        <v>0</v>
      </c>
    </row>
    <row r="73" spans="1:41" ht="15.9">
      <c r="A73" s="1" t="s">
        <v>152</v>
      </c>
      <c r="B73" s="1" t="s">
        <v>73</v>
      </c>
      <c r="C73" s="291" t="s">
        <v>25</v>
      </c>
      <c r="D73" s="161" t="e">
        <f>#REF!</f>
        <v>#REF!</v>
      </c>
      <c r="E73" s="204"/>
      <c r="F73" s="32"/>
      <c r="G73" s="32"/>
      <c r="H73" s="32"/>
      <c r="I73" s="32"/>
      <c r="J73" s="36">
        <v>17</v>
      </c>
      <c r="K73" s="36" t="s">
        <v>98</v>
      </c>
      <c r="L73" s="32">
        <v>24</v>
      </c>
      <c r="M73" s="32"/>
      <c r="N73" s="32"/>
      <c r="O73" s="32"/>
      <c r="P73" s="32">
        <v>16.5</v>
      </c>
      <c r="Q73" s="36" t="s">
        <v>98</v>
      </c>
      <c r="R73" s="36">
        <v>22.5</v>
      </c>
      <c r="S73" s="32"/>
      <c r="T73" s="32"/>
      <c r="U73" s="32"/>
      <c r="V73" s="32"/>
      <c r="W73" s="32"/>
      <c r="X73" s="36"/>
      <c r="Y73" s="36" t="s">
        <v>98</v>
      </c>
      <c r="Z73" s="32" t="s">
        <v>98</v>
      </c>
      <c r="AA73" s="32"/>
      <c r="AB73" s="32"/>
      <c r="AC73" s="32"/>
      <c r="AD73" s="32"/>
      <c r="AE73" s="36"/>
      <c r="AF73" s="36" t="s">
        <v>113</v>
      </c>
      <c r="AG73" s="32"/>
      <c r="AH73" s="32"/>
      <c r="AI73" s="34"/>
      <c r="AJ73" s="26" t="e">
        <f>_xlfn.CONCAT(#REF!,#REF!)</f>
        <v>#REF!</v>
      </c>
      <c r="AK73" s="27" t="e">
        <f t="shared" si="14"/>
        <v>#REF!</v>
      </c>
      <c r="AL73" s="28">
        <f t="shared" si="10"/>
        <v>24</v>
      </c>
      <c r="AM73">
        <f t="shared" si="11"/>
        <v>96</v>
      </c>
      <c r="AN73" s="29">
        <f t="shared" si="12"/>
        <v>80</v>
      </c>
      <c r="AO73" s="1">
        <f t="shared" si="13"/>
        <v>0</v>
      </c>
    </row>
    <row r="74" spans="1:41" ht="15.9">
      <c r="A74" s="1" t="s">
        <v>155</v>
      </c>
      <c r="B74" s="1" t="s">
        <v>59</v>
      </c>
      <c r="C74" s="290" t="s">
        <v>26</v>
      </c>
      <c r="D74" s="161" t="e">
        <f>#REF!</f>
        <v>#REF!</v>
      </c>
      <c r="E74" s="204"/>
      <c r="F74" s="32">
        <v>16</v>
      </c>
      <c r="G74" s="32" t="s">
        <v>95</v>
      </c>
      <c r="H74" s="32" t="s">
        <v>95</v>
      </c>
      <c r="I74" s="32" t="s">
        <v>95</v>
      </c>
      <c r="J74" s="36" t="s">
        <v>95</v>
      </c>
      <c r="K74" s="36" t="s">
        <v>95</v>
      </c>
      <c r="L74" s="32" t="s">
        <v>95</v>
      </c>
      <c r="M74" s="32">
        <v>12.5</v>
      </c>
      <c r="N74" s="32"/>
      <c r="O74" s="32"/>
      <c r="P74" s="32"/>
      <c r="Q74" s="36"/>
      <c r="R74" s="36"/>
      <c r="S74" s="32" t="s">
        <v>88</v>
      </c>
      <c r="T74" s="32" t="s">
        <v>88</v>
      </c>
      <c r="U74" s="32" t="s">
        <v>88</v>
      </c>
      <c r="V74" s="32" t="s">
        <v>88</v>
      </c>
      <c r="W74" s="32" t="s">
        <v>258</v>
      </c>
      <c r="X74" s="36"/>
      <c r="Y74" s="36"/>
      <c r="Z74" s="32" t="s">
        <v>88</v>
      </c>
      <c r="AA74" s="32" t="s">
        <v>88</v>
      </c>
      <c r="AB74" s="32" t="s">
        <v>88</v>
      </c>
      <c r="AC74" s="32" t="s">
        <v>88</v>
      </c>
      <c r="AD74" s="32" t="s">
        <v>88</v>
      </c>
      <c r="AE74" s="36"/>
      <c r="AF74" s="36"/>
      <c r="AG74" s="32" t="s">
        <v>88</v>
      </c>
      <c r="AH74" s="32" t="s">
        <v>88</v>
      </c>
      <c r="AI74" s="34" t="s">
        <v>88</v>
      </c>
      <c r="AJ74" s="26" t="e">
        <f>_xlfn.CONCAT(#REF!,#REF!)</f>
        <v>#REF!</v>
      </c>
      <c r="AK74" s="27" t="e">
        <f t="shared" si="14"/>
        <v>#REF!</v>
      </c>
      <c r="AL74" s="28">
        <f t="shared" si="10"/>
        <v>0</v>
      </c>
      <c r="AM74">
        <f t="shared" si="11"/>
        <v>144</v>
      </c>
      <c r="AN74" s="29">
        <f t="shared" si="12"/>
        <v>124.5</v>
      </c>
      <c r="AO74" s="1">
        <f t="shared" si="13"/>
        <v>0</v>
      </c>
    </row>
    <row r="75" spans="1:41" ht="15.9">
      <c r="A75" s="1" t="s">
        <v>152</v>
      </c>
      <c r="B75" s="1" t="s">
        <v>73</v>
      </c>
      <c r="C75" s="291" t="s">
        <v>27</v>
      </c>
      <c r="D75" s="161" t="e">
        <f>#REF!</f>
        <v>#REF!</v>
      </c>
      <c r="E75" s="204" t="s">
        <v>69</v>
      </c>
      <c r="F75" s="32"/>
      <c r="G75" s="32"/>
      <c r="H75" s="32"/>
      <c r="I75" s="32"/>
      <c r="J75" s="36"/>
      <c r="K75" s="36" t="s">
        <v>59</v>
      </c>
      <c r="L75" s="32"/>
      <c r="M75" s="32"/>
      <c r="N75" s="32"/>
      <c r="O75" s="32"/>
      <c r="P75" s="32" t="s">
        <v>59</v>
      </c>
      <c r="Q75" s="36"/>
      <c r="R75" s="36"/>
      <c r="S75" s="32"/>
      <c r="T75" s="32"/>
      <c r="U75" s="32"/>
      <c r="V75" s="32"/>
      <c r="W75" s="32"/>
      <c r="X75" s="36"/>
      <c r="Y75" s="36"/>
      <c r="Z75" s="32"/>
      <c r="AA75" s="32"/>
      <c r="AB75" s="32" t="s">
        <v>113</v>
      </c>
      <c r="AC75" s="32"/>
      <c r="AD75" s="32"/>
      <c r="AE75" s="36"/>
      <c r="AF75" s="36"/>
      <c r="AG75" s="32"/>
      <c r="AH75" s="32"/>
      <c r="AI75" s="34"/>
      <c r="AJ75" s="26" t="e">
        <f>_xlfn.CONCAT(#REF!,#REF!)</f>
        <v>#REF!</v>
      </c>
      <c r="AK75" s="27" t="e">
        <f t="shared" si="14"/>
        <v>#REF!</v>
      </c>
      <c r="AL75" s="28">
        <f t="shared" si="10"/>
        <v>72</v>
      </c>
      <c r="AM75">
        <f t="shared" si="11"/>
        <v>12</v>
      </c>
      <c r="AN75" s="29">
        <f t="shared" si="12"/>
        <v>0</v>
      </c>
      <c r="AO75" s="1">
        <f t="shared" si="13"/>
        <v>0</v>
      </c>
    </row>
    <row r="76" spans="1:41" ht="15.9">
      <c r="A76" s="1" t="s">
        <v>155</v>
      </c>
      <c r="B76" s="1" t="s">
        <v>93</v>
      </c>
      <c r="C76" s="290" t="s">
        <v>28</v>
      </c>
      <c r="D76" s="161" t="e">
        <f>#REF!</f>
        <v>#REF!</v>
      </c>
      <c r="E76" s="204">
        <v>8</v>
      </c>
      <c r="F76" s="32"/>
      <c r="G76" s="32">
        <v>7</v>
      </c>
      <c r="H76" s="32"/>
      <c r="I76" s="32"/>
      <c r="J76" s="36"/>
      <c r="K76" s="36"/>
      <c r="L76" s="32"/>
      <c r="M76" s="32"/>
      <c r="N76" s="32"/>
      <c r="O76" s="32"/>
      <c r="P76" s="32"/>
      <c r="Q76" s="36"/>
      <c r="R76" s="36"/>
      <c r="S76" s="32"/>
      <c r="T76" s="32" t="s">
        <v>92</v>
      </c>
      <c r="U76" s="32" t="s">
        <v>95</v>
      </c>
      <c r="V76" s="32" t="s">
        <v>95</v>
      </c>
      <c r="W76" s="32" t="s">
        <v>95</v>
      </c>
      <c r="X76" s="36" t="s">
        <v>95</v>
      </c>
      <c r="Y76" s="36" t="s">
        <v>95</v>
      </c>
      <c r="Z76" s="32" t="s">
        <v>95</v>
      </c>
      <c r="AA76" s="32" t="s">
        <v>92</v>
      </c>
      <c r="AB76" s="32"/>
      <c r="AC76" s="32"/>
      <c r="AD76" s="32"/>
      <c r="AE76" s="36"/>
      <c r="AF76" s="36"/>
      <c r="AG76" s="32"/>
      <c r="AH76" s="32"/>
      <c r="AI76" s="34"/>
      <c r="AJ76" s="26" t="e">
        <f>_xlfn.CONCAT(#REF!,#REF!)</f>
        <v>#REF!</v>
      </c>
      <c r="AK76" s="27" t="e">
        <f t="shared" si="14"/>
        <v>#REF!</v>
      </c>
      <c r="AL76" s="28">
        <f t="shared" si="10"/>
        <v>0</v>
      </c>
      <c r="AM76">
        <f t="shared" si="11"/>
        <v>168</v>
      </c>
      <c r="AN76" s="29">
        <f t="shared" si="12"/>
        <v>15</v>
      </c>
      <c r="AO76" s="1">
        <f t="shared" si="13"/>
        <v>0</v>
      </c>
    </row>
    <row r="77" spans="1:41" ht="15.9">
      <c r="A77" s="1" t="s">
        <v>152</v>
      </c>
      <c r="B77" s="1" t="s">
        <v>59</v>
      </c>
      <c r="C77" s="291" t="s">
        <v>160</v>
      </c>
      <c r="D77" s="161" t="e">
        <f>#REF!</f>
        <v>#REF!</v>
      </c>
      <c r="E77" s="204">
        <v>8</v>
      </c>
      <c r="F77" s="32"/>
      <c r="G77" s="32"/>
      <c r="H77" s="32"/>
      <c r="I77" s="32">
        <v>8</v>
      </c>
      <c r="J77" s="36"/>
      <c r="K77" s="297" t="s">
        <v>59</v>
      </c>
      <c r="L77" s="32"/>
      <c r="M77" s="32"/>
      <c r="N77" s="32" t="s">
        <v>257</v>
      </c>
      <c r="O77" s="32" t="s">
        <v>259</v>
      </c>
      <c r="P77" s="32">
        <v>5</v>
      </c>
      <c r="Q77" s="36"/>
      <c r="R77" s="36"/>
      <c r="S77" s="32"/>
      <c r="T77" s="32">
        <v>8</v>
      </c>
      <c r="U77" s="32"/>
      <c r="V77" s="32" t="s">
        <v>113</v>
      </c>
      <c r="W77" s="32"/>
      <c r="X77" s="36"/>
      <c r="Y77" s="36"/>
      <c r="Z77" s="32"/>
      <c r="AA77" s="32"/>
      <c r="AB77" s="32"/>
      <c r="AC77" s="32" t="s">
        <v>113</v>
      </c>
      <c r="AD77" s="32"/>
      <c r="AE77" s="36"/>
      <c r="AF77" s="36"/>
      <c r="AG77" s="32"/>
      <c r="AH77" s="34" t="s">
        <v>258</v>
      </c>
      <c r="AI77" s="34"/>
      <c r="AJ77" s="26" t="e">
        <f>_xlfn.CONCAT(#REF!,#REF!)</f>
        <v>#REF!</v>
      </c>
      <c r="AK77" s="27" t="e">
        <f t="shared" si="14"/>
        <v>#REF!</v>
      </c>
      <c r="AL77" s="28">
        <f t="shared" si="10"/>
        <v>72</v>
      </c>
      <c r="AM77">
        <f t="shared" si="11"/>
        <v>0</v>
      </c>
      <c r="AN77" s="29">
        <f t="shared" si="12"/>
        <v>29</v>
      </c>
      <c r="AO77" s="1">
        <f t="shared" si="13"/>
        <v>0</v>
      </c>
    </row>
    <row r="78" spans="1:41" ht="15.9">
      <c r="A78" s="1" t="s">
        <v>155</v>
      </c>
      <c r="B78" s="1" t="s">
        <v>73</v>
      </c>
      <c r="C78" s="290" t="s">
        <v>29</v>
      </c>
      <c r="D78" s="161" t="e">
        <f>#REF!</f>
        <v>#REF!</v>
      </c>
      <c r="E78" s="204" t="s">
        <v>95</v>
      </c>
      <c r="F78" s="32">
        <v>15</v>
      </c>
      <c r="G78" s="32"/>
      <c r="H78" s="32">
        <v>8</v>
      </c>
      <c r="I78" s="32"/>
      <c r="J78" s="36"/>
      <c r="K78" s="36"/>
      <c r="L78" s="32"/>
      <c r="M78" s="32"/>
      <c r="N78" s="32"/>
      <c r="O78" s="32"/>
      <c r="P78" s="32"/>
      <c r="Q78" s="36"/>
      <c r="R78" s="36"/>
      <c r="S78" s="32"/>
      <c r="T78" s="32"/>
      <c r="U78" s="32"/>
      <c r="V78" s="32"/>
      <c r="W78" s="32"/>
      <c r="X78" s="36"/>
      <c r="Y78" s="36" t="s">
        <v>113</v>
      </c>
      <c r="Z78" s="32"/>
      <c r="AA78" s="32"/>
      <c r="AB78" s="32"/>
      <c r="AC78" s="32"/>
      <c r="AD78" s="32"/>
      <c r="AE78" s="36"/>
      <c r="AF78" s="36"/>
      <c r="AG78" s="32"/>
      <c r="AH78" s="32" t="s">
        <v>92</v>
      </c>
      <c r="AI78" s="34" t="s">
        <v>95</v>
      </c>
      <c r="AJ78" s="26" t="e">
        <f>_xlfn.CONCAT(#REF!,#REF!)</f>
        <v>#REF!</v>
      </c>
      <c r="AK78" s="27" t="e">
        <f t="shared" si="14"/>
        <v>#REF!</v>
      </c>
      <c r="AL78" s="28">
        <f t="shared" si="10"/>
        <v>24</v>
      </c>
      <c r="AM78">
        <f t="shared" si="11"/>
        <v>60</v>
      </c>
      <c r="AN78" s="29">
        <f t="shared" si="12"/>
        <v>23</v>
      </c>
      <c r="AO78" s="1">
        <f t="shared" si="13"/>
        <v>0</v>
      </c>
    </row>
    <row r="79" spans="1:41" ht="15.9">
      <c r="A79" s="1" t="s">
        <v>155</v>
      </c>
      <c r="B79" s="1" t="s">
        <v>59</v>
      </c>
      <c r="C79" s="290" t="s">
        <v>30</v>
      </c>
      <c r="D79" s="161" t="e">
        <f>#REF!</f>
        <v>#REF!</v>
      </c>
      <c r="E79" s="204" t="s">
        <v>95</v>
      </c>
      <c r="F79" s="32">
        <v>15</v>
      </c>
      <c r="G79" s="32"/>
      <c r="H79" s="32"/>
      <c r="I79" s="32"/>
      <c r="J79" s="36"/>
      <c r="K79" s="36"/>
      <c r="L79" s="32"/>
      <c r="M79" s="32"/>
      <c r="N79" s="32"/>
      <c r="O79" s="32"/>
      <c r="P79" s="32"/>
      <c r="Q79" s="36"/>
      <c r="R79" s="36"/>
      <c r="S79" s="32"/>
      <c r="T79" s="32" t="s">
        <v>92</v>
      </c>
      <c r="U79" s="32" t="s">
        <v>95</v>
      </c>
      <c r="V79" s="32" t="s">
        <v>95</v>
      </c>
      <c r="W79" s="32" t="s">
        <v>95</v>
      </c>
      <c r="X79" s="36" t="s">
        <v>95</v>
      </c>
      <c r="Y79" s="36" t="s">
        <v>95</v>
      </c>
      <c r="Z79" s="32" t="s">
        <v>95</v>
      </c>
      <c r="AA79" s="32" t="s">
        <v>92</v>
      </c>
      <c r="AB79" s="32"/>
      <c r="AC79" s="32"/>
      <c r="AD79" s="32"/>
      <c r="AE79" s="36"/>
      <c r="AF79" s="36"/>
      <c r="AG79" s="32"/>
      <c r="AH79" s="32" t="s">
        <v>88</v>
      </c>
      <c r="AI79" s="34" t="s">
        <v>88</v>
      </c>
      <c r="AJ79" s="26" t="e">
        <f>_xlfn.CONCAT(#REF!,#REF!)</f>
        <v>#REF!</v>
      </c>
      <c r="AK79" s="27" t="e">
        <f t="shared" si="14"/>
        <v>#REF!</v>
      </c>
      <c r="AL79" s="28">
        <f t="shared" si="10"/>
        <v>0</v>
      </c>
      <c r="AM79">
        <f t="shared" si="11"/>
        <v>192</v>
      </c>
      <c r="AN79" s="29">
        <f t="shared" si="12"/>
        <v>31</v>
      </c>
      <c r="AO79" s="1">
        <f t="shared" si="13"/>
        <v>0</v>
      </c>
    </row>
    <row r="80" spans="1:41" ht="15.9">
      <c r="A80" s="1" t="s">
        <v>155</v>
      </c>
      <c r="B80" s="1" t="s">
        <v>73</v>
      </c>
      <c r="C80" s="290" t="s">
        <v>31</v>
      </c>
      <c r="D80" s="161" t="e">
        <f>#REF!</f>
        <v>#REF!</v>
      </c>
      <c r="E80" s="204"/>
      <c r="F80" s="32">
        <v>16</v>
      </c>
      <c r="G80" s="32" t="s">
        <v>95</v>
      </c>
      <c r="H80" s="32" t="s">
        <v>95</v>
      </c>
      <c r="I80" s="32" t="s">
        <v>95</v>
      </c>
      <c r="J80" s="36" t="s">
        <v>95</v>
      </c>
      <c r="K80" s="36" t="s">
        <v>95</v>
      </c>
      <c r="L80" s="32" t="s">
        <v>95</v>
      </c>
      <c r="M80" s="32">
        <v>12</v>
      </c>
      <c r="N80" s="32"/>
      <c r="O80" s="32"/>
      <c r="P80" s="32"/>
      <c r="Q80" s="36"/>
      <c r="R80" s="36"/>
      <c r="S80" s="32"/>
      <c r="T80" s="32"/>
      <c r="U80" s="32"/>
      <c r="V80" s="32"/>
      <c r="W80" s="32"/>
      <c r="X80" s="36"/>
      <c r="Y80" s="36"/>
      <c r="Z80" s="32"/>
      <c r="AA80" s="32"/>
      <c r="AB80" s="32"/>
      <c r="AC80" s="32"/>
      <c r="AD80" s="32"/>
      <c r="AE80" s="36"/>
      <c r="AF80" s="36"/>
      <c r="AG80" s="32"/>
      <c r="AH80" s="32"/>
      <c r="AI80" s="34"/>
      <c r="AJ80" s="26" t="e">
        <f>_xlfn.CONCAT(#REF!,#REF!)</f>
        <v>#REF!</v>
      </c>
      <c r="AK80" s="27" t="e">
        <f t="shared" si="14"/>
        <v>#REF!</v>
      </c>
      <c r="AL80" s="28">
        <f t="shared" si="10"/>
        <v>0</v>
      </c>
      <c r="AM80">
        <f t="shared" si="11"/>
        <v>144</v>
      </c>
      <c r="AN80" s="29">
        <f t="shared" si="12"/>
        <v>28</v>
      </c>
      <c r="AO80" s="1">
        <f t="shared" si="13"/>
        <v>0</v>
      </c>
    </row>
    <row r="81" spans="1:41" ht="15.9">
      <c r="A81" s="1" t="s">
        <v>157</v>
      </c>
      <c r="B81" s="1" t="s">
        <v>64</v>
      </c>
      <c r="C81" s="292" t="s">
        <v>32</v>
      </c>
      <c r="D81" s="161" t="e">
        <f>#REF!</f>
        <v>#REF!</v>
      </c>
      <c r="E81" s="204" t="s">
        <v>238</v>
      </c>
      <c r="F81" s="32" t="s">
        <v>238</v>
      </c>
      <c r="G81" s="32" t="s">
        <v>238</v>
      </c>
      <c r="H81" s="32" t="s">
        <v>238</v>
      </c>
      <c r="I81" s="32" t="s">
        <v>238</v>
      </c>
      <c r="J81" s="36"/>
      <c r="K81" s="36"/>
      <c r="L81" s="32" t="s">
        <v>238</v>
      </c>
      <c r="M81" s="32" t="s">
        <v>238</v>
      </c>
      <c r="N81" s="32" t="s">
        <v>238</v>
      </c>
      <c r="O81" s="32" t="s">
        <v>238</v>
      </c>
      <c r="P81" s="32" t="s">
        <v>238</v>
      </c>
      <c r="Q81" s="36"/>
      <c r="R81" s="36"/>
      <c r="S81" s="32" t="s">
        <v>238</v>
      </c>
      <c r="T81" s="32" t="s">
        <v>238</v>
      </c>
      <c r="U81" s="32" t="s">
        <v>238</v>
      </c>
      <c r="V81" s="32" t="s">
        <v>238</v>
      </c>
      <c r="W81" s="32" t="s">
        <v>238</v>
      </c>
      <c r="X81" s="36"/>
      <c r="Y81" s="36"/>
      <c r="Z81" s="32" t="s">
        <v>238</v>
      </c>
      <c r="AA81" s="32" t="s">
        <v>238</v>
      </c>
      <c r="AB81" s="32" t="s">
        <v>238</v>
      </c>
      <c r="AC81" s="32" t="s">
        <v>238</v>
      </c>
      <c r="AD81" s="32" t="s">
        <v>238</v>
      </c>
      <c r="AE81" s="36"/>
      <c r="AF81" s="36"/>
      <c r="AG81" s="32" t="s">
        <v>238</v>
      </c>
      <c r="AH81" s="32" t="s">
        <v>238</v>
      </c>
      <c r="AI81" s="34" t="s">
        <v>238</v>
      </c>
      <c r="AJ81" s="26" t="e">
        <f>_xlfn.CONCAT(#REF!,#REF!)</f>
        <v>#REF!</v>
      </c>
      <c r="AK81" s="27" t="e">
        <f t="shared" si="14"/>
        <v>#REF!</v>
      </c>
      <c r="AL81" s="28">
        <f t="shared" si="10"/>
        <v>0</v>
      </c>
      <c r="AM81">
        <f t="shared" si="11"/>
        <v>0</v>
      </c>
      <c r="AN81" s="29">
        <f>SUM(E81:AI81)+COUNTIF(E81:AI81,"uw")*8+COUNTIF(E81:AI81,"us")*8+COUNTIF(E81:AI81,"uz")*8+COUNTIF(E81:AI81,"u")*8+COUNTIF(E81:AI81,"zs")*8</f>
        <v>184</v>
      </c>
      <c r="AO81" s="1">
        <f t="shared" si="13"/>
        <v>0</v>
      </c>
    </row>
    <row r="82" spans="1:41" ht="15.9">
      <c r="A82" s="1" t="s">
        <v>155</v>
      </c>
      <c r="B82" s="1" t="s">
        <v>73</v>
      </c>
      <c r="C82" s="298" t="s">
        <v>33</v>
      </c>
      <c r="D82" s="161" t="e">
        <f>#REF!</f>
        <v>#REF!</v>
      </c>
      <c r="E82" s="204"/>
      <c r="F82" s="32"/>
      <c r="G82" s="32"/>
      <c r="H82" s="32"/>
      <c r="I82" s="32"/>
      <c r="J82" s="36"/>
      <c r="K82" s="36"/>
      <c r="L82" s="32"/>
      <c r="M82" s="32"/>
      <c r="N82" s="32"/>
      <c r="O82" s="32"/>
      <c r="P82" s="32"/>
      <c r="Q82" s="36"/>
      <c r="R82" s="36"/>
      <c r="S82" s="32" t="s">
        <v>113</v>
      </c>
      <c r="T82" s="32"/>
      <c r="U82" s="32"/>
      <c r="V82" s="32"/>
      <c r="W82" s="32" t="s">
        <v>113</v>
      </c>
      <c r="X82" s="36"/>
      <c r="Y82" s="36"/>
      <c r="Z82" s="32"/>
      <c r="AA82" s="32" t="s">
        <v>113</v>
      </c>
      <c r="AB82" s="32"/>
      <c r="AC82" s="32"/>
      <c r="AD82" s="32"/>
      <c r="AE82" s="36"/>
      <c r="AF82" s="36"/>
      <c r="AG82" s="32" t="s">
        <v>69</v>
      </c>
      <c r="AH82" s="32" t="s">
        <v>70</v>
      </c>
      <c r="AI82" s="34" t="s">
        <v>70</v>
      </c>
      <c r="AJ82" s="26" t="e">
        <f>_xlfn.CONCAT(#REF!,#REF!)</f>
        <v>#REF!</v>
      </c>
      <c r="AK82" s="27" t="e">
        <f t="shared" si="14"/>
        <v>#REF!</v>
      </c>
      <c r="AL82" s="28">
        <f t="shared" si="10"/>
        <v>72</v>
      </c>
      <c r="AM82">
        <f t="shared" si="11"/>
        <v>60</v>
      </c>
      <c r="AN82" s="29">
        <f t="shared" ref="AN82:AN101" si="15">SUM(E82:AI82)+COUNTIF(E82:AI82,"uw")*8+COUNTIF(E82:AI82,"us")*8+COUNTIF(E82:AI82,"uz")*8+COUNTIF(E82:AI82,"u")*8</f>
        <v>0</v>
      </c>
      <c r="AO82" s="1">
        <f t="shared" si="13"/>
        <v>0</v>
      </c>
    </row>
    <row r="83" spans="1:41" ht="15.9">
      <c r="A83" s="1" t="s">
        <v>152</v>
      </c>
      <c r="B83" s="1" t="s">
        <v>64</v>
      </c>
      <c r="C83" s="292" t="s">
        <v>34</v>
      </c>
      <c r="D83" s="161" t="e">
        <f>#REF!</f>
        <v>#REF!</v>
      </c>
      <c r="E83" s="204"/>
      <c r="F83" s="32" t="s">
        <v>256</v>
      </c>
      <c r="G83" s="32" t="s">
        <v>256</v>
      </c>
      <c r="H83" s="32" t="s">
        <v>256</v>
      </c>
      <c r="I83" s="32" t="s">
        <v>113</v>
      </c>
      <c r="J83" s="36"/>
      <c r="K83" s="36"/>
      <c r="L83" s="32"/>
      <c r="M83" s="32"/>
      <c r="N83" s="32"/>
      <c r="O83" s="32"/>
      <c r="P83" s="32"/>
      <c r="Q83" s="36" t="s">
        <v>113</v>
      </c>
      <c r="R83" s="36"/>
      <c r="S83" s="32" t="s">
        <v>75</v>
      </c>
      <c r="T83" s="32" t="s">
        <v>75</v>
      </c>
      <c r="U83" s="32" t="s">
        <v>75</v>
      </c>
      <c r="V83" s="32" t="s">
        <v>75</v>
      </c>
      <c r="W83" s="32" t="s">
        <v>75</v>
      </c>
      <c r="X83" s="36"/>
      <c r="Y83" s="36"/>
      <c r="Z83" s="32"/>
      <c r="AA83" s="32"/>
      <c r="AB83" s="32"/>
      <c r="AC83" s="32" t="s">
        <v>83</v>
      </c>
      <c r="AD83" s="32" t="s">
        <v>83</v>
      </c>
      <c r="AE83" s="36"/>
      <c r="AF83" s="36"/>
      <c r="AG83" s="32" t="s">
        <v>83</v>
      </c>
      <c r="AH83" s="32" t="s">
        <v>83</v>
      </c>
      <c r="AI83" s="34"/>
      <c r="AJ83" s="26" t="e">
        <f>_xlfn.CONCAT(#REF!,#REF!)</f>
        <v>#REF!</v>
      </c>
      <c r="AK83" s="27" t="e">
        <f t="shared" si="14"/>
        <v>#REF!</v>
      </c>
      <c r="AL83" s="28">
        <f t="shared" ref="AL83:AL101" si="16">COUNTIF(E83:AI83,"D")*24+COUNTIF(E83:AI83,"12g")*12</f>
        <v>48</v>
      </c>
      <c r="AM83">
        <f t="shared" ref="AM83:AM101" si="17">SUM(COUNTIF(E83:AI83,"k")+COUNTIF(E83:AI83,"s")+COUNTIF(E83:AI83,"wse"))*24+SUM(COUNTIF(E83:AI83,"Pk")+COUNTIF(E83:AI83,"Ps"))*12</f>
        <v>0</v>
      </c>
      <c r="AN83" s="29">
        <f t="shared" si="15"/>
        <v>72</v>
      </c>
      <c r="AO83" s="1">
        <f t="shared" si="13"/>
        <v>0</v>
      </c>
    </row>
    <row r="84" spans="1:41" ht="15.9">
      <c r="A84" s="1" t="s">
        <v>156</v>
      </c>
      <c r="B84" s="1" t="s">
        <v>64</v>
      </c>
      <c r="C84" s="292" t="s">
        <v>35</v>
      </c>
      <c r="D84" s="161" t="e">
        <f>#REF!</f>
        <v>#REF!</v>
      </c>
      <c r="E84" s="204"/>
      <c r="F84" s="32"/>
      <c r="G84" s="32"/>
      <c r="H84" s="32"/>
      <c r="I84" s="32"/>
      <c r="J84" s="36">
        <v>17</v>
      </c>
      <c r="K84" s="36" t="s">
        <v>98</v>
      </c>
      <c r="L84" s="32">
        <v>24</v>
      </c>
      <c r="M84" s="32"/>
      <c r="N84" s="32"/>
      <c r="O84" s="32"/>
      <c r="P84" s="32" t="s">
        <v>113</v>
      </c>
      <c r="Q84" s="36"/>
      <c r="R84" s="36"/>
      <c r="S84" s="32"/>
      <c r="T84" s="32"/>
      <c r="U84" s="32"/>
      <c r="V84" s="32"/>
      <c r="W84" s="32"/>
      <c r="X84" s="36"/>
      <c r="Y84" s="36"/>
      <c r="Z84" s="32"/>
      <c r="AA84" s="32"/>
      <c r="AB84" s="32"/>
      <c r="AC84" s="32"/>
      <c r="AD84" s="32"/>
      <c r="AE84" s="36"/>
      <c r="AF84" s="36"/>
      <c r="AG84" s="32"/>
      <c r="AH84" s="32"/>
      <c r="AI84" s="34"/>
      <c r="AJ84" s="26" t="e">
        <f>_xlfn.CONCAT(#REF!,#REF!)</f>
        <v>#REF!</v>
      </c>
      <c r="AK84" s="27" t="e">
        <f t="shared" si="14"/>
        <v>#REF!</v>
      </c>
      <c r="AL84" s="28">
        <f t="shared" si="16"/>
        <v>24</v>
      </c>
      <c r="AM84">
        <f t="shared" si="17"/>
        <v>24</v>
      </c>
      <c r="AN84" s="29">
        <f t="shared" si="15"/>
        <v>41</v>
      </c>
      <c r="AO84" s="1">
        <f t="shared" si="13"/>
        <v>0</v>
      </c>
    </row>
    <row r="85" spans="1:41" ht="15.9">
      <c r="A85" s="1" t="s">
        <v>156</v>
      </c>
      <c r="B85" s="1" t="s">
        <v>59</v>
      </c>
      <c r="C85" s="292" t="s">
        <v>36</v>
      </c>
      <c r="D85" s="161" t="e">
        <f>#REF!</f>
        <v>#REF!</v>
      </c>
      <c r="E85" s="204"/>
      <c r="F85" s="32"/>
      <c r="G85" s="32"/>
      <c r="H85" s="32"/>
      <c r="I85" s="32"/>
      <c r="J85" s="36"/>
      <c r="K85" s="36"/>
      <c r="L85" s="32"/>
      <c r="M85" s="32">
        <v>17</v>
      </c>
      <c r="N85" s="32" t="s">
        <v>95</v>
      </c>
      <c r="O85" s="32" t="s">
        <v>95</v>
      </c>
      <c r="P85" s="32" t="s">
        <v>95</v>
      </c>
      <c r="Q85" s="36" t="s">
        <v>95</v>
      </c>
      <c r="R85" s="36" t="s">
        <v>95</v>
      </c>
      <c r="S85" s="32" t="s">
        <v>95</v>
      </c>
      <c r="T85" s="32" t="s">
        <v>92</v>
      </c>
      <c r="U85" s="32" t="s">
        <v>66</v>
      </c>
      <c r="V85" s="32" t="s">
        <v>66</v>
      </c>
      <c r="W85" s="32" t="s">
        <v>66</v>
      </c>
      <c r="X85" s="36" t="s">
        <v>66</v>
      </c>
      <c r="Y85" s="36" t="s">
        <v>66</v>
      </c>
      <c r="Z85" s="32" t="s">
        <v>66</v>
      </c>
      <c r="AA85" s="32" t="s">
        <v>66</v>
      </c>
      <c r="AB85" s="32" t="s">
        <v>66</v>
      </c>
      <c r="AC85" s="32" t="s">
        <v>66</v>
      </c>
      <c r="AD85" s="32" t="s">
        <v>66</v>
      </c>
      <c r="AE85" s="36"/>
      <c r="AF85" s="36"/>
      <c r="AG85" s="32"/>
      <c r="AH85" s="32" t="s">
        <v>92</v>
      </c>
      <c r="AI85" s="34" t="s">
        <v>95</v>
      </c>
      <c r="AJ85" s="26" t="e">
        <f>_xlfn.CONCAT(#REF!,#REF!)</f>
        <v>#REF!</v>
      </c>
      <c r="AK85" s="27" t="e">
        <f t="shared" si="14"/>
        <v>#REF!</v>
      </c>
      <c r="AL85" s="28">
        <f t="shared" si="16"/>
        <v>0</v>
      </c>
      <c r="AM85">
        <f t="shared" si="17"/>
        <v>192</v>
      </c>
      <c r="AN85" s="29">
        <f t="shared" si="15"/>
        <v>17</v>
      </c>
      <c r="AO85" s="1">
        <f t="shared" si="13"/>
        <v>0</v>
      </c>
    </row>
    <row r="86" spans="1:41" ht="15.9">
      <c r="A86" s="1" t="s">
        <v>152</v>
      </c>
      <c r="B86" s="1" t="s">
        <v>93</v>
      </c>
      <c r="C86" s="291" t="s">
        <v>37</v>
      </c>
      <c r="D86" s="161" t="e">
        <f>#REF!</f>
        <v>#REF!</v>
      </c>
      <c r="E86" s="204"/>
      <c r="F86" s="32">
        <v>7</v>
      </c>
      <c r="G86" s="32">
        <v>7</v>
      </c>
      <c r="H86" s="32" t="s">
        <v>59</v>
      </c>
      <c r="I86" s="32"/>
      <c r="J86" s="36"/>
      <c r="K86" s="36"/>
      <c r="L86" s="32">
        <v>7</v>
      </c>
      <c r="M86" s="32">
        <v>8</v>
      </c>
      <c r="N86" s="32" t="s">
        <v>113</v>
      </c>
      <c r="O86" s="32"/>
      <c r="P86" s="32">
        <v>8</v>
      </c>
      <c r="Q86" s="36"/>
      <c r="R86" s="36"/>
      <c r="S86" s="32">
        <v>8</v>
      </c>
      <c r="T86" s="32" t="s">
        <v>113</v>
      </c>
      <c r="U86" s="32"/>
      <c r="V86" s="32"/>
      <c r="W86" s="32"/>
      <c r="X86" s="36"/>
      <c r="Y86" s="36" t="s">
        <v>98</v>
      </c>
      <c r="Z86" s="32" t="s">
        <v>98</v>
      </c>
      <c r="AA86" s="32"/>
      <c r="AB86" s="32"/>
      <c r="AC86" s="32"/>
      <c r="AD86" s="32"/>
      <c r="AE86" s="36"/>
      <c r="AF86" s="36"/>
      <c r="AG86" s="32"/>
      <c r="AH86" s="32" t="s">
        <v>242</v>
      </c>
      <c r="AI86" s="34"/>
      <c r="AJ86" s="26" t="e">
        <f>_xlfn.CONCAT(#REF!,#REF!)</f>
        <v>#REF!</v>
      </c>
      <c r="AK86" s="27" t="e">
        <f t="shared" si="14"/>
        <v>#REF!</v>
      </c>
      <c r="AL86" s="28">
        <f t="shared" si="16"/>
        <v>72</v>
      </c>
      <c r="AM86">
        <f t="shared" si="17"/>
        <v>48</v>
      </c>
      <c r="AN86" s="29">
        <f t="shared" si="15"/>
        <v>45</v>
      </c>
      <c r="AO86" s="1">
        <f t="shared" si="13"/>
        <v>0</v>
      </c>
    </row>
    <row r="87" spans="1:41" ht="15.9">
      <c r="A87" s="1" t="s">
        <v>152</v>
      </c>
      <c r="B87" s="1" t="s">
        <v>64</v>
      </c>
      <c r="C87" s="291" t="s">
        <v>38</v>
      </c>
      <c r="D87" s="161" t="e">
        <f>#REF!</f>
        <v>#REF!</v>
      </c>
      <c r="E87" s="204" t="s">
        <v>59</v>
      </c>
      <c r="F87" s="32"/>
      <c r="G87" s="32"/>
      <c r="H87" s="32" t="s">
        <v>59</v>
      </c>
      <c r="I87" s="32"/>
      <c r="J87" s="36"/>
      <c r="K87" s="36"/>
      <c r="L87" s="32"/>
      <c r="M87" s="32" t="s">
        <v>113</v>
      </c>
      <c r="N87" s="32"/>
      <c r="O87" s="32"/>
      <c r="P87" s="32">
        <v>17</v>
      </c>
      <c r="Q87" s="36" t="s">
        <v>98</v>
      </c>
      <c r="R87" s="36">
        <v>23</v>
      </c>
      <c r="S87" s="32"/>
      <c r="T87" s="32"/>
      <c r="U87" s="32"/>
      <c r="V87" s="32"/>
      <c r="W87" s="32"/>
      <c r="X87" s="36"/>
      <c r="Y87" s="36" t="s">
        <v>98</v>
      </c>
      <c r="Z87" s="32" t="s">
        <v>98</v>
      </c>
      <c r="AA87" s="32"/>
      <c r="AB87" s="32"/>
      <c r="AC87" s="32"/>
      <c r="AD87" s="32"/>
      <c r="AE87" s="36"/>
      <c r="AF87" s="36"/>
      <c r="AG87" s="32" t="s">
        <v>113</v>
      </c>
      <c r="AH87" s="32"/>
      <c r="AI87" s="34"/>
      <c r="AJ87" s="26" t="e">
        <f>_xlfn.CONCAT(#REF!,#REF!)</f>
        <v>#REF!</v>
      </c>
      <c r="AK87" s="27" t="e">
        <f t="shared" si="14"/>
        <v>#REF!</v>
      </c>
      <c r="AL87" s="28">
        <f t="shared" si="16"/>
        <v>96</v>
      </c>
      <c r="AM87">
        <f t="shared" si="17"/>
        <v>72</v>
      </c>
      <c r="AN87" s="29">
        <f t="shared" si="15"/>
        <v>40</v>
      </c>
      <c r="AO87" s="1">
        <f t="shared" si="13"/>
        <v>0</v>
      </c>
    </row>
    <row r="88" spans="1:41" ht="15.9">
      <c r="A88" s="1" t="s">
        <v>155</v>
      </c>
      <c r="B88" s="1" t="s">
        <v>93</v>
      </c>
      <c r="C88" s="290" t="s">
        <v>39</v>
      </c>
      <c r="D88" s="161" t="e">
        <f>#REF!</f>
        <v>#REF!</v>
      </c>
      <c r="E88" s="204"/>
      <c r="F88" s="32"/>
      <c r="G88" s="32"/>
      <c r="H88" s="32"/>
      <c r="I88" s="32"/>
      <c r="J88" s="36"/>
      <c r="K88" s="36"/>
      <c r="L88" s="32"/>
      <c r="M88" s="32"/>
      <c r="N88" s="32"/>
      <c r="O88" s="32"/>
      <c r="P88" s="32"/>
      <c r="Q88" s="36"/>
      <c r="R88" s="36"/>
      <c r="S88" s="32"/>
      <c r="T88" s="32"/>
      <c r="U88" s="32"/>
      <c r="V88" s="32"/>
      <c r="W88" s="32" t="s">
        <v>258</v>
      </c>
      <c r="X88" s="36"/>
      <c r="Y88" s="36"/>
      <c r="Z88" s="32" t="s">
        <v>113</v>
      </c>
      <c r="AA88" s="32"/>
      <c r="AB88" s="32"/>
      <c r="AC88" s="32"/>
      <c r="AD88" s="32" t="s">
        <v>92</v>
      </c>
      <c r="AE88" s="36" t="s">
        <v>95</v>
      </c>
      <c r="AF88" s="36" t="s">
        <v>95</v>
      </c>
      <c r="AG88" s="32" t="s">
        <v>95</v>
      </c>
      <c r="AH88" s="32" t="s">
        <v>92</v>
      </c>
      <c r="AI88" s="34"/>
      <c r="AJ88" s="26" t="e">
        <f>_xlfn.CONCAT(#REF!,#REF!)</f>
        <v>#REF!</v>
      </c>
      <c r="AK88" s="27" t="e">
        <f t="shared" si="14"/>
        <v>#REF!</v>
      </c>
      <c r="AL88" s="28">
        <f t="shared" si="16"/>
        <v>24</v>
      </c>
      <c r="AM88">
        <f t="shared" si="17"/>
        <v>96</v>
      </c>
      <c r="AN88" s="29">
        <f t="shared" si="15"/>
        <v>0</v>
      </c>
      <c r="AO88" s="1">
        <f t="shared" si="13"/>
        <v>0</v>
      </c>
    </row>
    <row r="89" spans="1:41" ht="15.9">
      <c r="A89" s="1" t="s">
        <v>155</v>
      </c>
      <c r="B89" s="1" t="s">
        <v>64</v>
      </c>
      <c r="C89" s="290" t="s">
        <v>40</v>
      </c>
      <c r="D89" s="161" t="e">
        <f>#REF!</f>
        <v>#REF!</v>
      </c>
      <c r="E89" s="204"/>
      <c r="F89" s="32"/>
      <c r="G89" s="32"/>
      <c r="H89" s="32"/>
      <c r="I89" s="32"/>
      <c r="J89" s="36"/>
      <c r="K89" s="36"/>
      <c r="L89" s="32"/>
      <c r="M89" s="32"/>
      <c r="N89" s="32"/>
      <c r="O89" s="32"/>
      <c r="P89" s="32"/>
      <c r="Q89" s="36"/>
      <c r="R89" s="36"/>
      <c r="S89" s="32"/>
      <c r="T89" s="32"/>
      <c r="U89" s="32"/>
      <c r="V89" s="32"/>
      <c r="W89" s="32" t="s">
        <v>101</v>
      </c>
      <c r="X89" s="36" t="s">
        <v>66</v>
      </c>
      <c r="Y89" s="36" t="s">
        <v>66</v>
      </c>
      <c r="Z89" s="32" t="s">
        <v>101</v>
      </c>
      <c r="AA89" s="32" t="s">
        <v>101</v>
      </c>
      <c r="AB89" s="32" t="s">
        <v>101</v>
      </c>
      <c r="AC89" s="32" t="s">
        <v>101</v>
      </c>
      <c r="AD89" s="32" t="s">
        <v>101</v>
      </c>
      <c r="AE89" s="36" t="s">
        <v>66</v>
      </c>
      <c r="AF89" s="36" t="s">
        <v>66</v>
      </c>
      <c r="AG89" s="32" t="s">
        <v>101</v>
      </c>
      <c r="AH89" s="32" t="s">
        <v>101</v>
      </c>
      <c r="AI89" s="34" t="s">
        <v>101</v>
      </c>
      <c r="AJ89" s="26" t="e">
        <f>_xlfn.CONCAT(#REF!,#REF!)</f>
        <v>#REF!</v>
      </c>
      <c r="AK89" s="27" t="e">
        <f t="shared" si="14"/>
        <v>#REF!</v>
      </c>
      <c r="AL89" s="28">
        <f t="shared" si="16"/>
        <v>0</v>
      </c>
      <c r="AM89">
        <f t="shared" si="17"/>
        <v>0</v>
      </c>
      <c r="AN89" s="29">
        <f t="shared" si="15"/>
        <v>0</v>
      </c>
      <c r="AO89" s="1">
        <f>(11+3*24+11)</f>
        <v>94</v>
      </c>
    </row>
    <row r="90" spans="1:41" ht="15.9">
      <c r="A90" s="1" t="s">
        <v>58</v>
      </c>
      <c r="B90" s="1" t="s">
        <v>64</v>
      </c>
      <c r="C90" s="290" t="s">
        <v>41</v>
      </c>
      <c r="D90" s="161" t="e">
        <f>#REF!</f>
        <v>#REF!</v>
      </c>
      <c r="E90" s="204"/>
      <c r="F90" s="32">
        <v>16.5</v>
      </c>
      <c r="G90" s="32" t="s">
        <v>95</v>
      </c>
      <c r="H90" s="32" t="s">
        <v>95</v>
      </c>
      <c r="I90" s="32" t="s">
        <v>95</v>
      </c>
      <c r="J90" s="36" t="s">
        <v>95</v>
      </c>
      <c r="K90" s="36" t="s">
        <v>95</v>
      </c>
      <c r="L90" s="32" t="s">
        <v>95</v>
      </c>
      <c r="M90" s="32">
        <v>11.5</v>
      </c>
      <c r="N90" s="32"/>
      <c r="O90" s="32"/>
      <c r="P90" s="32"/>
      <c r="Q90" s="36"/>
      <c r="R90" s="36"/>
      <c r="S90" s="32"/>
      <c r="T90" s="32"/>
      <c r="U90" s="32"/>
      <c r="V90" s="32"/>
      <c r="W90" s="32"/>
      <c r="X90" s="36"/>
      <c r="Y90" s="36"/>
      <c r="Z90" s="32"/>
      <c r="AA90" s="32"/>
      <c r="AB90" s="32"/>
      <c r="AC90" s="32"/>
      <c r="AD90" s="32" t="s">
        <v>92</v>
      </c>
      <c r="AE90" s="36" t="s">
        <v>95</v>
      </c>
      <c r="AF90" s="36" t="s">
        <v>95</v>
      </c>
      <c r="AG90" s="32" t="s">
        <v>95</v>
      </c>
      <c r="AH90" s="32" t="s">
        <v>92</v>
      </c>
      <c r="AI90" s="34"/>
      <c r="AJ90" s="26" t="e">
        <f>_xlfn.CONCAT(#REF!,#REF!)</f>
        <v>#REF!</v>
      </c>
      <c r="AK90" s="27" t="e">
        <f t="shared" si="14"/>
        <v>#REF!</v>
      </c>
      <c r="AL90" s="28">
        <f t="shared" si="16"/>
        <v>0</v>
      </c>
      <c r="AM90">
        <f t="shared" si="17"/>
        <v>240</v>
      </c>
      <c r="AN90" s="29">
        <f t="shared" si="15"/>
        <v>28</v>
      </c>
      <c r="AO90" s="1">
        <f t="shared" ref="AO90:AO101" si="18">COUNTIF(E90:AI90,"DT")*8</f>
        <v>0</v>
      </c>
    </row>
    <row r="91" spans="1:41" ht="15.9">
      <c r="A91" s="1" t="s">
        <v>155</v>
      </c>
      <c r="B91" s="1" t="s">
        <v>93</v>
      </c>
      <c r="C91" s="290" t="s">
        <v>42</v>
      </c>
      <c r="D91" s="161" t="e">
        <f>#REF!</f>
        <v>#REF!</v>
      </c>
      <c r="E91" s="204"/>
      <c r="F91" s="32"/>
      <c r="G91" s="32"/>
      <c r="H91" s="32"/>
      <c r="I91" s="32"/>
      <c r="J91" s="36"/>
      <c r="K91" s="36"/>
      <c r="L91" s="32"/>
      <c r="M91" s="32"/>
      <c r="N91" s="32"/>
      <c r="O91" s="32"/>
      <c r="P91" s="32"/>
      <c r="Q91" s="36"/>
      <c r="R91" s="36"/>
      <c r="S91" s="32"/>
      <c r="T91" s="32"/>
      <c r="U91" s="32"/>
      <c r="V91" s="32"/>
      <c r="W91" s="32" t="s">
        <v>258</v>
      </c>
      <c r="X91" s="36"/>
      <c r="Y91" s="36"/>
      <c r="Z91" s="32"/>
      <c r="AA91" s="32"/>
      <c r="AB91" s="32"/>
      <c r="AC91" s="32" t="s">
        <v>75</v>
      </c>
      <c r="AD91" s="32" t="s">
        <v>75</v>
      </c>
      <c r="AE91" s="36" t="s">
        <v>66</v>
      </c>
      <c r="AF91" s="36" t="s">
        <v>66</v>
      </c>
      <c r="AG91" s="32" t="s">
        <v>75</v>
      </c>
      <c r="AH91" s="32" t="s">
        <v>75</v>
      </c>
      <c r="AI91" s="34" t="s">
        <v>75</v>
      </c>
      <c r="AJ91" s="26" t="e">
        <f>_xlfn.CONCAT(#REF!,#REF!)</f>
        <v>#REF!</v>
      </c>
      <c r="AK91" s="27" t="e">
        <f t="shared" si="14"/>
        <v>#REF!</v>
      </c>
      <c r="AL91" s="28">
        <f t="shared" si="16"/>
        <v>0</v>
      </c>
      <c r="AM91">
        <f t="shared" si="17"/>
        <v>0</v>
      </c>
      <c r="AN91" s="29">
        <f t="shared" si="15"/>
        <v>40</v>
      </c>
      <c r="AO91" s="1">
        <f t="shared" si="18"/>
        <v>0</v>
      </c>
    </row>
    <row r="92" spans="1:41" ht="15.9">
      <c r="A92" s="1" t="s">
        <v>155</v>
      </c>
      <c r="B92" s="1" t="s">
        <v>73</v>
      </c>
      <c r="C92" s="290" t="s">
        <v>43</v>
      </c>
      <c r="D92" s="161" t="e">
        <f>#REF!</f>
        <v>#REF!</v>
      </c>
      <c r="E92" s="299"/>
      <c r="F92" s="37"/>
      <c r="G92" s="37"/>
      <c r="H92" s="37"/>
      <c r="I92" s="37"/>
      <c r="J92" s="207"/>
      <c r="K92" s="207"/>
      <c r="L92" s="37"/>
      <c r="M92" s="37"/>
      <c r="N92" s="37"/>
      <c r="O92" s="37"/>
      <c r="P92" s="37"/>
      <c r="Q92" s="207"/>
      <c r="R92" s="207"/>
      <c r="S92" s="37"/>
      <c r="T92" s="37"/>
      <c r="U92" s="37"/>
      <c r="V92" s="37"/>
      <c r="W92" s="37" t="s">
        <v>258</v>
      </c>
      <c r="X92" s="207"/>
      <c r="Y92" s="207"/>
      <c r="Z92" s="37"/>
      <c r="AA92" s="37"/>
      <c r="AB92" s="37"/>
      <c r="AC92" s="37"/>
      <c r="AD92" s="37"/>
      <c r="AE92" s="207"/>
      <c r="AF92" s="207"/>
      <c r="AG92" s="37"/>
      <c r="AH92" s="37"/>
      <c r="AI92" s="300"/>
      <c r="AJ92" s="26" t="e">
        <f>_xlfn.CONCAT(#REF!,#REF!)</f>
        <v>#REF!</v>
      </c>
      <c r="AK92" s="27" t="e">
        <f t="shared" si="14"/>
        <v>#REF!</v>
      </c>
      <c r="AL92" s="28">
        <f t="shared" si="16"/>
        <v>0</v>
      </c>
      <c r="AM92">
        <f t="shared" si="17"/>
        <v>0</v>
      </c>
      <c r="AN92" s="29">
        <f t="shared" si="15"/>
        <v>0</v>
      </c>
      <c r="AO92" s="1">
        <f t="shared" si="18"/>
        <v>0</v>
      </c>
    </row>
    <row r="93" spans="1:41" ht="15.9">
      <c r="A93" s="1" t="s">
        <v>152</v>
      </c>
      <c r="B93" s="1" t="s">
        <v>64</v>
      </c>
      <c r="C93" s="291" t="s">
        <v>44</v>
      </c>
      <c r="D93" s="161" t="e">
        <f>#REF!</f>
        <v>#REF!</v>
      </c>
      <c r="E93" s="704" t="s">
        <v>260</v>
      </c>
      <c r="F93" s="704"/>
      <c r="G93" s="704"/>
      <c r="H93" s="704"/>
      <c r="I93" s="704"/>
      <c r="J93" s="704"/>
      <c r="K93" s="704"/>
      <c r="L93" s="704"/>
      <c r="M93" s="704"/>
      <c r="N93" s="704"/>
      <c r="O93" s="704"/>
      <c r="P93" s="704"/>
      <c r="Q93" s="704"/>
      <c r="R93" s="704"/>
      <c r="S93" s="704"/>
      <c r="T93" s="704"/>
      <c r="U93" s="704"/>
      <c r="V93" s="704"/>
      <c r="W93" s="704"/>
      <c r="X93" s="704"/>
      <c r="Y93" s="704"/>
      <c r="Z93" s="704"/>
      <c r="AA93" s="704"/>
      <c r="AB93" s="704"/>
      <c r="AC93" s="704"/>
      <c r="AD93" s="704"/>
      <c r="AE93" s="704"/>
      <c r="AF93" s="704"/>
      <c r="AG93" s="704"/>
      <c r="AH93" s="704"/>
      <c r="AI93" s="704"/>
      <c r="AJ93" s="26" t="e">
        <f>_xlfn.CONCAT(#REF!,#REF!)</f>
        <v>#REF!</v>
      </c>
      <c r="AK93" s="27">
        <v>-98.5</v>
      </c>
      <c r="AL93" s="28">
        <f t="shared" si="16"/>
        <v>0</v>
      </c>
      <c r="AM93">
        <f t="shared" si="17"/>
        <v>0</v>
      </c>
      <c r="AN93" s="29">
        <f t="shared" si="15"/>
        <v>0</v>
      </c>
      <c r="AO93" s="1">
        <f t="shared" si="18"/>
        <v>0</v>
      </c>
    </row>
    <row r="94" spans="1:41" ht="15.9">
      <c r="A94" s="1" t="s">
        <v>152</v>
      </c>
      <c r="B94" s="1" t="s">
        <v>73</v>
      </c>
      <c r="C94" s="291" t="s">
        <v>163</v>
      </c>
      <c r="D94" s="161" t="e">
        <f>#REF!</f>
        <v>#REF!</v>
      </c>
      <c r="E94" s="302"/>
      <c r="F94" s="41"/>
      <c r="G94" s="41" t="s">
        <v>59</v>
      </c>
      <c r="H94" s="41"/>
      <c r="I94" s="41"/>
      <c r="J94" s="208"/>
      <c r="K94" s="208"/>
      <c r="L94" s="41" t="s">
        <v>113</v>
      </c>
      <c r="M94" s="41"/>
      <c r="N94" s="41">
        <v>7</v>
      </c>
      <c r="O94" s="41">
        <v>8</v>
      </c>
      <c r="P94" s="41">
        <v>17</v>
      </c>
      <c r="Q94" s="208" t="s">
        <v>98</v>
      </c>
      <c r="R94" s="208">
        <v>23</v>
      </c>
      <c r="S94" s="41"/>
      <c r="T94" s="41">
        <v>7</v>
      </c>
      <c r="U94" s="41"/>
      <c r="V94" s="41"/>
      <c r="W94" s="41"/>
      <c r="X94" s="208"/>
      <c r="Y94" s="208"/>
      <c r="Z94" s="41"/>
      <c r="AA94" s="41"/>
      <c r="AB94" s="41"/>
      <c r="AC94" s="41"/>
      <c r="AD94" s="41"/>
      <c r="AE94" s="208"/>
      <c r="AF94" s="208"/>
      <c r="AG94" s="41"/>
      <c r="AH94" s="41" t="s">
        <v>242</v>
      </c>
      <c r="AI94" s="303">
        <v>16</v>
      </c>
      <c r="AJ94" s="26" t="e">
        <f>_xlfn.CONCAT(#REF!,#REF!)</f>
        <v>#REF!</v>
      </c>
      <c r="AK94" s="27" t="e">
        <f t="shared" ref="AK94:AK101" si="19">D94+AL94+AM94+AN94-$AK$50+AO94+AP94</f>
        <v>#REF!</v>
      </c>
      <c r="AL94" s="28">
        <f t="shared" si="16"/>
        <v>48</v>
      </c>
      <c r="AM94">
        <f t="shared" si="17"/>
        <v>24</v>
      </c>
      <c r="AN94" s="29">
        <f t="shared" si="15"/>
        <v>78</v>
      </c>
      <c r="AO94" s="1">
        <f t="shared" si="18"/>
        <v>0</v>
      </c>
    </row>
    <row r="95" spans="1:41" ht="15.9">
      <c r="A95" s="1" t="s">
        <v>152</v>
      </c>
      <c r="B95" s="1" t="s">
        <v>64</v>
      </c>
      <c r="C95" s="291" t="s">
        <v>45</v>
      </c>
      <c r="D95" s="161" t="e">
        <f>#REF!</f>
        <v>#REF!</v>
      </c>
      <c r="E95" s="204">
        <v>8</v>
      </c>
      <c r="F95" s="32">
        <v>8</v>
      </c>
      <c r="G95" s="32"/>
      <c r="H95" s="32"/>
      <c r="I95" s="32" t="s">
        <v>113</v>
      </c>
      <c r="J95" s="36"/>
      <c r="K95" s="36"/>
      <c r="L95" s="32"/>
      <c r="M95" s="32" t="s">
        <v>59</v>
      </c>
      <c r="N95" s="32"/>
      <c r="O95" s="32"/>
      <c r="P95" s="32">
        <v>8</v>
      </c>
      <c r="Q95" s="36"/>
      <c r="R95" s="36"/>
      <c r="S95" s="32">
        <v>8</v>
      </c>
      <c r="T95" s="32"/>
      <c r="U95" s="32"/>
      <c r="V95" s="32"/>
      <c r="W95" s="32"/>
      <c r="X95" s="36"/>
      <c r="Y95" s="36" t="s">
        <v>113</v>
      </c>
      <c r="Z95" s="32"/>
      <c r="AA95" s="32"/>
      <c r="AB95" s="32"/>
      <c r="AC95" s="32" t="s">
        <v>113</v>
      </c>
      <c r="AD95" s="32"/>
      <c r="AE95" s="36"/>
      <c r="AF95" s="36"/>
      <c r="AG95" s="32"/>
      <c r="AH95" s="32" t="s">
        <v>113</v>
      </c>
      <c r="AI95" s="34"/>
      <c r="AJ95" s="26" t="e">
        <f>_xlfn.CONCAT(#REF!,#REF!)</f>
        <v>#REF!</v>
      </c>
      <c r="AK95" s="27" t="e">
        <f t="shared" si="19"/>
        <v>#REF!</v>
      </c>
      <c r="AL95" s="28">
        <f t="shared" si="16"/>
        <v>120</v>
      </c>
      <c r="AM95">
        <f t="shared" si="17"/>
        <v>0</v>
      </c>
      <c r="AN95" s="29">
        <f t="shared" si="15"/>
        <v>32</v>
      </c>
      <c r="AO95" s="1">
        <f t="shared" si="18"/>
        <v>0</v>
      </c>
    </row>
    <row r="96" spans="1:41" ht="15.9">
      <c r="A96" s="1" t="s">
        <v>152</v>
      </c>
      <c r="B96" s="1" t="s">
        <v>93</v>
      </c>
      <c r="C96" s="291" t="s">
        <v>46</v>
      </c>
      <c r="D96" s="161" t="e">
        <f>#REF!</f>
        <v>#REF!</v>
      </c>
      <c r="E96" s="204" t="s">
        <v>59</v>
      </c>
      <c r="F96" s="32"/>
      <c r="G96" s="32"/>
      <c r="H96" s="32"/>
      <c r="I96" s="32"/>
      <c r="J96" s="36">
        <v>17</v>
      </c>
      <c r="K96" s="36" t="s">
        <v>98</v>
      </c>
      <c r="L96" s="32">
        <v>24</v>
      </c>
      <c r="M96" s="32"/>
      <c r="N96" s="32"/>
      <c r="O96" s="32"/>
      <c r="P96" s="32"/>
      <c r="Q96" s="36"/>
      <c r="R96" s="36"/>
      <c r="S96" s="32">
        <v>8</v>
      </c>
      <c r="T96" s="32"/>
      <c r="U96" s="32"/>
      <c r="V96" s="32"/>
      <c r="W96" s="32"/>
      <c r="X96" s="36"/>
      <c r="Y96" s="36"/>
      <c r="Z96" s="32" t="s">
        <v>113</v>
      </c>
      <c r="AA96" s="32"/>
      <c r="AB96" s="32"/>
      <c r="AC96" s="32"/>
      <c r="AD96" s="32"/>
      <c r="AE96" s="36"/>
      <c r="AF96" s="36"/>
      <c r="AG96" s="32"/>
      <c r="AH96" s="32"/>
      <c r="AI96" s="34">
        <v>16</v>
      </c>
      <c r="AJ96" s="26" t="e">
        <f>_xlfn.CONCAT(#REF!,#REF!)</f>
        <v>#REF!</v>
      </c>
      <c r="AK96" s="27" t="e">
        <f t="shared" si="19"/>
        <v>#REF!</v>
      </c>
      <c r="AL96" s="28">
        <f t="shared" si="16"/>
        <v>48</v>
      </c>
      <c r="AM96">
        <f t="shared" si="17"/>
        <v>24</v>
      </c>
      <c r="AN96" s="29">
        <f t="shared" si="15"/>
        <v>65</v>
      </c>
      <c r="AO96" s="1">
        <f t="shared" si="18"/>
        <v>0</v>
      </c>
    </row>
    <row r="97" spans="1:42" ht="15.9">
      <c r="A97" s="1" t="s">
        <v>152</v>
      </c>
      <c r="B97" s="1" t="s">
        <v>64</v>
      </c>
      <c r="C97" s="291" t="s">
        <v>47</v>
      </c>
      <c r="D97" s="161" t="e">
        <f>#REF!</f>
        <v>#REF!</v>
      </c>
      <c r="E97" s="204"/>
      <c r="F97" s="32">
        <v>1</v>
      </c>
      <c r="G97" s="32"/>
      <c r="H97" s="32"/>
      <c r="I97" s="32" t="s">
        <v>75</v>
      </c>
      <c r="J97" s="36" t="s">
        <v>66</v>
      </c>
      <c r="K97" s="36" t="s">
        <v>66</v>
      </c>
      <c r="L97" s="32" t="s">
        <v>75</v>
      </c>
      <c r="M97" s="32" t="s">
        <v>75</v>
      </c>
      <c r="N97" s="32" t="s">
        <v>75</v>
      </c>
      <c r="O97" s="32" t="s">
        <v>75</v>
      </c>
      <c r="P97" s="32" t="s">
        <v>75</v>
      </c>
      <c r="Q97" s="36" t="s">
        <v>66</v>
      </c>
      <c r="R97" s="36" t="s">
        <v>66</v>
      </c>
      <c r="S97" s="32" t="s">
        <v>75</v>
      </c>
      <c r="T97" s="32" t="s">
        <v>75</v>
      </c>
      <c r="U97" s="32" t="s">
        <v>75</v>
      </c>
      <c r="V97" s="32" t="s">
        <v>75</v>
      </c>
      <c r="W97" s="32" t="s">
        <v>258</v>
      </c>
      <c r="X97" s="36"/>
      <c r="Y97" s="36" t="s">
        <v>98</v>
      </c>
      <c r="Z97" s="32" t="s">
        <v>98</v>
      </c>
      <c r="AA97" s="32" t="s">
        <v>66</v>
      </c>
      <c r="AB97" s="32"/>
      <c r="AC97" s="32"/>
      <c r="AD97" s="32" t="s">
        <v>113</v>
      </c>
      <c r="AE97" s="36"/>
      <c r="AF97" s="36"/>
      <c r="AG97" s="32"/>
      <c r="AH97" s="32"/>
      <c r="AI97" s="34"/>
      <c r="AJ97" s="26" t="e">
        <f>_xlfn.CONCAT(#REF!,#REF!)</f>
        <v>#REF!</v>
      </c>
      <c r="AK97" s="27" t="e">
        <f t="shared" si="19"/>
        <v>#REF!</v>
      </c>
      <c r="AL97" s="28">
        <f t="shared" si="16"/>
        <v>24</v>
      </c>
      <c r="AM97">
        <f t="shared" si="17"/>
        <v>48</v>
      </c>
      <c r="AN97" s="29">
        <f t="shared" si="15"/>
        <v>81</v>
      </c>
      <c r="AO97" s="1">
        <f t="shared" si="18"/>
        <v>0</v>
      </c>
    </row>
    <row r="98" spans="1:42" ht="15.9">
      <c r="A98" s="1" t="s">
        <v>152</v>
      </c>
      <c r="B98" s="1" t="s">
        <v>64</v>
      </c>
      <c r="C98" s="291" t="s">
        <v>48</v>
      </c>
      <c r="D98" s="161" t="e">
        <f>#REF!</f>
        <v>#REF!</v>
      </c>
      <c r="E98" s="204" t="s">
        <v>176</v>
      </c>
      <c r="F98" s="32" t="s">
        <v>176</v>
      </c>
      <c r="G98" s="32"/>
      <c r="H98" s="32"/>
      <c r="I98" s="32"/>
      <c r="J98" s="36">
        <v>16.5</v>
      </c>
      <c r="K98" s="36" t="s">
        <v>98</v>
      </c>
      <c r="L98" s="32">
        <v>24</v>
      </c>
      <c r="M98" s="32"/>
      <c r="N98" s="32"/>
      <c r="O98" s="32"/>
      <c r="P98" s="32"/>
      <c r="Q98" s="36"/>
      <c r="R98" s="36"/>
      <c r="S98" s="32">
        <v>6</v>
      </c>
      <c r="T98" s="32">
        <v>7.5</v>
      </c>
      <c r="U98" s="32"/>
      <c r="V98" s="32"/>
      <c r="W98" s="32"/>
      <c r="X98" s="36"/>
      <c r="Y98" s="36"/>
      <c r="Z98" s="32" t="s">
        <v>113</v>
      </c>
      <c r="AA98" s="32"/>
      <c r="AB98" s="32"/>
      <c r="AC98" s="32" t="s">
        <v>113</v>
      </c>
      <c r="AD98" s="32"/>
      <c r="AE98" s="36"/>
      <c r="AF98" s="36"/>
      <c r="AG98" s="32"/>
      <c r="AH98" s="32" t="s">
        <v>113</v>
      </c>
      <c r="AI98" s="34"/>
      <c r="AJ98" s="26" t="e">
        <f>_xlfn.CONCAT(#REF!,#REF!)</f>
        <v>#REF!</v>
      </c>
      <c r="AK98" s="27" t="e">
        <f t="shared" si="19"/>
        <v>#REF!</v>
      </c>
      <c r="AL98" s="28">
        <f t="shared" si="16"/>
        <v>72</v>
      </c>
      <c r="AM98">
        <f t="shared" si="17"/>
        <v>24</v>
      </c>
      <c r="AN98" s="29">
        <f t="shared" si="15"/>
        <v>70</v>
      </c>
      <c r="AO98" s="1">
        <f t="shared" si="18"/>
        <v>0</v>
      </c>
    </row>
    <row r="99" spans="1:42" ht="15.9">
      <c r="A99" s="1" t="s">
        <v>58</v>
      </c>
      <c r="B99" s="1" t="s">
        <v>73</v>
      </c>
      <c r="C99" s="290" t="s">
        <v>49</v>
      </c>
      <c r="D99" s="161" t="e">
        <f>#REF!</f>
        <v>#REF!</v>
      </c>
      <c r="E99" s="204"/>
      <c r="F99" s="32"/>
      <c r="G99" s="32"/>
      <c r="H99" s="32"/>
      <c r="I99" s="32"/>
      <c r="J99" s="36"/>
      <c r="K99" s="36"/>
      <c r="L99" s="32"/>
      <c r="M99" s="32">
        <v>17</v>
      </c>
      <c r="N99" s="32" t="s">
        <v>95</v>
      </c>
      <c r="O99" s="32" t="s">
        <v>95</v>
      </c>
      <c r="P99" s="32" t="s">
        <v>95</v>
      </c>
      <c r="Q99" s="36" t="s">
        <v>95</v>
      </c>
      <c r="R99" s="36" t="s">
        <v>95</v>
      </c>
      <c r="S99" s="32" t="s">
        <v>95</v>
      </c>
      <c r="T99" s="32">
        <v>13</v>
      </c>
      <c r="U99" s="32" t="s">
        <v>66</v>
      </c>
      <c r="V99" s="32" t="s">
        <v>66</v>
      </c>
      <c r="W99" s="32" t="s">
        <v>66</v>
      </c>
      <c r="X99" s="36"/>
      <c r="Y99" s="36"/>
      <c r="Z99" s="32" t="s">
        <v>66</v>
      </c>
      <c r="AA99" s="32" t="s">
        <v>66</v>
      </c>
      <c r="AB99" s="32" t="s">
        <v>66</v>
      </c>
      <c r="AC99" s="32" t="s">
        <v>66</v>
      </c>
      <c r="AD99" s="32" t="s">
        <v>66</v>
      </c>
      <c r="AE99" s="36"/>
      <c r="AF99" s="36"/>
      <c r="AG99" s="32"/>
      <c r="AH99" s="32"/>
      <c r="AI99" s="34"/>
      <c r="AJ99" s="26" t="e">
        <f>_xlfn.CONCAT(#REF!,#REF!)</f>
        <v>#REF!</v>
      </c>
      <c r="AK99" s="27" t="e">
        <f t="shared" si="19"/>
        <v>#REF!</v>
      </c>
      <c r="AL99" s="28">
        <f t="shared" si="16"/>
        <v>0</v>
      </c>
      <c r="AM99">
        <f t="shared" si="17"/>
        <v>144</v>
      </c>
      <c r="AN99" s="29">
        <f t="shared" si="15"/>
        <v>30</v>
      </c>
      <c r="AO99" s="1">
        <f t="shared" si="18"/>
        <v>0</v>
      </c>
    </row>
    <row r="100" spans="1:42" ht="15.9">
      <c r="A100" s="1" t="s">
        <v>155</v>
      </c>
      <c r="B100" s="1" t="s">
        <v>73</v>
      </c>
      <c r="C100" s="290" t="s">
        <v>50</v>
      </c>
      <c r="D100" s="161" t="e">
        <f>#REF!</f>
        <v>#REF!</v>
      </c>
      <c r="E100" s="204"/>
      <c r="F100" s="32"/>
      <c r="G100" s="32"/>
      <c r="H100" s="32"/>
      <c r="I100" s="32"/>
      <c r="J100" s="36"/>
      <c r="K100" s="36"/>
      <c r="L100" s="32"/>
      <c r="M100" s="32">
        <v>17</v>
      </c>
      <c r="N100" s="32" t="s">
        <v>95</v>
      </c>
      <c r="O100" s="32" t="s">
        <v>95</v>
      </c>
      <c r="P100" s="32" t="s">
        <v>95</v>
      </c>
      <c r="Q100" s="36" t="s">
        <v>95</v>
      </c>
      <c r="R100" s="36" t="s">
        <v>95</v>
      </c>
      <c r="S100" s="32" t="s">
        <v>95</v>
      </c>
      <c r="T100" s="32">
        <v>13</v>
      </c>
      <c r="U100" s="32" t="s">
        <v>66</v>
      </c>
      <c r="V100" s="32" t="s">
        <v>66</v>
      </c>
      <c r="W100" s="32" t="s">
        <v>66</v>
      </c>
      <c r="X100" s="36" t="s">
        <v>66</v>
      </c>
      <c r="Y100" s="36" t="s">
        <v>66</v>
      </c>
      <c r="Z100" s="32" t="s">
        <v>66</v>
      </c>
      <c r="AA100" s="32" t="s">
        <v>66</v>
      </c>
      <c r="AB100" s="32" t="s">
        <v>66</v>
      </c>
      <c r="AC100" s="32" t="s">
        <v>66</v>
      </c>
      <c r="AD100" s="32" t="s">
        <v>66</v>
      </c>
      <c r="AE100" s="36"/>
      <c r="AF100" s="36" t="s">
        <v>113</v>
      </c>
      <c r="AG100" s="32"/>
      <c r="AH100" s="32"/>
      <c r="AI100" s="34"/>
      <c r="AJ100" s="26" t="e">
        <f>_xlfn.CONCAT(#REF!,#REF!)</f>
        <v>#REF!</v>
      </c>
      <c r="AK100" s="27" t="e">
        <f t="shared" si="19"/>
        <v>#REF!</v>
      </c>
      <c r="AL100" s="28">
        <f t="shared" si="16"/>
        <v>24</v>
      </c>
      <c r="AM100">
        <f t="shared" si="17"/>
        <v>144</v>
      </c>
      <c r="AN100" s="29">
        <f t="shared" si="15"/>
        <v>30</v>
      </c>
      <c r="AO100" s="1">
        <f t="shared" si="18"/>
        <v>0</v>
      </c>
    </row>
    <row r="101" spans="1:42" ht="15.9">
      <c r="A101" s="1" t="s">
        <v>155</v>
      </c>
      <c r="B101" s="1" t="s">
        <v>59</v>
      </c>
      <c r="C101" s="304" t="s">
        <v>51</v>
      </c>
      <c r="D101" s="161" t="e">
        <f>#REF!</f>
        <v>#REF!</v>
      </c>
      <c r="E101" s="96"/>
      <c r="F101" s="51"/>
      <c r="G101" s="51"/>
      <c r="H101" s="51"/>
      <c r="I101" s="51"/>
      <c r="J101" s="213"/>
      <c r="K101" s="213"/>
      <c r="L101" s="51"/>
      <c r="M101" s="51" t="s">
        <v>92</v>
      </c>
      <c r="N101" s="51" t="s">
        <v>95</v>
      </c>
      <c r="O101" s="51" t="s">
        <v>95</v>
      </c>
      <c r="P101" s="51" t="s">
        <v>95</v>
      </c>
      <c r="Q101" s="213" t="s">
        <v>95</v>
      </c>
      <c r="R101" s="213" t="s">
        <v>95</v>
      </c>
      <c r="S101" s="51" t="s">
        <v>95</v>
      </c>
      <c r="T101" s="51" t="s">
        <v>92</v>
      </c>
      <c r="U101" s="51"/>
      <c r="V101" s="51" t="s">
        <v>88</v>
      </c>
      <c r="W101" s="51" t="s">
        <v>88</v>
      </c>
      <c r="X101" s="213" t="s">
        <v>66</v>
      </c>
      <c r="Y101" s="213" t="s">
        <v>66</v>
      </c>
      <c r="Z101" s="51" t="s">
        <v>88</v>
      </c>
      <c r="AA101" s="51" t="s">
        <v>88</v>
      </c>
      <c r="AB101" s="51" t="s">
        <v>88</v>
      </c>
      <c r="AC101" s="51" t="s">
        <v>88</v>
      </c>
      <c r="AD101" s="51" t="s">
        <v>88</v>
      </c>
      <c r="AE101" s="213" t="s">
        <v>66</v>
      </c>
      <c r="AF101" s="213" t="s">
        <v>66</v>
      </c>
      <c r="AG101" s="51" t="s">
        <v>88</v>
      </c>
      <c r="AH101" s="51" t="s">
        <v>88</v>
      </c>
      <c r="AI101" s="53" t="s">
        <v>88</v>
      </c>
      <c r="AJ101" s="305" t="e">
        <f>_xlfn.CONCAT(#REF!,#REF!)</f>
        <v>#REF!</v>
      </c>
      <c r="AK101" s="27" t="e">
        <f t="shared" si="19"/>
        <v>#REF!</v>
      </c>
      <c r="AL101" s="28">
        <f t="shared" si="16"/>
        <v>0</v>
      </c>
      <c r="AM101">
        <f t="shared" si="17"/>
        <v>168</v>
      </c>
      <c r="AN101" s="29">
        <f t="shared" si="15"/>
        <v>80</v>
      </c>
      <c r="AO101" s="1">
        <f t="shared" si="18"/>
        <v>0</v>
      </c>
    </row>
    <row r="102" spans="1:42" ht="15.9">
      <c r="C102" s="56"/>
      <c r="D102" s="57"/>
      <c r="E102" s="58"/>
      <c r="F102" s="58"/>
      <c r="G102" s="58"/>
      <c r="H102" s="58"/>
      <c r="I102" s="58"/>
      <c r="J102" s="306"/>
      <c r="K102" s="306"/>
      <c r="L102" s="58"/>
      <c r="M102" s="58"/>
      <c r="N102" s="58"/>
      <c r="O102" s="58"/>
      <c r="P102" s="58"/>
      <c r="Q102" s="306"/>
      <c r="R102" s="306"/>
      <c r="S102" s="58"/>
      <c r="T102" s="58"/>
      <c r="U102" s="58"/>
      <c r="V102" s="58"/>
      <c r="W102" s="58"/>
      <c r="X102" s="306"/>
      <c r="Y102" s="306"/>
      <c r="Z102" s="58"/>
      <c r="AA102" s="58"/>
      <c r="AB102" s="58"/>
      <c r="AC102" s="58"/>
      <c r="AD102" s="58"/>
      <c r="AE102" s="306"/>
      <c r="AF102" s="306"/>
      <c r="AG102" s="59"/>
      <c r="AH102" s="27"/>
      <c r="AI102" s="27"/>
      <c r="AJ102" s="60"/>
      <c r="AK102" s="27" t="e">
        <f>SUM(AK51:AK101)</f>
        <v>#REF!</v>
      </c>
      <c r="AL102" s="28"/>
      <c r="AM102"/>
      <c r="AN102" s="29"/>
    </row>
    <row r="103" spans="1:42" ht="15.9">
      <c r="B103" s="61"/>
      <c r="C103" s="62" t="s">
        <v>120</v>
      </c>
      <c r="D103" s="63"/>
      <c r="E103" s="64">
        <f t="shared" ref="E103:AI103" si="20">E34</f>
        <v>1</v>
      </c>
      <c r="F103" s="64">
        <f t="shared" si="20"/>
        <v>1</v>
      </c>
      <c r="G103" s="64">
        <f t="shared" si="20"/>
        <v>1</v>
      </c>
      <c r="H103" s="64">
        <f t="shared" si="20"/>
        <v>1</v>
      </c>
      <c r="I103" s="64">
        <f t="shared" si="20"/>
        <v>1</v>
      </c>
      <c r="J103" s="64">
        <f t="shared" si="20"/>
        <v>1</v>
      </c>
      <c r="K103" s="64">
        <f t="shared" si="20"/>
        <v>1</v>
      </c>
      <c r="L103" s="64">
        <f t="shared" si="20"/>
        <v>1</v>
      </c>
      <c r="M103" s="64">
        <f t="shared" si="20"/>
        <v>1</v>
      </c>
      <c r="N103" s="64">
        <f t="shared" si="20"/>
        <v>1</v>
      </c>
      <c r="O103" s="64">
        <f t="shared" si="20"/>
        <v>1</v>
      </c>
      <c r="P103" s="64">
        <f t="shared" si="20"/>
        <v>1</v>
      </c>
      <c r="Q103" s="64">
        <f t="shared" si="20"/>
        <v>1</v>
      </c>
      <c r="R103" s="64">
        <f t="shared" si="20"/>
        <v>1</v>
      </c>
      <c r="S103" s="64">
        <f t="shared" si="20"/>
        <v>1</v>
      </c>
      <c r="T103" s="64">
        <f t="shared" si="20"/>
        <v>1</v>
      </c>
      <c r="U103" s="64">
        <f t="shared" si="20"/>
        <v>1</v>
      </c>
      <c r="V103" s="64">
        <f t="shared" si="20"/>
        <v>1</v>
      </c>
      <c r="W103" s="64">
        <f t="shared" si="20"/>
        <v>1</v>
      </c>
      <c r="X103" s="64">
        <f t="shared" si="20"/>
        <v>1</v>
      </c>
      <c r="Y103" s="64">
        <f t="shared" si="20"/>
        <v>1</v>
      </c>
      <c r="Z103" s="64">
        <f t="shared" si="20"/>
        <v>1</v>
      </c>
      <c r="AA103" s="64">
        <f t="shared" si="20"/>
        <v>1</v>
      </c>
      <c r="AB103" s="64">
        <f t="shared" si="20"/>
        <v>1</v>
      </c>
      <c r="AC103" s="64">
        <f t="shared" si="20"/>
        <v>1</v>
      </c>
      <c r="AD103" s="64">
        <f t="shared" si="20"/>
        <v>1</v>
      </c>
      <c r="AE103" s="64">
        <f t="shared" si="20"/>
        <v>1</v>
      </c>
      <c r="AF103" s="64">
        <f t="shared" si="20"/>
        <v>1</v>
      </c>
      <c r="AG103" s="64">
        <f t="shared" si="20"/>
        <v>1</v>
      </c>
      <c r="AH103" s="64">
        <f t="shared" si="20"/>
        <v>1</v>
      </c>
      <c r="AI103" s="64">
        <f t="shared" si="20"/>
        <v>1</v>
      </c>
      <c r="AJ103"/>
      <c r="AK103" s="27"/>
      <c r="AL103" s="28"/>
      <c r="AM103"/>
      <c r="AN103" s="29"/>
    </row>
    <row r="104" spans="1:42" ht="15.9">
      <c r="B104" s="61"/>
      <c r="C104" s="65" t="s">
        <v>121</v>
      </c>
      <c r="D104" s="66"/>
      <c r="E104" s="64">
        <f t="shared" ref="E104:AI104" si="21">E35</f>
        <v>2</v>
      </c>
      <c r="F104" s="64">
        <f t="shared" si="21"/>
        <v>1</v>
      </c>
      <c r="G104" s="64">
        <f t="shared" si="21"/>
        <v>2</v>
      </c>
      <c r="H104" s="64">
        <f t="shared" si="21"/>
        <v>2</v>
      </c>
      <c r="I104" s="64">
        <f t="shared" si="21"/>
        <v>2</v>
      </c>
      <c r="J104" s="64">
        <f t="shared" si="21"/>
        <v>2</v>
      </c>
      <c r="K104" s="64">
        <f t="shared" si="21"/>
        <v>2</v>
      </c>
      <c r="L104" s="64">
        <f t="shared" si="21"/>
        <v>2</v>
      </c>
      <c r="M104" s="64">
        <f t="shared" si="21"/>
        <v>2</v>
      </c>
      <c r="N104" s="64">
        <f t="shared" si="21"/>
        <v>2</v>
      </c>
      <c r="O104" s="64">
        <f t="shared" si="21"/>
        <v>2</v>
      </c>
      <c r="P104" s="64">
        <f t="shared" si="21"/>
        <v>2</v>
      </c>
      <c r="Q104" s="64">
        <f t="shared" si="21"/>
        <v>2</v>
      </c>
      <c r="R104" s="64">
        <f t="shared" si="21"/>
        <v>1</v>
      </c>
      <c r="S104" s="64">
        <f t="shared" si="21"/>
        <v>2</v>
      </c>
      <c r="T104" s="64">
        <f t="shared" si="21"/>
        <v>2</v>
      </c>
      <c r="U104" s="64">
        <f t="shared" si="21"/>
        <v>1</v>
      </c>
      <c r="V104" s="64">
        <f t="shared" si="21"/>
        <v>1</v>
      </c>
      <c r="W104" s="64">
        <f t="shared" si="21"/>
        <v>2</v>
      </c>
      <c r="X104" s="64">
        <f t="shared" si="21"/>
        <v>2</v>
      </c>
      <c r="Y104" s="64">
        <f t="shared" si="21"/>
        <v>2</v>
      </c>
      <c r="Z104" s="64">
        <f t="shared" si="21"/>
        <v>3</v>
      </c>
      <c r="AA104" s="64">
        <f t="shared" si="21"/>
        <v>2</v>
      </c>
      <c r="AB104" s="64">
        <f t="shared" si="21"/>
        <v>1</v>
      </c>
      <c r="AC104" s="64">
        <f t="shared" si="21"/>
        <v>3</v>
      </c>
      <c r="AD104" s="64">
        <f t="shared" si="21"/>
        <v>2</v>
      </c>
      <c r="AE104" s="64">
        <f t="shared" si="21"/>
        <v>2</v>
      </c>
      <c r="AF104" s="64">
        <f t="shared" si="21"/>
        <v>2</v>
      </c>
      <c r="AG104" s="64">
        <f t="shared" si="21"/>
        <v>1</v>
      </c>
      <c r="AH104" s="64">
        <f t="shared" si="21"/>
        <v>2</v>
      </c>
      <c r="AI104" s="64">
        <f t="shared" si="21"/>
        <v>0</v>
      </c>
      <c r="AJ104"/>
      <c r="AK104" s="27"/>
      <c r="AL104" s="28"/>
      <c r="AM104"/>
      <c r="AN104" s="29"/>
    </row>
    <row r="105" spans="1:42">
      <c r="C105" s="67" t="s">
        <v>122</v>
      </c>
      <c r="D105" s="68"/>
      <c r="E105" s="64">
        <f t="shared" ref="E105:AI105" si="22">E36</f>
        <v>0</v>
      </c>
      <c r="F105" s="64">
        <f t="shared" si="22"/>
        <v>2</v>
      </c>
      <c r="G105" s="64">
        <f t="shared" si="22"/>
        <v>3</v>
      </c>
      <c r="H105" s="64">
        <f t="shared" si="22"/>
        <v>3</v>
      </c>
      <c r="I105" s="64">
        <f t="shared" si="22"/>
        <v>3</v>
      </c>
      <c r="J105" s="64">
        <f t="shared" si="22"/>
        <v>4</v>
      </c>
      <c r="K105" s="64">
        <f t="shared" si="22"/>
        <v>4</v>
      </c>
      <c r="L105" s="64">
        <f t="shared" si="22"/>
        <v>0</v>
      </c>
      <c r="M105" s="64">
        <f t="shared" si="22"/>
        <v>4</v>
      </c>
      <c r="N105" s="64">
        <f t="shared" si="22"/>
        <v>4</v>
      </c>
      <c r="O105" s="64">
        <f t="shared" si="22"/>
        <v>4</v>
      </c>
      <c r="P105" s="64">
        <f t="shared" si="22"/>
        <v>2</v>
      </c>
      <c r="Q105" s="64">
        <f t="shared" si="22"/>
        <v>4</v>
      </c>
      <c r="R105" s="64">
        <f t="shared" si="22"/>
        <v>4</v>
      </c>
      <c r="S105" s="64">
        <f t="shared" si="22"/>
        <v>0</v>
      </c>
      <c r="T105" s="64">
        <f t="shared" si="22"/>
        <v>4</v>
      </c>
      <c r="U105" s="64">
        <f t="shared" si="22"/>
        <v>4</v>
      </c>
      <c r="V105" s="64">
        <f t="shared" si="22"/>
        <v>4</v>
      </c>
      <c r="W105" s="64">
        <f t="shared" si="22"/>
        <v>4</v>
      </c>
      <c r="X105" s="64">
        <f t="shared" si="22"/>
        <v>4</v>
      </c>
      <c r="Y105" s="64">
        <f t="shared" si="22"/>
        <v>4</v>
      </c>
      <c r="Z105" s="64">
        <f t="shared" si="22"/>
        <v>0</v>
      </c>
      <c r="AA105" s="64">
        <f t="shared" si="22"/>
        <v>4</v>
      </c>
      <c r="AB105" s="64">
        <f t="shared" si="22"/>
        <v>4</v>
      </c>
      <c r="AC105" s="64">
        <f t="shared" si="22"/>
        <v>4</v>
      </c>
      <c r="AD105" s="64">
        <f t="shared" si="22"/>
        <v>4</v>
      </c>
      <c r="AE105" s="64">
        <f t="shared" si="22"/>
        <v>4</v>
      </c>
      <c r="AF105" s="64">
        <f t="shared" si="22"/>
        <v>4</v>
      </c>
      <c r="AG105" s="64">
        <f t="shared" si="22"/>
        <v>0</v>
      </c>
      <c r="AH105" s="64">
        <f t="shared" si="22"/>
        <v>4</v>
      </c>
      <c r="AI105" s="64">
        <f t="shared" si="22"/>
        <v>5</v>
      </c>
      <c r="AJ105"/>
      <c r="AK105" s="27"/>
      <c r="AL105" s="28"/>
      <c r="AM105"/>
      <c r="AN105" s="29"/>
    </row>
    <row r="106" spans="1:42">
      <c r="C106" s="69" t="s">
        <v>123</v>
      </c>
      <c r="D106" s="70"/>
      <c r="E106" s="64">
        <f t="shared" ref="E106:AI106" si="23">E37</f>
        <v>4</v>
      </c>
      <c r="F106" s="64">
        <f t="shared" si="23"/>
        <v>0</v>
      </c>
      <c r="G106" s="64">
        <f t="shared" si="23"/>
        <v>4</v>
      </c>
      <c r="H106" s="64">
        <f t="shared" si="23"/>
        <v>4</v>
      </c>
      <c r="I106" s="64">
        <f t="shared" si="23"/>
        <v>4</v>
      </c>
      <c r="J106" s="64">
        <f t="shared" si="23"/>
        <v>4</v>
      </c>
      <c r="K106" s="64">
        <f t="shared" si="23"/>
        <v>4</v>
      </c>
      <c r="L106" s="64">
        <f t="shared" si="23"/>
        <v>4</v>
      </c>
      <c r="M106" s="64">
        <f t="shared" si="23"/>
        <v>0</v>
      </c>
      <c r="N106" s="64">
        <f t="shared" si="23"/>
        <v>4</v>
      </c>
      <c r="O106" s="64">
        <f t="shared" si="23"/>
        <v>4</v>
      </c>
      <c r="P106" s="64">
        <f t="shared" si="23"/>
        <v>4</v>
      </c>
      <c r="Q106" s="64">
        <f t="shared" si="23"/>
        <v>4</v>
      </c>
      <c r="R106" s="64">
        <f t="shared" si="23"/>
        <v>4</v>
      </c>
      <c r="S106" s="64">
        <f t="shared" si="23"/>
        <v>4</v>
      </c>
      <c r="T106" s="64">
        <f t="shared" si="23"/>
        <v>0</v>
      </c>
      <c r="U106" s="64">
        <f t="shared" si="23"/>
        <v>4</v>
      </c>
      <c r="V106" s="64">
        <f t="shared" si="23"/>
        <v>4</v>
      </c>
      <c r="W106" s="64">
        <f t="shared" si="23"/>
        <v>3</v>
      </c>
      <c r="X106" s="64">
        <f t="shared" si="23"/>
        <v>4</v>
      </c>
      <c r="Y106" s="64">
        <f t="shared" si="23"/>
        <v>3</v>
      </c>
      <c r="Z106" s="64">
        <f t="shared" si="23"/>
        <v>2</v>
      </c>
      <c r="AA106" s="64">
        <f t="shared" si="23"/>
        <v>3</v>
      </c>
      <c r="AB106" s="64">
        <f t="shared" si="23"/>
        <v>3</v>
      </c>
      <c r="AC106" s="64">
        <f t="shared" si="23"/>
        <v>3</v>
      </c>
      <c r="AD106" s="64">
        <f t="shared" si="23"/>
        <v>1</v>
      </c>
      <c r="AE106" s="64">
        <f t="shared" si="23"/>
        <v>3</v>
      </c>
      <c r="AF106" s="64">
        <f t="shared" si="23"/>
        <v>3</v>
      </c>
      <c r="AG106" s="64">
        <f t="shared" si="23"/>
        <v>3</v>
      </c>
      <c r="AH106" s="64">
        <f t="shared" si="23"/>
        <v>0</v>
      </c>
      <c r="AI106" s="64">
        <f t="shared" si="23"/>
        <v>4</v>
      </c>
      <c r="AJ106"/>
      <c r="AK106" s="27"/>
      <c r="AL106" s="28"/>
      <c r="AM106"/>
      <c r="AN106" s="29"/>
    </row>
    <row r="107" spans="1:42" ht="15.9">
      <c r="C107" s="56"/>
      <c r="D107" s="57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97"/>
      <c r="AH107" s="98"/>
      <c r="AI107" s="27"/>
      <c r="AJ107"/>
      <c r="AK107" s="27"/>
      <c r="AL107" s="28"/>
      <c r="AM107"/>
      <c r="AN107" s="29"/>
    </row>
    <row r="108" spans="1:42" s="73" customFormat="1">
      <c r="C108" s="660" t="s">
        <v>122</v>
      </c>
      <c r="D108" s="660"/>
      <c r="E108" s="99"/>
      <c r="F108" s="661" t="s">
        <v>173</v>
      </c>
      <c r="G108" s="661"/>
      <c r="H108" s="661"/>
      <c r="I108" s="100"/>
      <c r="J108" s="693" t="s">
        <v>173</v>
      </c>
      <c r="K108" s="693"/>
      <c r="L108" s="100"/>
      <c r="M108" s="661" t="s">
        <v>125</v>
      </c>
      <c r="N108" s="661"/>
      <c r="O108" s="661"/>
      <c r="P108" s="100"/>
      <c r="Q108" s="661" t="s">
        <v>130</v>
      </c>
      <c r="R108" s="661"/>
      <c r="S108" s="100"/>
      <c r="T108" s="661" t="s">
        <v>127</v>
      </c>
      <c r="U108" s="661"/>
      <c r="V108" s="661"/>
      <c r="W108" s="100"/>
      <c r="X108" s="661" t="s">
        <v>127</v>
      </c>
      <c r="Y108" s="661"/>
      <c r="Z108" s="100"/>
      <c r="AA108" s="661" t="s">
        <v>129</v>
      </c>
      <c r="AB108" s="661"/>
      <c r="AC108" s="661"/>
      <c r="AD108" s="100"/>
      <c r="AE108" s="658" t="s">
        <v>129</v>
      </c>
      <c r="AF108" s="658"/>
      <c r="AG108" s="101"/>
      <c r="AH108" s="658" t="s">
        <v>125</v>
      </c>
      <c r="AI108" s="658"/>
      <c r="AJ108" s="80"/>
      <c r="AK108" s="27"/>
      <c r="AL108" s="28"/>
      <c r="AM108"/>
      <c r="AN108" s="29"/>
      <c r="AO108" s="1"/>
      <c r="AP108" s="1"/>
    </row>
    <row r="109" spans="1:42" s="73" customFormat="1">
      <c r="C109" s="660"/>
      <c r="D109" s="660"/>
      <c r="E109" s="102"/>
      <c r="F109" s="653" t="s">
        <v>245</v>
      </c>
      <c r="G109" s="653"/>
      <c r="H109" s="653"/>
      <c r="I109" s="103"/>
      <c r="J109" s="654" t="s">
        <v>133</v>
      </c>
      <c r="K109" s="654"/>
      <c r="L109" s="103"/>
      <c r="M109" s="653" t="s">
        <v>130</v>
      </c>
      <c r="N109" s="653"/>
      <c r="O109" s="653"/>
      <c r="P109" s="103"/>
      <c r="Q109" s="653" t="s">
        <v>206</v>
      </c>
      <c r="R109" s="653"/>
      <c r="S109" s="103"/>
      <c r="T109" s="653" t="s">
        <v>135</v>
      </c>
      <c r="U109" s="653"/>
      <c r="V109" s="653"/>
      <c r="W109" s="103"/>
      <c r="X109" s="653" t="s">
        <v>135</v>
      </c>
      <c r="Y109" s="653"/>
      <c r="Z109" s="103"/>
      <c r="AA109" s="653" t="s">
        <v>174</v>
      </c>
      <c r="AB109" s="653"/>
      <c r="AC109" s="653"/>
      <c r="AD109" s="103"/>
      <c r="AE109" s="648" t="s">
        <v>174</v>
      </c>
      <c r="AF109" s="648"/>
      <c r="AG109" s="104"/>
      <c r="AH109" s="648" t="s">
        <v>134</v>
      </c>
      <c r="AI109" s="648"/>
      <c r="AJ109" s="80"/>
      <c r="AK109" s="27"/>
      <c r="AL109" s="28"/>
      <c r="AM109"/>
      <c r="AN109" s="29"/>
      <c r="AO109" s="1"/>
      <c r="AP109" s="1"/>
    </row>
    <row r="110" spans="1:42" s="73" customFormat="1">
      <c r="C110" s="660"/>
      <c r="D110" s="660"/>
      <c r="E110" s="102"/>
      <c r="F110" s="653" t="s">
        <v>142</v>
      </c>
      <c r="G110" s="653"/>
      <c r="H110" s="653"/>
      <c r="I110" s="103"/>
      <c r="J110" s="654" t="s">
        <v>142</v>
      </c>
      <c r="K110" s="654"/>
      <c r="L110" s="103"/>
      <c r="M110" s="705" t="s">
        <v>140</v>
      </c>
      <c r="N110" s="705"/>
      <c r="O110" s="705"/>
      <c r="P110" s="103"/>
      <c r="Q110" s="653" t="s">
        <v>140</v>
      </c>
      <c r="R110" s="653"/>
      <c r="S110" s="103"/>
      <c r="T110" s="653" t="s">
        <v>136</v>
      </c>
      <c r="U110" s="653"/>
      <c r="V110" s="653"/>
      <c r="W110" s="103"/>
      <c r="X110" s="653" t="s">
        <v>136</v>
      </c>
      <c r="Y110" s="653"/>
      <c r="Z110" s="103"/>
      <c r="AA110" s="653" t="s">
        <v>197</v>
      </c>
      <c r="AB110" s="653"/>
      <c r="AC110" s="653"/>
      <c r="AD110" s="103"/>
      <c r="AE110" s="648" t="s">
        <v>137</v>
      </c>
      <c r="AF110" s="648"/>
      <c r="AG110" s="105"/>
      <c r="AH110" s="648" t="s">
        <v>246</v>
      </c>
      <c r="AI110" s="648"/>
      <c r="AJ110" s="80"/>
      <c r="AK110" s="27"/>
      <c r="AL110" s="28"/>
      <c r="AM110"/>
      <c r="AN110" s="29"/>
      <c r="AO110" s="1"/>
      <c r="AP110" s="1"/>
    </row>
    <row r="111" spans="1:42" s="73" customFormat="1">
      <c r="C111" s="660"/>
      <c r="D111" s="660"/>
      <c r="E111" s="106"/>
      <c r="F111" s="649" t="s">
        <v>143</v>
      </c>
      <c r="G111" s="649"/>
      <c r="H111" s="649"/>
      <c r="I111" s="107"/>
      <c r="J111" s="650" t="s">
        <v>149</v>
      </c>
      <c r="K111" s="650"/>
      <c r="L111" s="107"/>
      <c r="M111" s="649" t="s">
        <v>145</v>
      </c>
      <c r="N111" s="649"/>
      <c r="O111" s="649"/>
      <c r="P111" s="107"/>
      <c r="Q111" s="649" t="s">
        <v>151</v>
      </c>
      <c r="R111" s="649"/>
      <c r="S111" s="107"/>
      <c r="T111" s="649" t="s">
        <v>175</v>
      </c>
      <c r="U111" s="649"/>
      <c r="V111" s="649"/>
      <c r="W111" s="107"/>
      <c r="X111" s="649" t="s">
        <v>175</v>
      </c>
      <c r="Y111" s="649"/>
      <c r="Z111" s="107"/>
      <c r="AA111" s="649" t="s">
        <v>147</v>
      </c>
      <c r="AB111" s="649"/>
      <c r="AC111" s="649"/>
      <c r="AD111" s="107"/>
      <c r="AE111" s="651" t="s">
        <v>147</v>
      </c>
      <c r="AF111" s="651"/>
      <c r="AG111" s="108"/>
      <c r="AH111" s="651" t="s">
        <v>143</v>
      </c>
      <c r="AI111" s="651"/>
      <c r="AJ111" s="80"/>
      <c r="AK111" s="27"/>
      <c r="AL111" s="28"/>
      <c r="AM111"/>
      <c r="AN111" s="29"/>
      <c r="AO111" s="1"/>
      <c r="AP111" s="1"/>
    </row>
    <row r="112" spans="1:42" s="73" customFormat="1">
      <c r="C112" s="77"/>
      <c r="D112" s="77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109"/>
      <c r="AH112" s="110"/>
      <c r="AI112" s="79"/>
      <c r="AJ112" s="80"/>
      <c r="AK112" s="27"/>
      <c r="AL112" s="28"/>
      <c r="AM112"/>
      <c r="AN112" s="29"/>
      <c r="AO112" s="1"/>
      <c r="AP112" s="1"/>
    </row>
    <row r="113" spans="3:42" s="73" customFormat="1" ht="11.25" customHeight="1">
      <c r="C113" s="655" t="s">
        <v>123</v>
      </c>
      <c r="D113" s="655"/>
      <c r="E113" s="99"/>
      <c r="F113" s="656" t="s">
        <v>247</v>
      </c>
      <c r="G113" s="656"/>
      <c r="H113" s="656"/>
      <c r="I113" s="100"/>
      <c r="J113" s="657" t="s">
        <v>247</v>
      </c>
      <c r="K113" s="657"/>
      <c r="L113" s="100"/>
      <c r="M113" s="656" t="s">
        <v>248</v>
      </c>
      <c r="N113" s="656"/>
      <c r="O113" s="656"/>
      <c r="P113" s="100"/>
      <c r="Q113" s="657" t="s">
        <v>248</v>
      </c>
      <c r="R113" s="657"/>
      <c r="S113" s="100"/>
      <c r="T113" s="656" t="s">
        <v>205</v>
      </c>
      <c r="U113" s="656"/>
      <c r="V113" s="656"/>
      <c r="W113" s="100"/>
      <c r="X113" s="656" t="s">
        <v>205</v>
      </c>
      <c r="Y113" s="656"/>
      <c r="Z113" s="100"/>
      <c r="AA113" s="656" t="s">
        <v>202</v>
      </c>
      <c r="AB113" s="656"/>
      <c r="AC113" s="656"/>
      <c r="AD113" s="100"/>
      <c r="AE113" s="652" t="s">
        <v>202</v>
      </c>
      <c r="AF113" s="652"/>
      <c r="AG113" s="113"/>
      <c r="AH113" s="652"/>
      <c r="AI113" s="652"/>
      <c r="AJ113" s="80"/>
      <c r="AK113" s="27"/>
      <c r="AL113" s="28"/>
      <c r="AM113"/>
      <c r="AN113" s="29"/>
      <c r="AO113" s="1"/>
      <c r="AP113" s="1"/>
    </row>
    <row r="114" spans="3:42" s="73" customFormat="1" ht="11.25" customHeight="1">
      <c r="C114" s="655"/>
      <c r="D114" s="655"/>
      <c r="E114" s="102"/>
      <c r="F114" s="654" t="s">
        <v>249</v>
      </c>
      <c r="G114" s="654"/>
      <c r="H114" s="654"/>
      <c r="I114" s="103"/>
      <c r="J114" s="654" t="s">
        <v>249</v>
      </c>
      <c r="K114" s="654"/>
      <c r="L114" s="103"/>
      <c r="M114" s="653" t="s">
        <v>250</v>
      </c>
      <c r="N114" s="653"/>
      <c r="O114" s="653"/>
      <c r="P114" s="103"/>
      <c r="Q114" s="654" t="s">
        <v>250</v>
      </c>
      <c r="R114" s="654"/>
      <c r="S114" s="103"/>
      <c r="T114" s="654" t="s">
        <v>209</v>
      </c>
      <c r="U114" s="654"/>
      <c r="V114" s="654"/>
      <c r="W114" s="103"/>
      <c r="X114" s="653" t="s">
        <v>209</v>
      </c>
      <c r="Y114" s="653"/>
      <c r="Z114" s="103"/>
      <c r="AA114" s="653" t="s">
        <v>251</v>
      </c>
      <c r="AB114" s="653"/>
      <c r="AC114" s="653"/>
      <c r="AD114" s="103"/>
      <c r="AE114" s="648" t="s">
        <v>251</v>
      </c>
      <c r="AF114" s="648"/>
      <c r="AG114" s="104"/>
      <c r="AH114" s="648"/>
      <c r="AI114" s="648"/>
      <c r="AJ114" s="80"/>
      <c r="AK114" s="27"/>
      <c r="AL114" s="28"/>
      <c r="AM114"/>
      <c r="AN114" s="29"/>
      <c r="AO114" s="1"/>
      <c r="AP114" s="1"/>
    </row>
    <row r="115" spans="3:42" s="73" customFormat="1" ht="11.25" customHeight="1">
      <c r="C115" s="655"/>
      <c r="D115" s="655"/>
      <c r="E115" s="102"/>
      <c r="F115" s="653" t="s">
        <v>252</v>
      </c>
      <c r="G115" s="653"/>
      <c r="H115" s="653"/>
      <c r="I115" s="103"/>
      <c r="J115" s="654" t="s">
        <v>252</v>
      </c>
      <c r="K115" s="654"/>
      <c r="L115" s="103"/>
      <c r="M115" s="653" t="s">
        <v>253</v>
      </c>
      <c r="N115" s="653"/>
      <c r="O115" s="653"/>
      <c r="P115" s="103"/>
      <c r="Q115" s="654" t="s">
        <v>253</v>
      </c>
      <c r="R115" s="654"/>
      <c r="S115" s="103"/>
      <c r="T115" s="653" t="s">
        <v>212</v>
      </c>
      <c r="U115" s="653"/>
      <c r="V115" s="653"/>
      <c r="W115" s="103"/>
      <c r="X115" s="653" t="s">
        <v>212</v>
      </c>
      <c r="Y115" s="653"/>
      <c r="Z115" s="103"/>
      <c r="AA115" s="653" t="s">
        <v>196</v>
      </c>
      <c r="AB115" s="653"/>
      <c r="AC115" s="653"/>
      <c r="AD115" s="103"/>
      <c r="AE115" s="648" t="s">
        <v>196</v>
      </c>
      <c r="AF115" s="648"/>
      <c r="AG115" s="104"/>
      <c r="AH115" s="648"/>
      <c r="AI115" s="648"/>
      <c r="AJ115" s="80"/>
      <c r="AK115" s="27"/>
      <c r="AL115" s="28"/>
      <c r="AM115"/>
      <c r="AN115" s="29"/>
      <c r="AO115" s="1"/>
      <c r="AP115" s="1"/>
    </row>
    <row r="116" spans="3:42" s="73" customFormat="1" ht="11.25" customHeight="1">
      <c r="C116" s="655"/>
      <c r="D116" s="655"/>
      <c r="E116" s="106"/>
      <c r="F116" s="649" t="s">
        <v>254</v>
      </c>
      <c r="G116" s="649"/>
      <c r="H116" s="649"/>
      <c r="I116" s="107"/>
      <c r="J116" s="650" t="s">
        <v>254</v>
      </c>
      <c r="K116" s="650"/>
      <c r="L116" s="107"/>
      <c r="M116" s="649" t="s">
        <v>210</v>
      </c>
      <c r="N116" s="649"/>
      <c r="O116" s="649"/>
      <c r="P116" s="107"/>
      <c r="Q116" s="650" t="s">
        <v>210</v>
      </c>
      <c r="R116" s="650"/>
      <c r="S116" s="107"/>
      <c r="T116" s="649" t="s">
        <v>255</v>
      </c>
      <c r="U116" s="649"/>
      <c r="V116" s="649"/>
      <c r="W116" s="107"/>
      <c r="X116" s="649" t="s">
        <v>214</v>
      </c>
      <c r="Y116" s="649"/>
      <c r="Z116" s="107"/>
      <c r="AA116" s="649"/>
      <c r="AB116" s="649"/>
      <c r="AC116" s="649"/>
      <c r="AD116" s="107"/>
      <c r="AE116" s="651"/>
      <c r="AF116" s="651"/>
      <c r="AG116" s="108"/>
      <c r="AH116" s="651"/>
      <c r="AI116" s="651"/>
      <c r="AJ116" s="80"/>
      <c r="AK116" s="27"/>
      <c r="AL116" s="28"/>
      <c r="AM116"/>
      <c r="AN116" s="29"/>
      <c r="AO116" s="1"/>
      <c r="AP116" s="1"/>
    </row>
    <row r="117" spans="3:42" ht="15.9">
      <c r="C117" s="61"/>
      <c r="D117" s="81"/>
      <c r="J117" s="698" t="s">
        <v>261</v>
      </c>
      <c r="K117" s="698"/>
      <c r="L117" s="698"/>
      <c r="P117" s="699" t="s">
        <v>262</v>
      </c>
      <c r="Q117" s="699"/>
      <c r="R117" s="699"/>
      <c r="Y117" s="699" t="s">
        <v>263</v>
      </c>
      <c r="Z117" s="699"/>
      <c r="AA117" s="699"/>
      <c r="AK117" s="27"/>
      <c r="AL117" s="28"/>
      <c r="AM117"/>
      <c r="AN117" s="29"/>
    </row>
    <row r="118" spans="3:42">
      <c r="C118" s="655" t="s">
        <v>264</v>
      </c>
      <c r="D118" s="655"/>
      <c r="J118" s="700" t="s">
        <v>129</v>
      </c>
      <c r="K118" s="700"/>
      <c r="L118" s="700"/>
      <c r="P118" s="700" t="s">
        <v>126</v>
      </c>
      <c r="Q118" s="700"/>
      <c r="R118" s="700"/>
      <c r="Y118" s="700"/>
      <c r="Z118" s="700"/>
      <c r="AA118" s="700"/>
    </row>
    <row r="119" spans="3:42">
      <c r="C119" s="655"/>
      <c r="D119" s="655"/>
      <c r="J119" s="701" t="s">
        <v>265</v>
      </c>
      <c r="K119" s="701"/>
      <c r="L119" s="701"/>
      <c r="P119" s="701" t="s">
        <v>245</v>
      </c>
      <c r="Q119" s="701"/>
      <c r="R119" s="701"/>
      <c r="Y119" s="701"/>
      <c r="Z119" s="701"/>
      <c r="AA119" s="701"/>
    </row>
    <row r="120" spans="3:42">
      <c r="C120" s="655"/>
      <c r="D120" s="655"/>
      <c r="J120" s="701" t="s">
        <v>266</v>
      </c>
      <c r="K120" s="701"/>
      <c r="L120" s="701"/>
      <c r="P120" s="701" t="s">
        <v>135</v>
      </c>
      <c r="Q120" s="701"/>
      <c r="R120" s="701"/>
      <c r="Y120" s="701"/>
      <c r="Z120" s="701"/>
      <c r="AA120" s="701"/>
    </row>
    <row r="121" spans="3:42">
      <c r="C121" s="655"/>
      <c r="D121" s="655"/>
      <c r="J121" s="701" t="s">
        <v>267</v>
      </c>
      <c r="K121" s="701"/>
      <c r="L121" s="701"/>
      <c r="P121" s="701" t="s">
        <v>267</v>
      </c>
      <c r="Q121" s="701"/>
      <c r="R121" s="701"/>
      <c r="Y121" s="701"/>
      <c r="Z121" s="701"/>
      <c r="AA121" s="701"/>
    </row>
    <row r="122" spans="3:42">
      <c r="C122" s="655"/>
      <c r="D122" s="655"/>
      <c r="J122" s="701" t="s">
        <v>268</v>
      </c>
      <c r="K122" s="701"/>
      <c r="L122" s="701"/>
      <c r="P122" s="701" t="s">
        <v>269</v>
      </c>
      <c r="Q122" s="701"/>
      <c r="R122" s="701"/>
      <c r="Y122" s="701"/>
      <c r="Z122" s="701"/>
      <c r="AA122" s="701"/>
    </row>
    <row r="123" spans="3:42">
      <c r="C123" s="655"/>
      <c r="D123" s="655"/>
      <c r="J123" s="702" t="s">
        <v>270</v>
      </c>
      <c r="K123" s="702"/>
      <c r="L123" s="702"/>
      <c r="P123" s="702" t="s">
        <v>271</v>
      </c>
      <c r="Q123" s="702"/>
      <c r="R123" s="702"/>
      <c r="Y123" s="702"/>
      <c r="Z123" s="702"/>
      <c r="AA123" s="702"/>
    </row>
    <row r="124" spans="3:42">
      <c r="C124" s="655"/>
      <c r="D124" s="655"/>
      <c r="J124" s="703" t="s">
        <v>146</v>
      </c>
      <c r="K124" s="703"/>
      <c r="L124" s="703"/>
      <c r="P124" s="703" t="s">
        <v>143</v>
      </c>
      <c r="Q124" s="703"/>
      <c r="R124" s="703"/>
      <c r="Y124" s="703"/>
      <c r="Z124" s="703"/>
      <c r="AA124" s="703"/>
    </row>
    <row r="125" spans="3:42">
      <c r="C125" s="655"/>
      <c r="D125" s="655"/>
      <c r="J125" s="697" t="s">
        <v>272</v>
      </c>
      <c r="K125" s="697"/>
      <c r="L125" s="697"/>
      <c r="P125" s="697" t="s">
        <v>273</v>
      </c>
      <c r="Q125" s="697"/>
      <c r="R125" s="697"/>
      <c r="Y125" s="697"/>
      <c r="Z125" s="697"/>
      <c r="AA125" s="697"/>
    </row>
  </sheetData>
  <autoFilter ref="A50:AI111" xr:uid="{00000000-0009-0000-0000-000008000000}"/>
  <mergeCells count="178">
    <mergeCell ref="E10:G10"/>
    <mergeCell ref="C39:D42"/>
    <mergeCell ref="F39:H39"/>
    <mergeCell ref="J39:K39"/>
    <mergeCell ref="M39:O39"/>
    <mergeCell ref="Q39:R39"/>
    <mergeCell ref="T39:V39"/>
    <mergeCell ref="X39:Y39"/>
    <mergeCell ref="AA39:AC39"/>
    <mergeCell ref="F41:H41"/>
    <mergeCell ref="J41:K41"/>
    <mergeCell ref="M41:O41"/>
    <mergeCell ref="Q41:R41"/>
    <mergeCell ref="T41:V41"/>
    <mergeCell ref="X41:Y41"/>
    <mergeCell ref="AA41:AC41"/>
    <mergeCell ref="AE39:AF39"/>
    <mergeCell ref="AH39:AI39"/>
    <mergeCell ref="F40:H40"/>
    <mergeCell ref="J40:K40"/>
    <mergeCell ref="M40:O40"/>
    <mergeCell ref="Q40:R40"/>
    <mergeCell ref="T40:V40"/>
    <mergeCell ref="X40:Y40"/>
    <mergeCell ref="AA40:AC40"/>
    <mergeCell ref="AE40:AF40"/>
    <mergeCell ref="AH40:AI40"/>
    <mergeCell ref="AE41:AF41"/>
    <mergeCell ref="AH41:AI41"/>
    <mergeCell ref="F42:H42"/>
    <mergeCell ref="J42:K42"/>
    <mergeCell ref="M42:O42"/>
    <mergeCell ref="Q42:R42"/>
    <mergeCell ref="T42:V42"/>
    <mergeCell ref="X42:Y42"/>
    <mergeCell ref="AA42:AC42"/>
    <mergeCell ref="AE42:AF42"/>
    <mergeCell ref="AH42:AI42"/>
    <mergeCell ref="C44:D47"/>
    <mergeCell ref="F44:H44"/>
    <mergeCell ref="J44:K44"/>
    <mergeCell ref="M44:O44"/>
    <mergeCell ref="Q44:R44"/>
    <mergeCell ref="T44:V44"/>
    <mergeCell ref="X44:Y44"/>
    <mergeCell ref="AA44:AC44"/>
    <mergeCell ref="AE44:AF44"/>
    <mergeCell ref="F46:H46"/>
    <mergeCell ref="J46:K46"/>
    <mergeCell ref="M46:O46"/>
    <mergeCell ref="Q46:R46"/>
    <mergeCell ref="T46:V46"/>
    <mergeCell ref="X46:Y46"/>
    <mergeCell ref="AA46:AC46"/>
    <mergeCell ref="AE46:AF46"/>
    <mergeCell ref="AH44:AI44"/>
    <mergeCell ref="F45:H45"/>
    <mergeCell ref="J45:K45"/>
    <mergeCell ref="M45:O45"/>
    <mergeCell ref="Q45:R45"/>
    <mergeCell ref="T45:V45"/>
    <mergeCell ref="X45:Y45"/>
    <mergeCell ref="AA45:AC45"/>
    <mergeCell ref="AE45:AF45"/>
    <mergeCell ref="AH45:AI45"/>
    <mergeCell ref="AH46:AI46"/>
    <mergeCell ref="F47:H47"/>
    <mergeCell ref="J47:K47"/>
    <mergeCell ref="M47:O47"/>
    <mergeCell ref="Q47:R47"/>
    <mergeCell ref="T47:V47"/>
    <mergeCell ref="X47:Y47"/>
    <mergeCell ref="AA47:AC47"/>
    <mergeCell ref="AE47:AF47"/>
    <mergeCell ref="AH47:AI47"/>
    <mergeCell ref="E93:AI93"/>
    <mergeCell ref="C108:D111"/>
    <mergeCell ref="F108:H108"/>
    <mergeCell ref="J108:K108"/>
    <mergeCell ref="M108:O108"/>
    <mergeCell ref="Q108:R108"/>
    <mergeCell ref="T108:V108"/>
    <mergeCell ref="X108:Y108"/>
    <mergeCell ref="AA108:AC108"/>
    <mergeCell ref="AE108:AF108"/>
    <mergeCell ref="AH108:AI108"/>
    <mergeCell ref="F109:H109"/>
    <mergeCell ref="J109:K109"/>
    <mergeCell ref="M109:O109"/>
    <mergeCell ref="Q109:R109"/>
    <mergeCell ref="T109:V109"/>
    <mergeCell ref="X109:Y109"/>
    <mergeCell ref="AA109:AC109"/>
    <mergeCell ref="AE109:AF109"/>
    <mergeCell ref="AH109:AI109"/>
    <mergeCell ref="F110:H110"/>
    <mergeCell ref="J110:K110"/>
    <mergeCell ref="M110:O110"/>
    <mergeCell ref="Q110:R110"/>
    <mergeCell ref="T110:V110"/>
    <mergeCell ref="X110:Y110"/>
    <mergeCell ref="AA110:AC110"/>
    <mergeCell ref="AE110:AF110"/>
    <mergeCell ref="AH110:AI110"/>
    <mergeCell ref="F111:H111"/>
    <mergeCell ref="J111:K111"/>
    <mergeCell ref="M111:O111"/>
    <mergeCell ref="Q111:R111"/>
    <mergeCell ref="T111:V111"/>
    <mergeCell ref="X111:Y111"/>
    <mergeCell ref="AA111:AC111"/>
    <mergeCell ref="AE111:AF111"/>
    <mergeCell ref="AH111:AI111"/>
    <mergeCell ref="C113:D116"/>
    <mergeCell ref="F113:H113"/>
    <mergeCell ref="J113:K113"/>
    <mergeCell ref="M113:O113"/>
    <mergeCell ref="Q113:R113"/>
    <mergeCell ref="T113:V113"/>
    <mergeCell ref="X113:Y113"/>
    <mergeCell ref="AA113:AC113"/>
    <mergeCell ref="AE113:AF113"/>
    <mergeCell ref="F115:H115"/>
    <mergeCell ref="J115:K115"/>
    <mergeCell ref="M115:O115"/>
    <mergeCell ref="Q115:R115"/>
    <mergeCell ref="T115:V115"/>
    <mergeCell ref="X115:Y115"/>
    <mergeCell ref="AA115:AC115"/>
    <mergeCell ref="AE115:AF115"/>
    <mergeCell ref="AH113:AI113"/>
    <mergeCell ref="F114:H114"/>
    <mergeCell ref="J114:K114"/>
    <mergeCell ref="M114:O114"/>
    <mergeCell ref="Q114:R114"/>
    <mergeCell ref="T114:V114"/>
    <mergeCell ref="X114:Y114"/>
    <mergeCell ref="AA114:AC114"/>
    <mergeCell ref="AE114:AF114"/>
    <mergeCell ref="AH114:AI114"/>
    <mergeCell ref="Y123:AA123"/>
    <mergeCell ref="J124:L124"/>
    <mergeCell ref="P124:R124"/>
    <mergeCell ref="AH115:AI115"/>
    <mergeCell ref="F116:H116"/>
    <mergeCell ref="J116:K116"/>
    <mergeCell ref="M116:O116"/>
    <mergeCell ref="Q116:R116"/>
    <mergeCell ref="T116:V116"/>
    <mergeCell ref="X116:Y116"/>
    <mergeCell ref="AA116:AC116"/>
    <mergeCell ref="AE116:AF116"/>
    <mergeCell ref="AH116:AI116"/>
    <mergeCell ref="Y124:AA124"/>
    <mergeCell ref="J125:L125"/>
    <mergeCell ref="P125:R125"/>
    <mergeCell ref="Y125:AA125"/>
    <mergeCell ref="J117:L117"/>
    <mergeCell ref="P117:R117"/>
    <mergeCell ref="Y117:AA117"/>
    <mergeCell ref="C118:D125"/>
    <mergeCell ref="J118:L118"/>
    <mergeCell ref="P118:R118"/>
    <mergeCell ref="Y118:AA118"/>
    <mergeCell ref="J119:L119"/>
    <mergeCell ref="P119:R119"/>
    <mergeCell ref="Y119:AA119"/>
    <mergeCell ref="J120:L120"/>
    <mergeCell ref="P120:R120"/>
    <mergeCell ref="Y120:AA120"/>
    <mergeCell ref="J121:L121"/>
    <mergeCell ref="P121:R121"/>
    <mergeCell ref="Y121:AA121"/>
    <mergeCell ref="J122:L122"/>
    <mergeCell ref="P122:R122"/>
    <mergeCell ref="Y122:AA122"/>
    <mergeCell ref="J123:L123"/>
    <mergeCell ref="P123:R123"/>
  </mergeCells>
  <conditionalFormatting sqref="A2:A33">
    <cfRule type="containsText" dxfId="1293" priority="2" operator="containsText" text="SG007">
      <formula>NOT(ISERROR(SEARCH("SG007",A2)))</formula>
    </cfRule>
    <cfRule type="containsText" dxfId="1292" priority="3" operator="containsText" text="SG068">
      <formula>NOT(ISERROR(SEARCH("SG068",A2)))</formula>
    </cfRule>
    <cfRule type="containsText" dxfId="1291" priority="4" operator="containsText" text="SG214">
      <formula>NOT(ISERROR(SEARCH("SG214",A2)))</formula>
    </cfRule>
    <cfRule type="containsText" dxfId="1290" priority="5" operator="containsText" text="SG212">
      <formula>NOT(ISERROR(SEARCH("SG212",A2)))</formula>
    </cfRule>
  </conditionalFormatting>
  <conditionalFormatting sqref="A5:A33">
    <cfRule type="containsText" dxfId="1289" priority="6" operator="containsText" text="SG070">
      <formula>NOT(ISERROR(SEARCH("SG070",A5)))</formula>
    </cfRule>
  </conditionalFormatting>
  <conditionalFormatting sqref="A102">
    <cfRule type="containsText" dxfId="1288" priority="80" operator="containsText" text="SG212">
      <formula>NOT(ISERROR(SEARCH("SG212",A102)))</formula>
    </cfRule>
    <cfRule type="containsText" dxfId="1287" priority="81" operator="containsText" text="SG070">
      <formula>NOT(ISERROR(SEARCH("SG070",A102)))</formula>
    </cfRule>
    <cfRule type="containsText" dxfId="1286" priority="79" operator="containsText" text="SG214">
      <formula>NOT(ISERROR(SEARCH("SG214",A102)))</formula>
    </cfRule>
    <cfRule type="containsText" dxfId="1285" priority="78" operator="containsText" text="SG068">
      <formula>NOT(ISERROR(SEARCH("SG068",A102)))</formula>
    </cfRule>
    <cfRule type="containsText" dxfId="1284" priority="77" operator="containsText" text="SG007">
      <formula>NOT(ISERROR(SEARCH("SG007",A102)))</formula>
    </cfRule>
  </conditionalFormatting>
  <conditionalFormatting sqref="E2:I9 E10">
    <cfRule type="containsText" dxfId="1283" priority="136" operator="containsText" text="d">
      <formula>NOT(ISERROR(SEARCH("d",E2)))</formula>
    </cfRule>
    <cfRule type="containsText" dxfId="1282" priority="129" operator="containsText" text="l4">
      <formula>NOT(ISERROR(SEARCH("l4",E2)))</formula>
    </cfRule>
    <cfRule type="containsText" dxfId="1281" priority="130" operator="containsText" text="12g">
      <formula>NOT(ISERROR(SEARCH("12g",E2)))</formula>
    </cfRule>
    <cfRule type="containsText" dxfId="1279" priority="132" operator="containsText" text="wse">
      <formula>NOT(ISERROR(SEARCH("wse",E2)))</formula>
    </cfRule>
    <cfRule type="containsText" dxfId="1278" priority="133" operator="containsText" text="k">
      <formula>NOT(ISERROR(SEARCH("k",E2)))</formula>
    </cfRule>
    <cfRule type="containsText" dxfId="1277" priority="134" operator="containsText" text="u">
      <formula>NOT(ISERROR(SEARCH("u",E2)))</formula>
    </cfRule>
    <cfRule type="containsText" dxfId="1276" priority="135" operator="containsText" text="s">
      <formula>NOT(ISERROR(SEARCH("s",E2)))</formula>
    </cfRule>
    <cfRule type="cellIs" dxfId="1275" priority="137" operator="greaterThan">
      <formula>0</formula>
    </cfRule>
  </conditionalFormatting>
  <conditionalFormatting sqref="E11:I33 L11:P33 S33:W33 Z33:AD33">
    <cfRule type="cellIs" dxfId="1274" priority="69" operator="greaterThan">
      <formula>0</formula>
    </cfRule>
  </conditionalFormatting>
  <conditionalFormatting sqref="E11:I33 L11:P33">
    <cfRule type="containsText" dxfId="1273" priority="64" operator="containsText" text="wse">
      <formula>NOT(ISERROR(SEARCH("wse",E11)))</formula>
    </cfRule>
    <cfRule type="containsText" dxfId="1272" priority="61" operator="containsText" text="l4">
      <formula>NOT(ISERROR(SEARCH("l4",E11)))</formula>
    </cfRule>
    <cfRule type="containsText" dxfId="1271" priority="62" operator="containsText" text="12g">
      <formula>NOT(ISERROR(SEARCH("12g",E11)))</formula>
    </cfRule>
    <cfRule type="containsText" dxfId="1269" priority="65" operator="containsText" text="k">
      <formula>NOT(ISERROR(SEARCH("k",E11)))</formula>
    </cfRule>
    <cfRule type="containsText" dxfId="1268" priority="66" operator="containsText" text="u">
      <formula>NOT(ISERROR(SEARCH("u",E11)))</formula>
    </cfRule>
    <cfRule type="containsText" dxfId="1267" priority="67" operator="containsText" text="s">
      <formula>NOT(ISERROR(SEARCH("s",E11)))</formula>
    </cfRule>
    <cfRule type="containsText" dxfId="1266" priority="68" operator="containsText" text="d">
      <formula>NOT(ISERROR(SEARCH("d",E11)))</formula>
    </cfRule>
  </conditionalFormatting>
  <conditionalFormatting sqref="E51:I52">
    <cfRule type="containsText" dxfId="1264" priority="211" operator="containsText" text="k">
      <formula>NOT(ISERROR(SEARCH("k",E51)))</formula>
    </cfRule>
    <cfRule type="cellIs" dxfId="1263" priority="215" operator="greaterThan">
      <formula>0</formula>
    </cfRule>
    <cfRule type="containsText" dxfId="1262" priority="214" operator="containsText" text="d">
      <formula>NOT(ISERROR(SEARCH("d",E51)))</formula>
    </cfRule>
    <cfRule type="containsText" dxfId="1261" priority="213" operator="containsText" text="s">
      <formula>NOT(ISERROR(SEARCH("s",E51)))</formula>
    </cfRule>
    <cfRule type="containsText" dxfId="1260" priority="212" operator="containsText" text="u">
      <formula>NOT(ISERROR(SEARCH("u",E51)))</formula>
    </cfRule>
    <cfRule type="containsText" dxfId="1259" priority="210" operator="containsText" text="wse">
      <formula>NOT(ISERROR(SEARCH("wse",E51)))</formula>
    </cfRule>
  </conditionalFormatting>
  <conditionalFormatting sqref="E51:I92">
    <cfRule type="containsText" dxfId="1258" priority="207" operator="containsText" text="l4">
      <formula>NOT(ISERROR(SEARCH("l4",E51)))</formula>
    </cfRule>
    <cfRule type="containsText" dxfId="1257" priority="208" operator="containsText" text="12g">
      <formula>NOT(ISERROR(SEARCH("12g",E51)))</formula>
    </cfRule>
  </conditionalFormatting>
  <conditionalFormatting sqref="E53:I92 E94:I100">
    <cfRule type="cellIs" dxfId="1255" priority="359" operator="greaterThan">
      <formula>0</formula>
    </cfRule>
  </conditionalFormatting>
  <conditionalFormatting sqref="E53:I92 AC53:AG92 AC94:AG99 E94:I100">
    <cfRule type="containsText" dxfId="1254" priority="354" operator="containsText" text="wse">
      <formula>NOT(ISERROR(SEARCH("wse",E53)))</formula>
    </cfRule>
    <cfRule type="containsText" dxfId="1253" priority="358" operator="containsText" text="d">
      <formula>NOT(ISERROR(SEARCH("d",E53)))</formula>
    </cfRule>
    <cfRule type="containsText" dxfId="1252" priority="357" operator="containsText" text="s">
      <formula>NOT(ISERROR(SEARCH("s",E53)))</formula>
    </cfRule>
    <cfRule type="containsText" dxfId="1251" priority="356" operator="containsText" text="u">
      <formula>NOT(ISERROR(SEARCH("u",E53)))</formula>
    </cfRule>
    <cfRule type="containsText" dxfId="1250" priority="355" operator="containsText" text="k">
      <formula>NOT(ISERROR(SEARCH("k",E53)))</formula>
    </cfRule>
  </conditionalFormatting>
  <conditionalFormatting sqref="E101:I101">
    <cfRule type="cellIs" dxfId="1249" priority="435" operator="greaterThan">
      <formula>0</formula>
    </cfRule>
  </conditionalFormatting>
  <conditionalFormatting sqref="E102:K102">
    <cfRule type="containsText" dxfId="1248" priority="85" operator="containsText" text="wse">
      <formula>NOT(ISERROR(SEARCH("wse",E102)))</formula>
    </cfRule>
    <cfRule type="containsText" dxfId="1247" priority="86" operator="containsText" text="k">
      <formula>NOT(ISERROR(SEARCH("k",E102)))</formula>
    </cfRule>
    <cfRule type="containsText" dxfId="1246" priority="87" operator="containsText" text="u">
      <formula>NOT(ISERROR(SEARCH("u",E102)))</formula>
    </cfRule>
    <cfRule type="containsText" dxfId="1245" priority="88" operator="containsText" text="s">
      <formula>NOT(ISERROR(SEARCH("s",E102)))</formula>
    </cfRule>
    <cfRule type="containsText" dxfId="1244" priority="89" operator="containsText" text="d">
      <formula>NOT(ISERROR(SEARCH("d",E102)))</formula>
    </cfRule>
  </conditionalFormatting>
  <conditionalFormatting sqref="E102:AF102">
    <cfRule type="containsText" dxfId="1242" priority="83" operator="containsText" text="12g">
      <formula>NOT(ISERROR(SEARCH("12g",E102)))</formula>
    </cfRule>
    <cfRule type="containsText" dxfId="1241" priority="82" operator="containsText" text="l4">
      <formula>NOT(ISERROR(SEARCH("l4",E102)))</formula>
    </cfRule>
  </conditionalFormatting>
  <conditionalFormatting sqref="E34:AI34">
    <cfRule type="cellIs" dxfId="1240" priority="73" operator="greaterThan">
      <formula>1.5</formula>
    </cfRule>
  </conditionalFormatting>
  <conditionalFormatting sqref="E34:AI35">
    <cfRule type="cellIs" dxfId="1239" priority="70" operator="between">
      <formula>0.5</formula>
      <formula>1.5</formula>
    </cfRule>
  </conditionalFormatting>
  <conditionalFormatting sqref="E34:AI37">
    <cfRule type="cellIs" dxfId="1238" priority="71" operator="equal">
      <formula>0</formula>
    </cfRule>
  </conditionalFormatting>
  <conditionalFormatting sqref="E35:AI35">
    <cfRule type="cellIs" dxfId="1237" priority="74" operator="greaterThan">
      <formula>1.5</formula>
    </cfRule>
  </conditionalFormatting>
  <conditionalFormatting sqref="E36:AI36">
    <cfRule type="cellIs" dxfId="1236" priority="75" operator="greaterThan">
      <formula>3.5</formula>
    </cfRule>
  </conditionalFormatting>
  <conditionalFormatting sqref="E37:AI37">
    <cfRule type="cellIs" dxfId="1235" priority="23" operator="greaterThan">
      <formula>3.5</formula>
    </cfRule>
  </conditionalFormatting>
  <conditionalFormatting sqref="E51:AI101">
    <cfRule type="containsText" dxfId="1234" priority="522" operator="containsText" text="zs">
      <formula>NOT(ISERROR(SEARCH("zs",E51)))</formula>
    </cfRule>
  </conditionalFormatting>
  <conditionalFormatting sqref="E101:AI101">
    <cfRule type="containsText" dxfId="1232" priority="428" operator="containsText" text="12g">
      <formula>NOT(ISERROR(SEARCH("12g",E101)))</formula>
    </cfRule>
    <cfRule type="containsText" dxfId="1231" priority="434" operator="containsText" text="d">
      <formula>NOT(ISERROR(SEARCH("d",E101)))</formula>
    </cfRule>
    <cfRule type="containsText" dxfId="1230" priority="427" operator="containsText" text="l4">
      <formula>NOT(ISERROR(SEARCH("l4",E101)))</formula>
    </cfRule>
    <cfRule type="containsText" dxfId="1229" priority="430" operator="containsText" text="wse">
      <formula>NOT(ISERROR(SEARCH("wse",E101)))</formula>
    </cfRule>
    <cfRule type="containsText" dxfId="1228" priority="431" operator="containsText" text="k">
      <formula>NOT(ISERROR(SEARCH("k",E101)))</formula>
    </cfRule>
    <cfRule type="containsText" dxfId="1227" priority="432" operator="containsText" text="u">
      <formula>NOT(ISERROR(SEARCH("u",E101)))</formula>
    </cfRule>
    <cfRule type="containsText" dxfId="1226" priority="433" operator="containsText" text="s">
      <formula>NOT(ISERROR(SEARCH("s",E101)))</formula>
    </cfRule>
  </conditionalFormatting>
  <conditionalFormatting sqref="E103:AI103">
    <cfRule type="cellIs" dxfId="1225" priority="126" operator="greaterThan">
      <formula>1.5</formula>
    </cfRule>
  </conditionalFormatting>
  <conditionalFormatting sqref="E103:AI104">
    <cfRule type="cellIs" dxfId="1224" priority="123" operator="between">
      <formula>0.5</formula>
      <formula>1.5</formula>
    </cfRule>
  </conditionalFormatting>
  <conditionalFormatting sqref="E103:AI106">
    <cfRule type="cellIs" dxfId="1223" priority="124" operator="equal">
      <formula>0</formula>
    </cfRule>
  </conditionalFormatting>
  <conditionalFormatting sqref="E104:AI104">
    <cfRule type="cellIs" dxfId="1222" priority="127" operator="greaterThan">
      <formula>1.5</formula>
    </cfRule>
  </conditionalFormatting>
  <conditionalFormatting sqref="E105:AI105">
    <cfRule type="cellIs" dxfId="1221" priority="128" operator="greaterThan">
      <formula>3.5</formula>
    </cfRule>
  </conditionalFormatting>
  <conditionalFormatting sqref="E106:AI106">
    <cfRule type="cellIs" dxfId="1220" priority="76" operator="greaterThan">
      <formula>3.5</formula>
    </cfRule>
  </conditionalFormatting>
  <conditionalFormatting sqref="J2:K4">
    <cfRule type="containsText" dxfId="1219" priority="7" operator="containsText" text="D">
      <formula>NOT(ISERROR(SEARCH("D",J2)))</formula>
    </cfRule>
  </conditionalFormatting>
  <conditionalFormatting sqref="J5:K33">
    <cfRule type="containsText" dxfId="1218" priority="30" operator="containsText" text="12g">
      <formula>NOT(ISERROR(SEARCH("12g",J5)))</formula>
    </cfRule>
    <cfRule type="containsText" dxfId="1216" priority="33" operator="containsText" text="k">
      <formula>NOT(ISERROR(SEARCH("k",J5)))</formula>
    </cfRule>
    <cfRule type="containsText" dxfId="1215" priority="34" operator="containsText" text="u">
      <formula>NOT(ISERROR(SEARCH("u",J5)))</formula>
    </cfRule>
    <cfRule type="containsText" dxfId="1214" priority="35" operator="containsText" text="s">
      <formula>NOT(ISERROR(SEARCH("s",J5)))</formula>
    </cfRule>
    <cfRule type="containsText" dxfId="1213" priority="36" operator="containsText" text="d">
      <formula>NOT(ISERROR(SEARCH("d",J5)))</formula>
    </cfRule>
    <cfRule type="containsText" dxfId="1212" priority="32" operator="containsText" text="wse">
      <formula>NOT(ISERROR(SEARCH("wse",J5)))</formula>
    </cfRule>
    <cfRule type="containsText" dxfId="1211" priority="29" operator="containsText" text="l4">
      <formula>NOT(ISERROR(SEARCH("l4",J5)))</formula>
    </cfRule>
  </conditionalFormatting>
  <conditionalFormatting sqref="J51:K51">
    <cfRule type="containsText" dxfId="1210" priority="206" operator="containsText" text="D">
      <formula>NOT(ISERROR(SEARCH("D",J51)))</formula>
    </cfRule>
  </conditionalFormatting>
  <conditionalFormatting sqref="J52:AI52">
    <cfRule type="containsText" dxfId="1208" priority="284" operator="containsText" text="l4">
      <formula>NOT(ISERROR(SEARCH("l4",J52)))</formula>
    </cfRule>
    <cfRule type="containsText" dxfId="1207" priority="285" operator="containsText" text="12g">
      <formula>NOT(ISERROR(SEARCH("12g",J52)))</formula>
    </cfRule>
    <cfRule type="containsText" dxfId="1206" priority="287" operator="containsText" text="wse">
      <formula>NOT(ISERROR(SEARCH("wse",J52)))</formula>
    </cfRule>
    <cfRule type="containsText" dxfId="1205" priority="288" operator="containsText" text="k">
      <formula>NOT(ISERROR(SEARCH("k",J52)))</formula>
    </cfRule>
    <cfRule type="containsText" dxfId="1204" priority="289" operator="containsText" text="u">
      <formula>NOT(ISERROR(SEARCH("u",J52)))</formula>
    </cfRule>
    <cfRule type="containsText" dxfId="1203" priority="290" operator="containsText" text="s">
      <formula>NOT(ISERROR(SEARCH("s",J52)))</formula>
    </cfRule>
    <cfRule type="containsText" dxfId="1202" priority="291" operator="containsText" text="d">
      <formula>NOT(ISERROR(SEARCH("d",J52)))</formula>
    </cfRule>
  </conditionalFormatting>
  <conditionalFormatting sqref="J53:AI92 J94:AI100">
    <cfRule type="containsText" dxfId="1201" priority="364" operator="containsText" text="k">
      <formula>NOT(ISERROR(SEARCH("k",J53)))</formula>
    </cfRule>
    <cfRule type="containsText" dxfId="1200" priority="365" operator="containsText" text="u">
      <formula>NOT(ISERROR(SEARCH("u",J53)))</formula>
    </cfRule>
    <cfRule type="containsText" dxfId="1199" priority="366" operator="containsText" text="s">
      <formula>NOT(ISERROR(SEARCH("s",J53)))</formula>
    </cfRule>
    <cfRule type="containsText" dxfId="1198" priority="367" operator="containsText" text="d">
      <formula>NOT(ISERROR(SEARCH("d",J53)))</formula>
    </cfRule>
    <cfRule type="containsText" dxfId="1197" priority="361" operator="containsText" text="12g">
      <formula>NOT(ISERROR(SEARCH("12g",J53)))</formula>
    </cfRule>
    <cfRule type="containsText" dxfId="1196" priority="360" operator="containsText" text="l4">
      <formula>NOT(ISERROR(SEARCH("l4",J53)))</formula>
    </cfRule>
    <cfRule type="containsText" dxfId="1195" priority="363" operator="containsText" text="wse">
      <formula>NOT(ISERROR(SEARCH("wse",J53)))</formula>
    </cfRule>
  </conditionalFormatting>
  <conditionalFormatting sqref="L2:M2 O2 L3:P9 O10">
    <cfRule type="containsText" dxfId="1193" priority="143" operator="containsText" text="u">
      <formula>NOT(ISERROR(SEARCH("u",L2)))</formula>
    </cfRule>
    <cfRule type="containsText" dxfId="1192" priority="144" operator="containsText" text="s">
      <formula>NOT(ISERROR(SEARCH("s",L2)))</formula>
    </cfRule>
    <cfRule type="containsText" dxfId="1191" priority="145" operator="containsText" text="d">
      <formula>NOT(ISERROR(SEARCH("d",L2)))</formula>
    </cfRule>
    <cfRule type="containsText" dxfId="1190" priority="141" operator="containsText" text="wse">
      <formula>NOT(ISERROR(SEARCH("wse",L2)))</formula>
    </cfRule>
    <cfRule type="containsText" dxfId="1189" priority="142" operator="containsText" text="k">
      <formula>NOT(ISERROR(SEARCH("k",L2)))</formula>
    </cfRule>
    <cfRule type="cellIs" dxfId="1188" priority="146" operator="greaterThan">
      <formula>0</formula>
    </cfRule>
    <cfRule type="containsText" dxfId="1187" priority="139" operator="containsText" text="12g">
      <formula>NOT(ISERROR(SEARCH("12g",L2)))</formula>
    </cfRule>
    <cfRule type="containsText" dxfId="1186" priority="138" operator="containsText" text="l4">
      <formula>NOT(ISERROR(SEARCH("l4",L2)))</formula>
    </cfRule>
  </conditionalFormatting>
  <conditionalFormatting sqref="L51:P51">
    <cfRule type="cellIs" dxfId="1185" priority="224" operator="greaterThan">
      <formula>0</formula>
    </cfRule>
  </conditionalFormatting>
  <conditionalFormatting sqref="L52:P52">
    <cfRule type="cellIs" dxfId="1184" priority="292" operator="greaterThan">
      <formula>0</formula>
    </cfRule>
  </conditionalFormatting>
  <conditionalFormatting sqref="L53:P92 L94:P100">
    <cfRule type="cellIs" dxfId="1183" priority="368" operator="greaterThan">
      <formula>0</formula>
    </cfRule>
  </conditionalFormatting>
  <conditionalFormatting sqref="L101:P101">
    <cfRule type="cellIs" dxfId="1182" priority="444" operator="greaterThan">
      <formula>0</formula>
    </cfRule>
  </conditionalFormatting>
  <conditionalFormatting sqref="L102:R102">
    <cfRule type="containsText" dxfId="1181" priority="97" operator="containsText" text="d">
      <formula>NOT(ISERROR(SEARCH("d",L102)))</formula>
    </cfRule>
    <cfRule type="containsText" dxfId="1180" priority="95" operator="containsText" text="u">
      <formula>NOT(ISERROR(SEARCH("u",L102)))</formula>
    </cfRule>
    <cfRule type="containsText" dxfId="1179" priority="93" operator="containsText" text="wse">
      <formula>NOT(ISERROR(SEARCH("wse",L102)))</formula>
    </cfRule>
    <cfRule type="containsText" dxfId="1178" priority="94" operator="containsText" text="k">
      <formula>NOT(ISERROR(SEARCH("k",L102)))</formula>
    </cfRule>
    <cfRule type="containsText" dxfId="1177" priority="96" operator="containsText" text="s">
      <formula>NOT(ISERROR(SEARCH("s",L102)))</formula>
    </cfRule>
  </conditionalFormatting>
  <conditionalFormatting sqref="L51:AI51">
    <cfRule type="containsText" dxfId="1176" priority="223" operator="containsText" text="d">
      <formula>NOT(ISERROR(SEARCH("d",L51)))</formula>
    </cfRule>
    <cfRule type="containsText" dxfId="1175" priority="221" operator="containsText" text="u">
      <formula>NOT(ISERROR(SEARCH("u",L51)))</formula>
    </cfRule>
    <cfRule type="containsText" dxfId="1174" priority="219" operator="containsText" text="wse">
      <formula>NOT(ISERROR(SEARCH("wse",L51)))</formula>
    </cfRule>
    <cfRule type="containsText" dxfId="1173" priority="220" operator="containsText" text="k">
      <formula>NOT(ISERROR(SEARCH("k",L51)))</formula>
    </cfRule>
    <cfRule type="containsText" dxfId="1171" priority="217" operator="containsText" text="12g">
      <formula>NOT(ISERROR(SEARCH("12g",L51)))</formula>
    </cfRule>
    <cfRule type="containsText" dxfId="1170" priority="216" operator="containsText" text="l4">
      <formula>NOT(ISERROR(SEARCH("l4",L51)))</formula>
    </cfRule>
    <cfRule type="containsText" dxfId="1169" priority="222" operator="containsText" text="s">
      <formula>NOT(ISERROR(SEARCH("s",L51)))</formula>
    </cfRule>
  </conditionalFormatting>
  <conditionalFormatting sqref="M10">
    <cfRule type="cellIs" dxfId="1166" priority="521" operator="greaterThan">
      <formula>0</formula>
    </cfRule>
    <cfRule type="containsText" dxfId="1165" priority="520" operator="containsText" text="d">
      <formula>NOT(ISERROR(SEARCH("d",M10)))</formula>
    </cfRule>
    <cfRule type="containsText" dxfId="1164" priority="519" operator="containsText" text="s">
      <formula>NOT(ISERROR(SEARCH("s",M10)))</formula>
    </cfRule>
    <cfRule type="containsText" dxfId="1163" priority="518" operator="containsText" text="u">
      <formula>NOT(ISERROR(SEARCH("u",M10)))</formula>
    </cfRule>
    <cfRule type="containsText" dxfId="1162" priority="517" operator="containsText" text="k">
      <formula>NOT(ISERROR(SEARCH("k",M10)))</formula>
    </cfRule>
    <cfRule type="containsText" dxfId="1161" priority="516" operator="containsText" text="wse">
      <formula>NOT(ISERROR(SEARCH("wse",M10)))</formula>
    </cfRule>
    <cfRule type="containsText" dxfId="1160" priority="513" operator="containsText" text="l4">
      <formula>NOT(ISERROR(SEARCH("l4",M10)))</formula>
    </cfRule>
    <cfRule type="containsText" dxfId="1159" priority="514" operator="containsText" text="12g">
      <formula>NOT(ISERROR(SEARCH("12g",M10)))</formula>
    </cfRule>
  </conditionalFormatting>
  <conditionalFormatting sqref="Q33:AF33">
    <cfRule type="containsText" dxfId="1156" priority="37" operator="containsText" text="l4">
      <formula>NOT(ISERROR(SEARCH("l4",Q33)))</formula>
    </cfRule>
    <cfRule type="containsText" dxfId="1155" priority="38" operator="containsText" text="12g">
      <formula>NOT(ISERROR(SEARCH("12g",Q33)))</formula>
    </cfRule>
    <cfRule type="containsText" dxfId="1153" priority="40" operator="containsText" text="wse">
      <formula>NOT(ISERROR(SEARCH("wse",Q33)))</formula>
    </cfRule>
    <cfRule type="containsText" dxfId="1152" priority="41" operator="containsText" text="k">
      <formula>NOT(ISERROR(SEARCH("k",Q33)))</formula>
    </cfRule>
    <cfRule type="containsText" dxfId="1151" priority="42" operator="containsText" text="u">
      <formula>NOT(ISERROR(SEARCH("u",Q33)))</formula>
    </cfRule>
    <cfRule type="containsText" dxfId="1150" priority="43" operator="containsText" text="s">
      <formula>NOT(ISERROR(SEARCH("s",Q33)))</formula>
    </cfRule>
    <cfRule type="containsText" dxfId="1149" priority="44" operator="containsText" text="d">
      <formula>NOT(ISERROR(SEARCH("d",Q33)))</formula>
    </cfRule>
  </conditionalFormatting>
  <conditionalFormatting sqref="Q2:AI32">
    <cfRule type="containsText" dxfId="1148" priority="154" operator="containsText" text="d">
      <formula>NOT(ISERROR(SEARCH("d",Q2)))</formula>
    </cfRule>
    <cfRule type="containsText" dxfId="1147" priority="148" operator="containsText" text="12g">
      <formula>NOT(ISERROR(SEARCH("12g",Q2)))</formula>
    </cfRule>
    <cfRule type="containsText" dxfId="1146" priority="151" operator="containsText" text="k">
      <formula>NOT(ISERROR(SEARCH("k",Q2)))</formula>
    </cfRule>
    <cfRule type="containsText" dxfId="1145" priority="152" operator="containsText" text="u">
      <formula>NOT(ISERROR(SEARCH("u",Q2)))</formula>
    </cfRule>
    <cfRule type="containsText" dxfId="1144" priority="150" operator="containsText" text="wse">
      <formula>NOT(ISERROR(SEARCH("wse",Q2)))</formula>
    </cfRule>
    <cfRule type="containsText" dxfId="1142" priority="147" operator="containsText" text="l4">
      <formula>NOT(ISERROR(SEARCH("l4",Q2)))</formula>
    </cfRule>
    <cfRule type="containsText" dxfId="1141" priority="153" operator="containsText" text="s">
      <formula>NOT(ISERROR(SEARCH("s",Q2)))</formula>
    </cfRule>
  </conditionalFormatting>
  <conditionalFormatting sqref="S2:W32">
    <cfRule type="cellIs" dxfId="1140" priority="155" operator="greaterThan">
      <formula>0</formula>
    </cfRule>
  </conditionalFormatting>
  <conditionalFormatting sqref="S51:W51">
    <cfRule type="cellIs" dxfId="1139" priority="233" operator="greaterThan">
      <formula>0</formula>
    </cfRule>
  </conditionalFormatting>
  <conditionalFormatting sqref="S52:W52">
    <cfRule type="cellIs" dxfId="1138" priority="301" operator="greaterThan">
      <formula>0</formula>
    </cfRule>
  </conditionalFormatting>
  <conditionalFormatting sqref="S53:W92 S94:W100">
    <cfRule type="cellIs" dxfId="1137" priority="377" operator="greaterThan">
      <formula>0</formula>
    </cfRule>
  </conditionalFormatting>
  <conditionalFormatting sqref="S101:W101">
    <cfRule type="cellIs" dxfId="1136" priority="453" operator="greaterThan">
      <formula>0</formula>
    </cfRule>
  </conditionalFormatting>
  <conditionalFormatting sqref="S102:W102 Z102:AD102 L102:P102 E102:I102">
    <cfRule type="cellIs" dxfId="1135" priority="122" operator="greaterThan">
      <formula>0</formula>
    </cfRule>
  </conditionalFormatting>
  <conditionalFormatting sqref="S102:W102">
    <cfRule type="containsText" dxfId="1134" priority="120" operator="containsText" text="s">
      <formula>NOT(ISERROR(SEARCH("s",S102)))</formula>
    </cfRule>
    <cfRule type="containsText" dxfId="1133" priority="119" operator="containsText" text="u">
      <formula>NOT(ISERROR(SEARCH("u",S102)))</formula>
    </cfRule>
    <cfRule type="containsText" dxfId="1132" priority="117" operator="containsText" text="wse">
      <formula>NOT(ISERROR(SEARCH("wse",S102)))</formula>
    </cfRule>
    <cfRule type="containsText" dxfId="1131" priority="118" operator="containsText" text="k">
      <formula>NOT(ISERROR(SEARCH("k",S102)))</formula>
    </cfRule>
    <cfRule type="containsText" dxfId="1129" priority="121" operator="containsText" text="d">
      <formula>NOT(ISERROR(SEARCH("d",S102)))</formula>
    </cfRule>
  </conditionalFormatting>
  <conditionalFormatting sqref="X102:Y102">
    <cfRule type="containsText" dxfId="1128" priority="105" operator="containsText" text="d">
      <formula>NOT(ISERROR(SEARCH("d",X102)))</formula>
    </cfRule>
    <cfRule type="containsText" dxfId="1127" priority="101" operator="containsText" text="wse">
      <formula>NOT(ISERROR(SEARCH("wse",X102)))</formula>
    </cfRule>
    <cfRule type="containsText" dxfId="1126" priority="102" operator="containsText" text="k">
      <formula>NOT(ISERROR(SEARCH("k",X102)))</formula>
    </cfRule>
    <cfRule type="containsText" dxfId="1125" priority="103" operator="containsText" text="u">
      <formula>NOT(ISERROR(SEARCH("u",X102)))</formula>
    </cfRule>
    <cfRule type="containsText" dxfId="1124" priority="104" operator="containsText" text="s">
      <formula>NOT(ISERROR(SEARCH("s",X102)))</formula>
    </cfRule>
  </conditionalFormatting>
  <conditionalFormatting sqref="Z2:AD32">
    <cfRule type="cellIs" dxfId="1122" priority="164" operator="greaterThan">
      <formula>0</formula>
    </cfRule>
  </conditionalFormatting>
  <conditionalFormatting sqref="Z51:AD51">
    <cfRule type="cellIs" dxfId="1121" priority="242" operator="greaterThan">
      <formula>0</formula>
    </cfRule>
  </conditionalFormatting>
  <conditionalFormatting sqref="Z52:AD52">
    <cfRule type="cellIs" dxfId="1120" priority="310" operator="greaterThan">
      <formula>0</formula>
    </cfRule>
  </conditionalFormatting>
  <conditionalFormatting sqref="Z53:AD92 Z94:AD100">
    <cfRule type="cellIs" dxfId="1119" priority="386" operator="greaterThan">
      <formula>0</formula>
    </cfRule>
  </conditionalFormatting>
  <conditionalFormatting sqref="Z101:AD101">
    <cfRule type="cellIs" dxfId="1118" priority="462" operator="greaterThan">
      <formula>0</formula>
    </cfRule>
  </conditionalFormatting>
  <conditionalFormatting sqref="Z102:AF102">
    <cfRule type="containsText" dxfId="1116" priority="111" operator="containsText" text="u">
      <formula>NOT(ISERROR(SEARCH("u",Z102)))</formula>
    </cfRule>
    <cfRule type="containsText" dxfId="1115" priority="110" operator="containsText" text="k">
      <formula>NOT(ISERROR(SEARCH("k",Z102)))</formula>
    </cfRule>
    <cfRule type="containsText" dxfId="1114" priority="113" operator="containsText" text="d">
      <formula>NOT(ISERROR(SEARCH("d",Z102)))</formula>
    </cfRule>
    <cfRule type="containsText" dxfId="1113" priority="112" operator="containsText" text="s">
      <formula>NOT(ISERROR(SEARCH("s",Z102)))</formula>
    </cfRule>
    <cfRule type="containsText" dxfId="1112" priority="109" operator="containsText" text="wse">
      <formula>NOT(ISERROR(SEARCH("wse",Z102)))</formula>
    </cfRule>
  </conditionalFormatting>
  <conditionalFormatting sqref="AC53:AG92 AC94:AG99 E94:I100">
    <cfRule type="containsText" dxfId="1110" priority="351" operator="containsText" text="l4">
      <formula>NOT(ISERROR(SEARCH("l4",E53)))</formula>
    </cfRule>
    <cfRule type="containsText" dxfId="1109" priority="352" operator="containsText" text="12g">
      <formula>NOT(ISERROR(SEARCH("12g",E53)))</formula>
    </cfRule>
  </conditionalFormatting>
  <conditionalFormatting sqref="AG2:AI32">
    <cfRule type="cellIs" dxfId="1108" priority="173" operator="greaterThan">
      <formula>0</formula>
    </cfRule>
  </conditionalFormatting>
  <conditionalFormatting sqref="AG51:AI51">
    <cfRule type="cellIs" dxfId="1107" priority="251" operator="greaterThan">
      <formula>0</formula>
    </cfRule>
  </conditionalFormatting>
  <conditionalFormatting sqref="AG52:AI52">
    <cfRule type="cellIs" dxfId="1106" priority="319" operator="greaterThan">
      <formula>0</formula>
    </cfRule>
  </conditionalFormatting>
  <conditionalFormatting sqref="AG53:AI92 AG94:AI100">
    <cfRule type="cellIs" dxfId="1105" priority="395" operator="greaterThan">
      <formula>0</formula>
    </cfRule>
  </conditionalFormatting>
  <conditionalFormatting sqref="AG101:AI101">
    <cfRule type="cellIs" dxfId="1104" priority="471" operator="greaterThan">
      <formula>0</formula>
    </cfRule>
  </conditionalFormatting>
  <conditionalFormatting sqref="AQ5:AQ14">
    <cfRule type="containsText" dxfId="1102" priority="13" operator="containsText" text="s">
      <formula>NOT(ISERROR(SEARCH("s",AQ5)))</formula>
    </cfRule>
    <cfRule type="containsText" dxfId="1101" priority="12" operator="containsText" text="u">
      <formula>NOT(ISERROR(SEARCH("u",AQ5)))</formula>
    </cfRule>
    <cfRule type="containsText" dxfId="1100" priority="8" operator="containsText" text="12g">
      <formula>NOT(ISERROR(SEARCH("12g",AQ5)))</formula>
    </cfRule>
    <cfRule type="containsText" dxfId="1099" priority="11" operator="containsText" text="k">
      <formula>NOT(ISERROR(SEARCH("k",AQ5)))</formula>
    </cfRule>
    <cfRule type="containsText" dxfId="1098" priority="10" operator="containsText" text="wse">
      <formula>NOT(ISERROR(SEARCH("wse",AQ5)))</formula>
    </cfRule>
    <cfRule type="containsText" dxfId="1096" priority="14" operator="containsText" text="d">
      <formula>NOT(ISERROR(SEARCH("d",AQ5)))</formula>
    </cfRule>
  </conditionalFormatting>
  <conditionalFormatting sqref="AQ15">
    <cfRule type="containsText" dxfId="1095" priority="21" operator="containsText" text="s">
      <formula>NOT(ISERROR(SEARCH("s",AQ15)))</formula>
    </cfRule>
    <cfRule type="containsText" dxfId="1094" priority="22" operator="containsText" text="d">
      <formula>NOT(ISERROR(SEARCH("d",AQ15)))</formula>
    </cfRule>
    <cfRule type="containsText" dxfId="1093" priority="20" operator="containsText" text="u">
      <formula>NOT(ISERROR(SEARCH("u",AQ15)))</formula>
    </cfRule>
    <cfRule type="containsText" dxfId="1092" priority="19" operator="containsText" text="k">
      <formula>NOT(ISERROR(SEARCH("k",AQ15)))</formula>
    </cfRule>
    <cfRule type="containsText" dxfId="1091" priority="18" operator="containsText" text="wse">
      <formula>NOT(ISERROR(SEARCH("wse",AQ15)))</formula>
    </cfRule>
    <cfRule type="containsText" dxfId="1089" priority="16" operator="containsText" text="12g">
      <formula>NOT(ISERROR(SEARCH("12g",AQ15)))</formula>
    </cfRule>
    <cfRule type="containsText" dxfId="1088" priority="15" operator="containsText" text="l4">
      <formula>NOT(ISERROR(SEARCH("l4",AQ15)))</formula>
    </cfRule>
  </conditionalFormatting>
  <pageMargins left="0.31527777777777799" right="0.31527777777777799" top="0.35416666666666702" bottom="0.15763888888888899" header="0.51180555555555496" footer="0.51180555555555496"/>
  <pageSetup paperSize="8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1" operator="containsText" id="{C8D3DAE4-6FBA-4BAC-AA56-AFFF85CD3FBF}">
            <xm:f>NOT(ISERROR(SEARCH("-",E2)))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E2:I9 E10</xm:sqref>
        </x14:conditionalFormatting>
        <x14:conditionalFormatting xmlns:xm="http://schemas.microsoft.com/office/excel/2006/main">
          <x14:cfRule type="containsText" priority="63" operator="containsText" id="{8F449D14-70C6-4D10-8577-6886694836E4}">
            <xm:f>NOT(ISERROR(SEARCH("-",E11)))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E11:I33 L11:P33</xm:sqref>
        </x14:conditionalFormatting>
        <x14:conditionalFormatting xmlns:xm="http://schemas.microsoft.com/office/excel/2006/main">
          <x14:cfRule type="containsText" priority="209" operator="containsText" id="{C82F937A-921D-4EFD-907A-CFEF9C7DCC19}">
            <xm:f>NOT(ISERROR(SEARCH("-",E51)))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E51:I51</xm:sqref>
        </x14:conditionalFormatting>
        <x14:conditionalFormatting xmlns:xm="http://schemas.microsoft.com/office/excel/2006/main">
          <x14:cfRule type="containsText" priority="523" operator="containsText" id="{CDB8B7EC-EE61-4C9C-80E5-B1291B434E60}">
            <xm:f>NOT(ISERROR(SEARCH("-",E52)))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E52:I52 AC52:AG52</xm:sqref>
        </x14:conditionalFormatting>
        <x14:conditionalFormatting xmlns:xm="http://schemas.microsoft.com/office/excel/2006/main">
          <x14:cfRule type="containsText" priority="84" operator="containsText" id="{C189CC3D-E067-4362-8426-B010EE3960A8}">
            <xm:f>NOT(ISERROR(SEARCH("-",E102)))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E102:P102</xm:sqref>
        </x14:conditionalFormatting>
        <x14:conditionalFormatting xmlns:xm="http://schemas.microsoft.com/office/excel/2006/main">
          <x14:cfRule type="containsText" priority="429" operator="containsText" id="{3D4BC0E8-D284-43B5-AACB-4BA8CC1AF0C7}">
            <xm:f>NOT(ISERROR(SEARCH("-",E101)))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E101:AI101</xm:sqref>
        </x14:conditionalFormatting>
        <x14:conditionalFormatting xmlns:xm="http://schemas.microsoft.com/office/excel/2006/main">
          <x14:cfRule type="containsText" priority="31" operator="containsText" id="{4C133B30-3D50-4ABA-9B9D-9B908C702620}">
            <xm:f>NOT(ISERROR(SEARCH("-",J5)))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J5:K33</xm:sqref>
        </x14:conditionalFormatting>
        <x14:conditionalFormatting xmlns:xm="http://schemas.microsoft.com/office/excel/2006/main">
          <x14:cfRule type="containsText" priority="524" operator="containsText" id="{3C1DDDB0-19D2-4883-8140-5B97A9402A6F}">
            <xm:f>NOT(ISERROR(SEARCH("-",J52)))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J52:K92 AH52:AI92</xm:sqref>
        </x14:conditionalFormatting>
        <x14:conditionalFormatting xmlns:xm="http://schemas.microsoft.com/office/excel/2006/main">
          <x14:cfRule type="containsText" priority="140" operator="containsText" id="{B3B7AE63-9698-4BD2-8DA4-E8F6636260CB}">
            <xm:f>NOT(ISERROR(SEARCH("-",L2)))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L2:M2 O2 L3:P9 O10</xm:sqref>
        </x14:conditionalFormatting>
        <x14:conditionalFormatting xmlns:xm="http://schemas.microsoft.com/office/excel/2006/main">
          <x14:cfRule type="containsText" priority="218" operator="containsText" id="{D3AF2D95-8FA6-4DA6-B4EC-55C46C6187C0}">
            <xm:f>NOT(ISERROR(SEARCH("-",L51)))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L51:AI51</xm:sqref>
        </x14:conditionalFormatting>
        <x14:conditionalFormatting xmlns:xm="http://schemas.microsoft.com/office/excel/2006/main">
          <x14:cfRule type="containsText" priority="286" operator="containsText" id="{ACE19681-64E2-485B-A5C4-952DEBF588D5}">
            <xm:f>NOT(ISERROR(SEARCH("-",L52)))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L52:AI52</xm:sqref>
        </x14:conditionalFormatting>
        <x14:conditionalFormatting xmlns:xm="http://schemas.microsoft.com/office/excel/2006/main">
          <x14:cfRule type="containsText" priority="362" operator="containsText" id="{2588D28D-FAA0-4934-B511-F6AB204F3DA5}">
            <xm:f>NOT(ISERROR(SEARCH("-",L53)))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L53:AI92 L94:AI100</xm:sqref>
        </x14:conditionalFormatting>
        <x14:conditionalFormatting xmlns:xm="http://schemas.microsoft.com/office/excel/2006/main">
          <x14:cfRule type="containsText" priority="515" operator="containsText" id="{35CC746D-3860-4810-A0C8-48B0ECCE20A3}">
            <xm:f>NOT(ISERROR(SEARCH("-",M10)))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M10</xm:sqref>
        </x14:conditionalFormatting>
        <x14:conditionalFormatting xmlns:xm="http://schemas.microsoft.com/office/excel/2006/main">
          <x14:cfRule type="containsText" priority="92" operator="containsText" id="{582B4E97-C0A9-40FF-9159-F9DDE7B0A651}">
            <xm:f>NOT(ISERROR(SEARCH("-",Q102)))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Q102:R102</xm:sqref>
        </x14:conditionalFormatting>
        <x14:conditionalFormatting xmlns:xm="http://schemas.microsoft.com/office/excel/2006/main">
          <x14:cfRule type="containsText" priority="39" operator="containsText" id="{A4EB2B20-FAE2-4AEE-9020-4AB380276D77}">
            <xm:f>NOT(ISERROR(SEARCH("-",Q33)))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Q33:AF33</xm:sqref>
        </x14:conditionalFormatting>
        <x14:conditionalFormatting xmlns:xm="http://schemas.microsoft.com/office/excel/2006/main">
          <x14:cfRule type="containsText" priority="149" operator="containsText" id="{D11F2269-E8F9-4594-9854-9841207EE423}">
            <xm:f>NOT(ISERROR(SEARCH("-",Q2)))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Q2:AI32</xm:sqref>
        </x14:conditionalFormatting>
        <x14:conditionalFormatting xmlns:xm="http://schemas.microsoft.com/office/excel/2006/main">
          <x14:cfRule type="containsText" priority="116" operator="containsText" id="{DAD62072-43B3-45C5-B01A-39DD53AE5DB0}">
            <xm:f>NOT(ISERROR(SEARCH("-",S102)))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S102:W102</xm:sqref>
        </x14:conditionalFormatting>
        <x14:conditionalFormatting xmlns:xm="http://schemas.microsoft.com/office/excel/2006/main">
          <x14:cfRule type="containsText" priority="100" operator="containsText" id="{2B46287C-233A-4F27-A9B6-FAA5BEA651D9}">
            <xm:f>NOT(ISERROR(SEARCH("-",X102)))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X102:Y102</xm:sqref>
        </x14:conditionalFormatting>
        <x14:conditionalFormatting xmlns:xm="http://schemas.microsoft.com/office/excel/2006/main">
          <x14:cfRule type="containsText" priority="108" operator="containsText" id="{F9746FA7-39AB-41E3-863C-68E37AC2F319}">
            <xm:f>NOT(ISERROR(SEARCH("-",Z102)))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Z102:AF102</xm:sqref>
        </x14:conditionalFormatting>
        <x14:conditionalFormatting xmlns:xm="http://schemas.microsoft.com/office/excel/2006/main">
          <x14:cfRule type="containsText" priority="353" operator="containsText" id="{812E4F7A-521A-45C9-84FC-7215376B3B70}">
            <xm:f>NOT(ISERROR(SEARCH("-",E53)))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AC53:AG92 AC94:AG99 E94:I100 E53:I92</xm:sqref>
        </x14:conditionalFormatting>
        <x14:conditionalFormatting xmlns:xm="http://schemas.microsoft.com/office/excel/2006/main">
          <x14:cfRule type="containsText" priority="525" operator="containsText" id="{7046303C-92D4-4775-B9E8-5C97C8E7AC96}">
            <xm:f>NOT(ISERROR(SEARCH("-",J94)))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AH94:AI99 J94:K100</xm:sqref>
        </x14:conditionalFormatting>
        <x14:conditionalFormatting xmlns:xm="http://schemas.microsoft.com/office/excel/2006/main">
          <x14:cfRule type="containsText" priority="9" operator="containsText" id="{4FFB6017-4CBF-45BC-9D61-C114B38D709B}">
            <xm:f>NOT(ISERROR(SEARCH("-",AQ5)))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AQ5:AQ14</xm:sqref>
        </x14:conditionalFormatting>
        <x14:conditionalFormatting xmlns:xm="http://schemas.microsoft.com/office/excel/2006/main">
          <x14:cfRule type="containsText" priority="17" operator="containsText" id="{22399800-E738-46AC-87B8-518DF038E69B}">
            <xm:f>NOT(ISERROR(SEARCH("-",AQ15)))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AQ15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4"/>
  <sheetViews>
    <sheetView zoomScaleNormal="100" workbookViewId="0">
      <selection activeCell="AE73" sqref="AE73"/>
    </sheetView>
  </sheetViews>
  <sheetFormatPr defaultColWidth="8.69140625" defaultRowHeight="14.6"/>
  <cols>
    <col min="1" max="1" width="3.84375" style="176" customWidth="1"/>
    <col min="2" max="2" width="6" style="177" customWidth="1"/>
    <col min="3" max="3" width="28.84375" style="178" customWidth="1"/>
    <col min="4" max="4" width="23.84375" customWidth="1"/>
    <col min="5" max="5" width="24.53515625" customWidth="1"/>
    <col min="7" max="7" width="20.3046875" customWidth="1"/>
    <col min="8" max="8" width="4" customWidth="1"/>
    <col min="9" max="9" width="20.3046875" customWidth="1"/>
    <col min="10" max="11" width="4" customWidth="1"/>
    <col min="12" max="12" width="20.3046875" customWidth="1"/>
    <col min="13" max="13" width="4" customWidth="1"/>
    <col min="14" max="14" width="20.3046875" customWidth="1"/>
  </cols>
  <sheetData>
    <row r="1" spans="1:19" ht="30.9">
      <c r="B1" s="686" t="s">
        <v>274</v>
      </c>
      <c r="C1" s="686"/>
      <c r="D1" s="686"/>
      <c r="E1" s="686"/>
      <c r="G1" s="694" t="s">
        <v>275</v>
      </c>
      <c r="H1" s="694"/>
      <c r="I1" s="694"/>
      <c r="J1" s="694"/>
      <c r="K1" s="694"/>
      <c r="L1" s="694"/>
      <c r="M1" s="694"/>
      <c r="N1" s="694"/>
    </row>
    <row r="2" spans="1:19" ht="28.3">
      <c r="A2" s="687" t="s">
        <v>178</v>
      </c>
      <c r="B2" s="687"/>
      <c r="C2" s="687"/>
      <c r="D2" s="687"/>
      <c r="E2" s="687"/>
      <c r="G2" s="695" t="s">
        <v>221</v>
      </c>
      <c r="H2" s="695"/>
      <c r="I2" s="695"/>
      <c r="J2" s="234"/>
      <c r="K2" s="235"/>
      <c r="L2" s="696" t="s">
        <v>222</v>
      </c>
      <c r="M2" s="696"/>
      <c r="N2" s="696"/>
    </row>
    <row r="3" spans="1:19" ht="23.15">
      <c r="A3" s="688">
        <v>44197</v>
      </c>
      <c r="B3" s="688"/>
      <c r="C3" s="180" t="s">
        <v>179</v>
      </c>
      <c r="D3" s="181" t="s">
        <v>180</v>
      </c>
      <c r="E3" s="181" t="s">
        <v>180</v>
      </c>
      <c r="G3" s="28"/>
      <c r="J3" s="29"/>
      <c r="K3" s="28"/>
      <c r="N3" s="29"/>
    </row>
    <row r="4" spans="1:19" ht="19.3">
      <c r="A4" s="182">
        <v>1</v>
      </c>
      <c r="B4" s="183" t="s">
        <v>181</v>
      </c>
      <c r="C4" s="184" t="e">
        <f>VLOOKUP("D",MARZEC!$E$2:$AJ$32,32,0)</f>
        <v>#REF!</v>
      </c>
      <c r="D4" s="185"/>
      <c r="E4" s="185"/>
      <c r="G4" s="238" t="s">
        <v>276</v>
      </c>
      <c r="I4" s="238" t="s">
        <v>277</v>
      </c>
      <c r="J4" s="29"/>
      <c r="K4" s="28"/>
      <c r="L4" s="238" t="s">
        <v>278</v>
      </c>
      <c r="N4" s="238" t="s">
        <v>279</v>
      </c>
    </row>
    <row r="5" spans="1:19" ht="19.3">
      <c r="A5" s="186">
        <v>2</v>
      </c>
      <c r="B5" s="183" t="s">
        <v>182</v>
      </c>
      <c r="C5" s="184" t="e">
        <f>VLOOKUP("D",MARZEC!F$2:$AJ$32,31,0)</f>
        <v>#REF!</v>
      </c>
      <c r="D5" s="187"/>
      <c r="E5" s="188"/>
      <c r="G5" s="307" t="str">
        <f>MARZEC!F39</f>
        <v>SZCZEPANIAK</v>
      </c>
      <c r="I5" s="308" t="str">
        <f>MARZEC!J39</f>
        <v>SZCZEPANIAK</v>
      </c>
      <c r="J5" s="29"/>
      <c r="K5" s="28"/>
      <c r="L5" s="309" t="str">
        <f>MARZEC!F44</f>
        <v>MAJCHER</v>
      </c>
      <c r="N5" s="310" t="str">
        <f>MARZEC!J44</f>
        <v>MAJCHER</v>
      </c>
    </row>
    <row r="6" spans="1:19" ht="21.75" customHeight="1">
      <c r="A6" s="186">
        <v>3</v>
      </c>
      <c r="B6" s="183" t="s">
        <v>183</v>
      </c>
      <c r="C6" s="184" t="e">
        <f>VLOOKUP("D",MARZEC!G$2:$AJ$32,30,0)</f>
        <v>#REF!</v>
      </c>
      <c r="D6" s="188"/>
      <c r="E6" s="188"/>
      <c r="G6" s="311" t="str">
        <f>MARZEC!F40</f>
        <v>BARAN</v>
      </c>
      <c r="I6" s="312" t="str">
        <f>MARZEC!J40</f>
        <v>NOWICKI</v>
      </c>
      <c r="J6" s="29"/>
      <c r="K6" s="28"/>
      <c r="L6" s="313" t="str">
        <f>MARZEC!F45</f>
        <v>CHŁOPECKI</v>
      </c>
      <c r="N6" s="314" t="str">
        <f>MARZEC!J45</f>
        <v>CHŁOPECKI</v>
      </c>
    </row>
    <row r="7" spans="1:19" ht="21.75" customHeight="1">
      <c r="A7" s="189">
        <v>4</v>
      </c>
      <c r="B7" s="190" t="s">
        <v>184</v>
      </c>
      <c r="C7" s="191" t="e">
        <f>VLOOKUP("D",MARZEC!H$2:$AJ$32,29,0)</f>
        <v>#REF!</v>
      </c>
      <c r="D7" s="192"/>
      <c r="E7" s="192"/>
      <c r="G7" s="315" t="str">
        <f>MARZEC!F41</f>
        <v>GĄSIEWSKI</v>
      </c>
      <c r="I7" s="316" t="str">
        <f>MARZEC!J41</f>
        <v>GĄSIEWSKI</v>
      </c>
      <c r="J7" s="29"/>
      <c r="K7" s="28"/>
      <c r="L7" s="315"/>
      <c r="N7" s="316"/>
      <c r="P7" t="s">
        <v>69</v>
      </c>
      <c r="Q7" t="s">
        <v>70</v>
      </c>
      <c r="R7" t="s">
        <v>70</v>
      </c>
      <c r="S7" t="s">
        <v>69</v>
      </c>
    </row>
    <row r="8" spans="1:19" ht="21.75" customHeight="1">
      <c r="A8" s="189">
        <v>5</v>
      </c>
      <c r="B8" s="190" t="s">
        <v>185</v>
      </c>
      <c r="C8" s="191" t="e">
        <f>VLOOKUP("D",MARZEC!I$2:$AJ$32,28,0)</f>
        <v>#REF!</v>
      </c>
      <c r="D8" s="192"/>
      <c r="E8" s="192"/>
      <c r="G8" s="317" t="str">
        <f>MARZEC!F42</f>
        <v>DRGAS</v>
      </c>
      <c r="I8" s="318" t="str">
        <f>MARZEC!J42</f>
        <v>PRYCA</v>
      </c>
      <c r="J8" s="29"/>
      <c r="K8" s="28"/>
      <c r="L8" s="317" t="str">
        <f>MARZEC!F47</f>
        <v>SŁUPKOWSKI</v>
      </c>
      <c r="N8" s="318" t="str">
        <f>MARZEC!J47</f>
        <v>SŁUPKOWSKI</v>
      </c>
    </row>
    <row r="9" spans="1:19" ht="21.75" customHeight="1">
      <c r="A9" s="186">
        <v>6</v>
      </c>
      <c r="B9" s="183" t="s">
        <v>186</v>
      </c>
      <c r="C9" s="184" t="e">
        <f>VLOOKUP("D",MARZEC!J$2:$AJ$32,27,0)</f>
        <v>#REF!</v>
      </c>
      <c r="D9" s="188"/>
      <c r="E9" s="188"/>
      <c r="G9" s="28"/>
      <c r="J9" s="29"/>
      <c r="K9" s="28"/>
      <c r="N9" s="29"/>
    </row>
    <row r="10" spans="1:19" ht="21.75" customHeight="1">
      <c r="A10" s="189">
        <v>7</v>
      </c>
      <c r="B10" s="190" t="s">
        <v>187</v>
      </c>
      <c r="C10" s="191" t="e">
        <f>VLOOKUP("D",MARZEC!K$2:$AJ$32,26,0)</f>
        <v>#REF!</v>
      </c>
      <c r="D10" s="192"/>
      <c r="E10" s="192"/>
      <c r="G10" s="249" t="s">
        <v>280</v>
      </c>
      <c r="I10" s="249" t="s">
        <v>281</v>
      </c>
      <c r="J10" s="29"/>
      <c r="K10" s="28"/>
      <c r="L10" s="249" t="s">
        <v>282</v>
      </c>
      <c r="N10" s="249" t="s">
        <v>283</v>
      </c>
    </row>
    <row r="11" spans="1:19" ht="21.75" customHeight="1">
      <c r="A11" s="189">
        <v>8</v>
      </c>
      <c r="B11" s="190" t="s">
        <v>181</v>
      </c>
      <c r="C11" s="191" t="e">
        <f>VLOOKUP("D",MARZEC!L$2:$AJ$32,25,0)</f>
        <v>#REF!</v>
      </c>
      <c r="D11" s="193"/>
      <c r="E11" s="192"/>
      <c r="G11" s="307" t="str">
        <f>MARZEC!M39</f>
        <v>ŚWIREPO</v>
      </c>
      <c r="I11" s="308" t="str">
        <f>MARZEC!Q39</f>
        <v>GRZEISAK</v>
      </c>
      <c r="J11" s="29"/>
      <c r="K11" s="28"/>
      <c r="L11" s="310" t="str">
        <f>MARZEC!M44</f>
        <v>ZWOLIŃSKI</v>
      </c>
      <c r="N11" s="310" t="str">
        <f>MARZEC!Q44</f>
        <v>ZWOLIŃSKI</v>
      </c>
    </row>
    <row r="12" spans="1:19" ht="21.75" customHeight="1">
      <c r="A12" s="186">
        <v>9</v>
      </c>
      <c r="B12" s="183" t="s">
        <v>182</v>
      </c>
      <c r="C12" s="184" t="e">
        <f>VLOOKUP("D",MARZEC!M$2:$AJ$32,24,0)</f>
        <v>#REF!</v>
      </c>
      <c r="D12" s="188"/>
      <c r="E12" s="188"/>
      <c r="G12" s="311" t="str">
        <f>MARZEC!M40</f>
        <v>MOSKALONEK</v>
      </c>
      <c r="I12" s="312" t="str">
        <f>MARZEC!Q40</f>
        <v>MOSKALONEK</v>
      </c>
      <c r="J12" s="29"/>
      <c r="K12" s="28"/>
      <c r="L12" s="313" t="str">
        <f>MARZEC!M45</f>
        <v>PIEŃKOWSKI</v>
      </c>
      <c r="N12" s="314" t="str">
        <f>MARZEC!Q45</f>
        <v>PIEŃKOWSKI</v>
      </c>
    </row>
    <row r="13" spans="1:19" ht="21.75" customHeight="1">
      <c r="A13" s="186">
        <v>10</v>
      </c>
      <c r="B13" s="183" t="s">
        <v>183</v>
      </c>
      <c r="C13" s="184" t="e">
        <f>VLOOKUP("D",MARZEC!N$2:$AJ$32,23,0)</f>
        <v>#REF!</v>
      </c>
      <c r="D13" s="188"/>
      <c r="E13" s="188"/>
      <c r="G13" s="315" t="str">
        <f>MARZEC!M41</f>
        <v>MIZGIER</v>
      </c>
      <c r="I13" s="316" t="str">
        <f>MARZEC!Q41</f>
        <v>MIZGIER</v>
      </c>
      <c r="J13" s="29"/>
      <c r="K13" s="28"/>
      <c r="L13" s="315" t="str">
        <f>MARZEC!M46</f>
        <v>ZIEMKOWSKI</v>
      </c>
      <c r="N13" s="316" t="str">
        <f>MARZEC!Q46</f>
        <v>ZIEMKOWSKI</v>
      </c>
    </row>
    <row r="14" spans="1:19" ht="21.75" customHeight="1">
      <c r="A14" s="189">
        <v>11</v>
      </c>
      <c r="B14" s="190" t="s">
        <v>184</v>
      </c>
      <c r="C14" s="191" t="e">
        <f>VLOOKUP("D",MARZEC!O$2:$AJ$32,22,0)</f>
        <v>#REF!</v>
      </c>
      <c r="D14" s="192"/>
      <c r="E14" s="192"/>
      <c r="G14" s="317" t="str">
        <f>MARZEC!M42</f>
        <v>CHYŁA</v>
      </c>
      <c r="I14" s="318" t="str">
        <f>MARZEC!Q42</f>
        <v>BUKOWSKI</v>
      </c>
      <c r="J14" s="29"/>
      <c r="K14" s="28"/>
      <c r="L14" s="317" t="str">
        <f>MARZEC!M47</f>
        <v>ZAWOLIK</v>
      </c>
      <c r="N14" s="318" t="str">
        <f>MARZEC!Q47</f>
        <v>ZAWOLIK</v>
      </c>
    </row>
    <row r="15" spans="1:19" ht="21.75" customHeight="1">
      <c r="A15" s="189">
        <v>12</v>
      </c>
      <c r="B15" s="190" t="s">
        <v>185</v>
      </c>
      <c r="C15" s="191" t="e">
        <f>VLOOKUP("D",MARZEC!P$2:$AJ$32,21,0)</f>
        <v>#REF!</v>
      </c>
      <c r="D15" s="192"/>
      <c r="E15" s="192"/>
      <c r="G15" s="28"/>
      <c r="J15" s="29"/>
      <c r="K15" s="28"/>
      <c r="N15" s="29"/>
    </row>
    <row r="16" spans="1:19" ht="21.75" customHeight="1">
      <c r="A16" s="189">
        <v>13</v>
      </c>
      <c r="B16" s="190" t="s">
        <v>186</v>
      </c>
      <c r="C16" s="191" t="e">
        <f>VLOOKUP("D",MARZEC!Q$2:$AJ$32,20,0)</f>
        <v>#REF!</v>
      </c>
      <c r="D16" s="192"/>
      <c r="E16" s="192"/>
      <c r="G16" s="249" t="s">
        <v>284</v>
      </c>
      <c r="I16" s="249" t="s">
        <v>285</v>
      </c>
      <c r="J16" s="29"/>
      <c r="K16" s="28"/>
      <c r="L16" s="249" t="s">
        <v>286</v>
      </c>
      <c r="N16" s="249" t="s">
        <v>287</v>
      </c>
    </row>
    <row r="17" spans="1:14" ht="21.75" customHeight="1">
      <c r="A17" s="189">
        <v>14</v>
      </c>
      <c r="B17" s="190" t="s">
        <v>187</v>
      </c>
      <c r="C17" s="191" t="e">
        <f>VLOOKUP("D",MARZEC!R$2:$AJ$32,19,0)</f>
        <v>#REF!</v>
      </c>
      <c r="D17" s="192"/>
      <c r="E17" s="192"/>
      <c r="G17" s="307" t="str">
        <f>MARZEC!T39</f>
        <v>BORZĘCKI</v>
      </c>
      <c r="I17" s="308" t="str">
        <f>MARZEC!X39</f>
        <v>BORZĘCKI</v>
      </c>
      <c r="J17" s="29"/>
      <c r="K17" s="28"/>
      <c r="L17" s="309" t="str">
        <f>MARZEC!T44</f>
        <v>PADJAS</v>
      </c>
      <c r="N17" s="309" t="str">
        <f>MARZEC!X44</f>
        <v>PADJAS</v>
      </c>
    </row>
    <row r="18" spans="1:14" ht="21.75" customHeight="1">
      <c r="A18" s="189">
        <v>15</v>
      </c>
      <c r="B18" s="190" t="s">
        <v>181</v>
      </c>
      <c r="C18" s="191" t="e">
        <f>VLOOKUP("D",MARZEC!S$2:$AJ$32,18,0)</f>
        <v>#REF!</v>
      </c>
      <c r="D18" s="192"/>
      <c r="E18" s="192"/>
      <c r="G18" s="311" t="str">
        <f>MARZEC!T40</f>
        <v>SZYMAŃSKI</v>
      </c>
      <c r="I18" s="312" t="str">
        <f>MARZEC!X40</f>
        <v>SZYMAŃSKI</v>
      </c>
      <c r="J18" s="29"/>
      <c r="K18" s="28"/>
      <c r="L18" s="313" t="str">
        <f>MARZEC!T45</f>
        <v>KOSTRZEWSKI</v>
      </c>
      <c r="N18" s="314" t="str">
        <f>MARZEC!X45</f>
        <v>KOSTRZEWSKI</v>
      </c>
    </row>
    <row r="19" spans="1:14" ht="21.75" customHeight="1">
      <c r="A19" s="186">
        <v>16</v>
      </c>
      <c r="B19" s="183" t="s">
        <v>182</v>
      </c>
      <c r="C19" s="184" t="e">
        <f>VLOOKUP("D",MARZEC!T$2:$AJ$32,17,0)</f>
        <v>#REF!</v>
      </c>
      <c r="D19" s="188"/>
      <c r="E19" s="188"/>
      <c r="G19" s="315" t="str">
        <f>MARZEC!T41</f>
        <v>WITWICKI</v>
      </c>
      <c r="I19" s="316" t="str">
        <f>MARZEC!X41</f>
        <v>WITWICKI</v>
      </c>
      <c r="J19" s="29"/>
      <c r="K19" s="28"/>
      <c r="L19" s="315" t="str">
        <f>MARZEC!T46</f>
        <v>MATUK</v>
      </c>
      <c r="N19" s="316" t="str">
        <f>MARZEC!X46</f>
        <v>MATUK</v>
      </c>
    </row>
    <row r="20" spans="1:14" ht="21.75" customHeight="1">
      <c r="A20" s="186">
        <v>17</v>
      </c>
      <c r="B20" s="183" t="s">
        <v>183</v>
      </c>
      <c r="C20" s="184" t="e">
        <f>VLOOKUP("D",MARZEC!U$2:$AJ$32,16,0)</f>
        <v>#REF!</v>
      </c>
      <c r="D20" s="188"/>
      <c r="E20" s="188"/>
      <c r="G20" s="317" t="str">
        <f>MARZEC!T42</f>
        <v>ROZMYTAŃSKA</v>
      </c>
      <c r="I20" s="318" t="str">
        <f>MARZEC!X42</f>
        <v>ROZMYTAŃSKA</v>
      </c>
      <c r="J20" s="29"/>
      <c r="K20" s="28"/>
      <c r="L20" s="317" t="str">
        <f>MARZEC!T47</f>
        <v>KRYSZTOFIAK</v>
      </c>
      <c r="N20" s="318" t="str">
        <f>MARZEC!X47</f>
        <v>KOMOSA</v>
      </c>
    </row>
    <row r="21" spans="1:14" ht="21.75" customHeight="1">
      <c r="A21" s="189">
        <v>18</v>
      </c>
      <c r="B21" s="190" t="s">
        <v>184</v>
      </c>
      <c r="C21" s="191" t="e">
        <f>VLOOKUP("D",MARZEC!V$2:$AJ$32,15,0)</f>
        <v>#REF!</v>
      </c>
      <c r="D21" s="192"/>
      <c r="E21" s="192"/>
      <c r="G21" s="28"/>
      <c r="J21" s="29"/>
      <c r="K21" s="28"/>
      <c r="N21" s="29"/>
    </row>
    <row r="22" spans="1:14" ht="21.75" customHeight="1">
      <c r="A22" s="189">
        <v>19</v>
      </c>
      <c r="B22" s="190" t="s">
        <v>185</v>
      </c>
      <c r="C22" s="191" t="e">
        <f>VLOOKUP("D",MARZEC!W$2:$AJ$32,14,0)</f>
        <v>#REF!</v>
      </c>
      <c r="D22" s="192"/>
      <c r="E22" s="192"/>
      <c r="G22" s="249" t="s">
        <v>288</v>
      </c>
      <c r="I22" s="249" t="s">
        <v>289</v>
      </c>
      <c r="J22" s="29"/>
      <c r="K22" s="28"/>
      <c r="L22" s="249" t="s">
        <v>290</v>
      </c>
      <c r="N22" s="249" t="s">
        <v>291</v>
      </c>
    </row>
    <row r="23" spans="1:14" ht="21.75" customHeight="1">
      <c r="A23" s="189">
        <v>20</v>
      </c>
      <c r="B23" s="190" t="s">
        <v>186</v>
      </c>
      <c r="C23" s="191" t="e">
        <f>VLOOKUP("D",MARZEC!X$2:$AJ$32,13,0)</f>
        <v>#REF!</v>
      </c>
      <c r="D23" s="192"/>
      <c r="E23" s="192"/>
      <c r="G23" s="307" t="str">
        <f>MARZEC!AA39</f>
        <v>KALITA</v>
      </c>
      <c r="I23" s="308" t="str">
        <f>MARZEC!AE39</f>
        <v>KALITA</v>
      </c>
      <c r="J23" s="29"/>
      <c r="K23" s="28"/>
      <c r="L23" s="309" t="str">
        <f>MARZEC!AA44</f>
        <v>KUSIAK</v>
      </c>
      <c r="N23" s="310" t="str">
        <f>MARZEC!AE44</f>
        <v>KUSIAK</v>
      </c>
    </row>
    <row r="24" spans="1:14" ht="21.75" customHeight="1">
      <c r="A24" s="189">
        <v>21</v>
      </c>
      <c r="B24" s="190" t="s">
        <v>187</v>
      </c>
      <c r="C24" s="191" t="e">
        <f>VLOOKUP("D",MARZEC!Y$2:$AJ$32,12,0)</f>
        <v>#REF!</v>
      </c>
      <c r="D24" s="192"/>
      <c r="E24" s="192"/>
      <c r="G24" s="311" t="str">
        <f>MARZEC!AA40</f>
        <v>WALKOWIAK</v>
      </c>
      <c r="I24" s="312" t="str">
        <f>MARZEC!AE40</f>
        <v>WALKOWIAK</v>
      </c>
      <c r="J24" s="29"/>
      <c r="K24" s="28"/>
      <c r="L24" s="313" t="str">
        <f>MARZEC!AA45</f>
        <v>SKALSKA</v>
      </c>
      <c r="N24" s="314" t="str">
        <f>MARZEC!AE45</f>
        <v>SKALSKA</v>
      </c>
    </row>
    <row r="25" spans="1:14" ht="21.75" customHeight="1">
      <c r="A25" s="189">
        <v>22</v>
      </c>
      <c r="B25" s="190" t="s">
        <v>181</v>
      </c>
      <c r="C25" s="191" t="e">
        <f>VLOOKUP("D",MARZEC!Z$2:$AJ$32,11,0)</f>
        <v>#REF!</v>
      </c>
      <c r="D25" s="192"/>
      <c r="E25" s="192"/>
      <c r="G25" s="315" t="str">
        <f>MARZEC!AA41</f>
        <v>ZEMBRZUSKI</v>
      </c>
      <c r="I25" s="316" t="str">
        <f>MARZEC!AE41</f>
        <v>SPRUTTA</v>
      </c>
      <c r="J25" s="29"/>
      <c r="K25" s="28"/>
      <c r="L25" s="315" t="str">
        <f>MARZEC!AA46</f>
        <v>BARTOSIEWICZ</v>
      </c>
      <c r="N25" s="316" t="str">
        <f>MARZEC!AE46</f>
        <v>BARTOSIEWICZ</v>
      </c>
    </row>
    <row r="26" spans="1:14" ht="21.75" customHeight="1">
      <c r="A26" s="186">
        <v>23</v>
      </c>
      <c r="B26" s="183" t="s">
        <v>182</v>
      </c>
      <c r="C26" s="184" t="e">
        <f>VLOOKUP("D",MARZEC!AA$2:$AJ$32,10,0)</f>
        <v>#REF!</v>
      </c>
      <c r="D26" s="188"/>
      <c r="E26" s="188"/>
      <c r="G26" s="317" t="str">
        <f>MARZEC!AA42</f>
        <v>MŁYŃSKI</v>
      </c>
      <c r="H26" s="319"/>
      <c r="I26" s="318" t="str">
        <f>MARZEC!AE42</f>
        <v>MŁYŃSKI</v>
      </c>
      <c r="J26" s="320"/>
      <c r="K26" s="321"/>
      <c r="L26" s="317" t="str">
        <f>MARZEC!AA47</f>
        <v>PAWŁOWSKA</v>
      </c>
      <c r="M26" s="319"/>
      <c r="N26" s="318" t="str">
        <f>MARZEC!AE47</f>
        <v>PAWŁOWSKA</v>
      </c>
    </row>
    <row r="27" spans="1:14" ht="21.75" customHeight="1">
      <c r="A27" s="186">
        <v>24</v>
      </c>
      <c r="B27" s="183" t="s">
        <v>183</v>
      </c>
      <c r="C27" s="184" t="e">
        <f>VLOOKUP("D",MARZEC!AB$2:$AJ$32,9,0)</f>
        <v>#REF!</v>
      </c>
      <c r="D27" s="188"/>
      <c r="E27" s="188"/>
      <c r="G27" s="322"/>
      <c r="H27" s="323"/>
      <c r="I27" s="323"/>
      <c r="J27" s="324"/>
      <c r="K27" s="322"/>
      <c r="L27" s="323"/>
      <c r="M27" s="323"/>
      <c r="N27" s="324"/>
    </row>
    <row r="28" spans="1:14" ht="21.75" customHeight="1">
      <c r="A28" s="189">
        <v>25</v>
      </c>
      <c r="B28" s="190" t="s">
        <v>184</v>
      </c>
      <c r="C28" s="191" t="e">
        <f>VLOOKUP("D",MARZEC!AC$2:$AJ$32,8,0)</f>
        <v>#REF!</v>
      </c>
      <c r="D28" s="192"/>
      <c r="E28" s="192"/>
      <c r="G28" s="249" t="s">
        <v>292</v>
      </c>
      <c r="I28" s="325"/>
      <c r="J28" s="29"/>
      <c r="K28" s="28"/>
      <c r="L28" s="249" t="s">
        <v>290</v>
      </c>
      <c r="N28" s="326"/>
    </row>
    <row r="29" spans="1:14" ht="21.75" customHeight="1">
      <c r="A29" s="189">
        <v>26</v>
      </c>
      <c r="B29" s="190" t="s">
        <v>185</v>
      </c>
      <c r="C29" s="191" t="e">
        <f>VLOOKUP("D",MARZEC!AD$2:$AJ$32,7,0)</f>
        <v>#REF!</v>
      </c>
      <c r="D29" s="192"/>
      <c r="E29" s="192"/>
      <c r="G29" s="309" t="str">
        <f>MARZEC!AH39</f>
        <v>ŚWIREPO</v>
      </c>
      <c r="I29" s="121"/>
      <c r="J29" s="29"/>
      <c r="K29" s="28"/>
      <c r="L29" s="309">
        <f>MARZEC!AH44</f>
        <v>0</v>
      </c>
      <c r="N29" s="327"/>
    </row>
    <row r="30" spans="1:14" ht="21.75" customHeight="1">
      <c r="A30" s="189">
        <v>27</v>
      </c>
      <c r="B30" s="190" t="s">
        <v>186</v>
      </c>
      <c r="C30" s="191" t="e">
        <f>VLOOKUP("D",MARZEC!AE$2:$AJ$32,6,0)</f>
        <v>#REF!</v>
      </c>
      <c r="D30" s="192"/>
      <c r="E30" s="192"/>
      <c r="G30" s="328" t="str">
        <f>MARZEC!AH40</f>
        <v>STRANC</v>
      </c>
      <c r="J30" s="29"/>
      <c r="K30" s="28"/>
      <c r="L30" s="328">
        <f>MARZEC!AH45</f>
        <v>0</v>
      </c>
      <c r="N30" s="29"/>
    </row>
    <row r="31" spans="1:14" ht="21.75" customHeight="1">
      <c r="A31" s="189">
        <v>28</v>
      </c>
      <c r="B31" s="190" t="s">
        <v>187</v>
      </c>
      <c r="C31" s="191" t="e">
        <f>VLOOKUP("D",MARZEC!AF$2:$AJ$32,5,0)</f>
        <v>#REF!</v>
      </c>
      <c r="D31" s="192"/>
      <c r="E31" s="192"/>
      <c r="G31" s="329" t="str">
        <f>MARZEC!AH41</f>
        <v>PAWŁOWSKI</v>
      </c>
      <c r="J31" s="29"/>
      <c r="K31" s="28"/>
      <c r="L31" s="329">
        <f>MARZEC!AH46</f>
        <v>0</v>
      </c>
      <c r="N31" s="29"/>
    </row>
    <row r="32" spans="1:14" ht="21.75" customHeight="1">
      <c r="A32" s="189">
        <v>29</v>
      </c>
      <c r="B32" s="190" t="s">
        <v>181</v>
      </c>
      <c r="C32" s="191" t="e">
        <f>VLOOKUP("D",MARZEC!AG$2:$AJ$32,4,0)</f>
        <v>#REF!</v>
      </c>
      <c r="D32" s="192"/>
      <c r="E32" s="192"/>
      <c r="G32" s="330" t="str">
        <f>MARZEC!AH42</f>
        <v>DRGAS</v>
      </c>
      <c r="H32" s="319"/>
      <c r="I32" s="319"/>
      <c r="J32" s="320"/>
      <c r="K32" s="321"/>
      <c r="L32" s="330">
        <f>MARZEC!AH47</f>
        <v>0</v>
      </c>
      <c r="M32" s="319"/>
      <c r="N32" s="320"/>
    </row>
    <row r="33" spans="1:5" ht="21.75" customHeight="1">
      <c r="A33" s="186">
        <v>30</v>
      </c>
      <c r="B33" s="183" t="s">
        <v>182</v>
      </c>
      <c r="C33" s="184" t="e">
        <f>VLOOKUP("D",MARZEC!AH$2:$AJ$32,3,0)</f>
        <v>#REF!</v>
      </c>
      <c r="D33" s="188"/>
      <c r="E33" s="188"/>
    </row>
    <row r="34" spans="1:5" ht="19.5" customHeight="1">
      <c r="A34" s="186">
        <v>31</v>
      </c>
      <c r="B34" s="183" t="s">
        <v>183</v>
      </c>
      <c r="C34" s="331" t="e">
        <f>VLOOKUP("D",MARZEC!AI$2:$AJ$32,2,0)</f>
        <v>#REF!</v>
      </c>
      <c r="D34" s="194"/>
      <c r="E34" s="194"/>
    </row>
  </sheetData>
  <mergeCells count="6">
    <mergeCell ref="A3:B3"/>
    <mergeCell ref="B1:E1"/>
    <mergeCell ref="G1:N1"/>
    <mergeCell ref="A2:E2"/>
    <mergeCell ref="G2:I2"/>
    <mergeCell ref="L2:N2"/>
  </mergeCells>
  <pageMargins left="0.23611111111111099" right="0.23611111111111099" top="0.15763888888888899" bottom="0.15763888888888899" header="0.51180555555555496" footer="0.51180555555555496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MJ117"/>
  <sheetViews>
    <sheetView topLeftCell="B1" zoomScaleNormal="100" workbookViewId="0">
      <pane ySplit="1" topLeftCell="A77" activePane="bottomLeft" state="frozen"/>
      <selection activeCell="B1" sqref="B1"/>
      <selection pane="bottomLeft" activeCell="AE73" sqref="AE73"/>
    </sheetView>
  </sheetViews>
  <sheetFormatPr defaultColWidth="8.84375" defaultRowHeight="14.6"/>
  <cols>
    <col min="1" max="1" width="6" style="1" customWidth="1"/>
    <col min="2" max="2" width="4.3046875" style="1" customWidth="1"/>
    <col min="3" max="3" width="17.15234375" style="7" customWidth="1"/>
    <col min="4" max="4" width="5.3046875" style="1" customWidth="1"/>
    <col min="5" max="34" width="3.53515625" style="1" customWidth="1"/>
    <col min="35" max="35" width="3.53515625" style="1" hidden="1" customWidth="1"/>
    <col min="36" max="36" width="41.4609375" style="1" hidden="1" customWidth="1"/>
    <col min="37" max="37" width="7.53515625" style="8" customWidth="1"/>
    <col min="38" max="38" width="4.69140625" style="1" customWidth="1"/>
    <col min="39" max="39" width="5.69140625" style="1" customWidth="1"/>
    <col min="40" max="40" width="4.53515625" style="1" customWidth="1"/>
    <col min="41" max="43" width="8.84375" style="1"/>
    <col min="44" max="44" width="20.3046875" style="1" customWidth="1"/>
    <col min="45" max="1024" width="8.84375" style="1"/>
  </cols>
  <sheetData>
    <row r="1" spans="1:45" ht="43.3">
      <c r="A1" s="1" t="s">
        <v>52</v>
      </c>
      <c r="D1" s="332">
        <v>44287</v>
      </c>
      <c r="E1" s="333">
        <v>44287</v>
      </c>
      <c r="F1" s="333">
        <v>44288</v>
      </c>
      <c r="G1" s="333">
        <v>44289</v>
      </c>
      <c r="H1" s="333">
        <v>44290</v>
      </c>
      <c r="I1" s="333">
        <v>44291</v>
      </c>
      <c r="J1" s="333">
        <v>44292</v>
      </c>
      <c r="K1" s="333">
        <v>44293</v>
      </c>
      <c r="L1" s="333">
        <v>44294</v>
      </c>
      <c r="M1" s="333">
        <v>44295</v>
      </c>
      <c r="N1" s="333">
        <v>44296</v>
      </c>
      <c r="O1" s="333">
        <v>44297</v>
      </c>
      <c r="P1" s="333">
        <v>44298</v>
      </c>
      <c r="Q1" s="333">
        <v>44299</v>
      </c>
      <c r="R1" s="333">
        <v>44300</v>
      </c>
      <c r="S1" s="333">
        <v>44301</v>
      </c>
      <c r="T1" s="333">
        <v>44302</v>
      </c>
      <c r="U1" s="333">
        <v>44303</v>
      </c>
      <c r="V1" s="333">
        <v>44304</v>
      </c>
      <c r="W1" s="333">
        <v>44305</v>
      </c>
      <c r="X1" s="333">
        <v>44306</v>
      </c>
      <c r="Y1" s="333">
        <v>44307</v>
      </c>
      <c r="Z1" s="333">
        <v>44308</v>
      </c>
      <c r="AA1" s="333">
        <v>44309</v>
      </c>
      <c r="AB1" s="333">
        <v>44310</v>
      </c>
      <c r="AC1" s="333">
        <v>44311</v>
      </c>
      <c r="AD1" s="333">
        <v>44312</v>
      </c>
      <c r="AE1" s="333">
        <v>44313</v>
      </c>
      <c r="AF1" s="333">
        <v>44314</v>
      </c>
      <c r="AG1" s="333">
        <v>44315</v>
      </c>
      <c r="AH1" s="333">
        <v>44316</v>
      </c>
      <c r="AI1" s="197"/>
      <c r="AJ1" s="128"/>
      <c r="AK1" s="15">
        <f>21*8</f>
        <v>168</v>
      </c>
      <c r="AL1" s="16" t="s">
        <v>53</v>
      </c>
      <c r="AM1" s="17" t="s">
        <v>54</v>
      </c>
      <c r="AN1" s="18" t="s">
        <v>55</v>
      </c>
      <c r="AO1" s="1" t="s">
        <v>293</v>
      </c>
      <c r="AP1" s="1" t="s">
        <v>57</v>
      </c>
    </row>
    <row r="2" spans="1:45" ht="15.9">
      <c r="A2" s="1" t="s">
        <v>58</v>
      </c>
      <c r="B2" s="1" t="s">
        <v>59</v>
      </c>
      <c r="C2" s="198" t="s">
        <v>60</v>
      </c>
      <c r="D2" s="266" t="e">
        <f>#REF!</f>
        <v>#REF!</v>
      </c>
      <c r="E2" s="334" t="s">
        <v>59</v>
      </c>
      <c r="F2" s="335"/>
      <c r="G2" s="201"/>
      <c r="H2" s="201"/>
      <c r="I2" s="201"/>
      <c r="J2" s="335"/>
      <c r="K2" s="335"/>
      <c r="L2" s="335"/>
      <c r="M2" s="335"/>
      <c r="N2" s="201"/>
      <c r="O2" s="201"/>
      <c r="P2" s="335">
        <v>17</v>
      </c>
      <c r="Q2" s="335" t="s">
        <v>62</v>
      </c>
      <c r="R2" s="335" t="s">
        <v>62</v>
      </c>
      <c r="S2" s="335" t="s">
        <v>62</v>
      </c>
      <c r="T2" s="335" t="s">
        <v>70</v>
      </c>
      <c r="U2" s="201" t="s">
        <v>70</v>
      </c>
      <c r="V2" s="201" t="s">
        <v>70</v>
      </c>
      <c r="W2" s="335" t="s">
        <v>69</v>
      </c>
      <c r="X2" s="335"/>
      <c r="Y2" s="335"/>
      <c r="Z2" s="335"/>
      <c r="AA2" s="335"/>
      <c r="AB2" s="201"/>
      <c r="AC2" s="201"/>
      <c r="AD2" s="335"/>
      <c r="AE2" s="335"/>
      <c r="AF2" s="335"/>
      <c r="AG2" s="335"/>
      <c r="AH2" s="335"/>
      <c r="AI2" s="202"/>
      <c r="AJ2" s="26" t="e">
        <f>_xlfn.CONCAT(#REF!,Tabela13[[#This Row],[FUNKCJONARIUSZ]])</f>
        <v>#REF!</v>
      </c>
      <c r="AK2" s="27" t="e">
        <f t="shared" ref="AK2:AK12" si="0">D2+AL2+AM2+AN2-$AK$1+AO2+AP2</f>
        <v>#REF!</v>
      </c>
      <c r="AL2" s="28">
        <f t="shared" ref="AL2:AL32" si="1">COUNTIF(E2:AI2,"D")*24+COUNTIF(E2:AI2,"12g")*12</f>
        <v>24</v>
      </c>
      <c r="AM2">
        <f t="shared" ref="AM2:AM32" si="2">SUM(COUNTIF(E2:AI2,"k")+COUNTIF(E2:AI2,"s")+COUNTIF(E2:AI2,"wse"))*24+SUM(COUNTIF(E2:AI2,"Pk")+COUNTIF(E2:AI2,"Ps"))*12</f>
        <v>156</v>
      </c>
      <c r="AN2" s="29">
        <f t="shared" ref="AN2:AN32" si="3">SUM(E2:AI2)+COUNTIF(E2:AI2,"uw")*8+COUNTIF(E2:AI2,"us")*8+COUNTIF(E2:AI2,"uz")*8</f>
        <v>17</v>
      </c>
      <c r="AO2" s="1">
        <f>COUNTIF(E2:AI2,"DT")*8</f>
        <v>0</v>
      </c>
      <c r="AP2" s="1">
        <v>0</v>
      </c>
    </row>
    <row r="3" spans="1:45" ht="15.9">
      <c r="A3" s="1" t="s">
        <v>63</v>
      </c>
      <c r="B3" s="1" t="s">
        <v>64</v>
      </c>
      <c r="C3" s="203" t="s">
        <v>65</v>
      </c>
      <c r="D3" s="266" t="e">
        <f>#REF!</f>
        <v>#REF!</v>
      </c>
      <c r="E3" s="336"/>
      <c r="F3" s="297"/>
      <c r="G3" s="36"/>
      <c r="H3" s="207"/>
      <c r="I3" s="36"/>
      <c r="J3" s="297"/>
      <c r="K3" s="297" t="s">
        <v>256</v>
      </c>
      <c r="L3" s="297" t="s">
        <v>256</v>
      </c>
      <c r="M3" s="297" t="s">
        <v>256</v>
      </c>
      <c r="N3" s="36"/>
      <c r="O3" s="36"/>
      <c r="P3" s="297"/>
      <c r="Q3" s="297"/>
      <c r="R3" s="297"/>
      <c r="S3" s="297"/>
      <c r="T3" s="297"/>
      <c r="U3" s="36"/>
      <c r="V3" s="36"/>
      <c r="W3" s="297" t="s">
        <v>69</v>
      </c>
      <c r="X3" s="297" t="s">
        <v>70</v>
      </c>
      <c r="Y3" s="297" t="s">
        <v>70</v>
      </c>
      <c r="Z3" s="297" t="s">
        <v>70</v>
      </c>
      <c r="AA3" s="297" t="s">
        <v>70</v>
      </c>
      <c r="AB3" s="36" t="s">
        <v>70</v>
      </c>
      <c r="AC3" s="36" t="s">
        <v>70</v>
      </c>
      <c r="AD3" s="297" t="s">
        <v>69</v>
      </c>
      <c r="AE3" s="297"/>
      <c r="AF3" s="297"/>
      <c r="AG3" s="297" t="s">
        <v>75</v>
      </c>
      <c r="AH3" s="297" t="s">
        <v>75</v>
      </c>
      <c r="AI3" s="205" t="s">
        <v>66</v>
      </c>
      <c r="AJ3" s="26" t="e">
        <f>_xlfn.CONCAT(#REF!,Tabela13[[#This Row],[FUNKCJONARIUSZ]])</f>
        <v>#REF!</v>
      </c>
      <c r="AK3" s="27" t="e">
        <f t="shared" si="0"/>
        <v>#REF!</v>
      </c>
      <c r="AL3" s="28">
        <f t="shared" si="1"/>
        <v>0</v>
      </c>
      <c r="AM3">
        <f t="shared" si="2"/>
        <v>168</v>
      </c>
      <c r="AN3" s="29">
        <f t="shared" si="3"/>
        <v>16</v>
      </c>
      <c r="AO3" s="1">
        <f>COUNTIF(E3:AI3,"DT")*8</f>
        <v>0</v>
      </c>
      <c r="AP3" s="1">
        <v>0</v>
      </c>
    </row>
    <row r="4" spans="1:45" ht="15.9">
      <c r="A4" s="1" t="s">
        <v>67</v>
      </c>
      <c r="B4" s="1" t="s">
        <v>64</v>
      </c>
      <c r="C4" s="203" t="s">
        <v>68</v>
      </c>
      <c r="D4" s="266" t="e">
        <f>#REF!</f>
        <v>#REF!</v>
      </c>
      <c r="E4" s="336"/>
      <c r="F4" s="297"/>
      <c r="G4" s="145"/>
      <c r="H4" s="209" t="s">
        <v>113</v>
      </c>
      <c r="I4" s="168"/>
      <c r="J4" s="297">
        <v>3</v>
      </c>
      <c r="K4" s="297">
        <v>8</v>
      </c>
      <c r="L4" s="297">
        <v>8</v>
      </c>
      <c r="M4" s="337">
        <v>8</v>
      </c>
      <c r="N4" s="207"/>
      <c r="O4" s="207"/>
      <c r="P4" s="337">
        <v>17</v>
      </c>
      <c r="Q4" s="337" t="s">
        <v>62</v>
      </c>
      <c r="R4" s="337" t="s">
        <v>62</v>
      </c>
      <c r="S4" s="337" t="s">
        <v>62</v>
      </c>
      <c r="T4" s="337" t="s">
        <v>62</v>
      </c>
      <c r="U4" s="207" t="s">
        <v>62</v>
      </c>
      <c r="V4" s="207" t="s">
        <v>62</v>
      </c>
      <c r="W4" s="337">
        <v>12</v>
      </c>
      <c r="X4" s="337"/>
      <c r="Y4" s="337"/>
      <c r="Z4" s="337"/>
      <c r="AA4" s="337"/>
      <c r="AB4" s="207"/>
      <c r="AC4" s="207"/>
      <c r="AD4" s="337"/>
      <c r="AE4" s="337"/>
      <c r="AF4" s="337"/>
      <c r="AG4" s="337"/>
      <c r="AH4" s="337"/>
      <c r="AI4" s="205"/>
      <c r="AJ4" s="26" t="e">
        <f>_xlfn.CONCAT(#REF!,Tabela13[[#This Row],[FUNKCJONARIUSZ]])</f>
        <v>#REF!</v>
      </c>
      <c r="AK4" s="27" t="e">
        <f t="shared" si="0"/>
        <v>#REF!</v>
      </c>
      <c r="AL4" s="28">
        <f t="shared" si="1"/>
        <v>24</v>
      </c>
      <c r="AM4">
        <f t="shared" si="2"/>
        <v>144</v>
      </c>
      <c r="AN4" s="29">
        <f t="shared" si="3"/>
        <v>56</v>
      </c>
      <c r="AO4" s="1">
        <f>COUNTIF(E4:AI4,"DT")*8</f>
        <v>0</v>
      </c>
      <c r="AP4" s="1">
        <v>0</v>
      </c>
    </row>
    <row r="5" spans="1:45" ht="15.9">
      <c r="A5" s="1" t="s">
        <v>63</v>
      </c>
      <c r="B5" s="1" t="s">
        <v>64</v>
      </c>
      <c r="C5" s="206" t="s">
        <v>71</v>
      </c>
      <c r="D5" s="266" t="e">
        <f>#REF!</f>
        <v>#REF!</v>
      </c>
      <c r="E5" s="336" t="s">
        <v>62</v>
      </c>
      <c r="F5" s="297" t="s">
        <v>62</v>
      </c>
      <c r="G5" s="36" t="s">
        <v>62</v>
      </c>
      <c r="H5" s="208" t="s">
        <v>62</v>
      </c>
      <c r="I5" s="36" t="s">
        <v>70</v>
      </c>
      <c r="J5" s="297">
        <v>11</v>
      </c>
      <c r="K5" s="297"/>
      <c r="L5" s="338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  <c r="Y5" s="704"/>
      <c r="Z5" s="704"/>
      <c r="AA5" s="704"/>
      <c r="AB5" s="704"/>
      <c r="AC5" s="704"/>
      <c r="AD5" s="704"/>
      <c r="AE5" s="704"/>
      <c r="AF5" s="704"/>
      <c r="AG5" s="704"/>
      <c r="AH5" s="704"/>
      <c r="AI5" s="211"/>
      <c r="AJ5" s="26" t="e">
        <f>_xlfn.CONCAT(#REF!,Tabela13[[#This Row],[FUNKCJONARIUSZ]])</f>
        <v>#REF!</v>
      </c>
      <c r="AK5" s="27" t="e">
        <f t="shared" si="0"/>
        <v>#REF!</v>
      </c>
      <c r="AL5" s="28">
        <f t="shared" si="1"/>
        <v>0</v>
      </c>
      <c r="AM5">
        <f t="shared" si="2"/>
        <v>120</v>
      </c>
      <c r="AN5" s="29">
        <f t="shared" si="3"/>
        <v>11</v>
      </c>
      <c r="AO5" s="1">
        <v>130</v>
      </c>
      <c r="AP5" s="1">
        <v>0</v>
      </c>
      <c r="AQ5" s="36" t="s">
        <v>59</v>
      </c>
      <c r="AR5" s="1" t="s">
        <v>72</v>
      </c>
      <c r="AS5" s="1">
        <v>24</v>
      </c>
    </row>
    <row r="6" spans="1:45" ht="15.9">
      <c r="A6" s="1" t="s">
        <v>67</v>
      </c>
      <c r="B6" s="1" t="s">
        <v>73</v>
      </c>
      <c r="C6" s="203" t="s">
        <v>74</v>
      </c>
      <c r="D6" s="266" t="e">
        <f>#REF!</f>
        <v>#REF!</v>
      </c>
      <c r="E6" s="336">
        <v>1</v>
      </c>
      <c r="F6" s="297" t="s">
        <v>75</v>
      </c>
      <c r="G6" s="36"/>
      <c r="H6" s="36"/>
      <c r="I6" s="36"/>
      <c r="J6" s="297" t="s">
        <v>75</v>
      </c>
      <c r="K6" s="297" t="s">
        <v>75</v>
      </c>
      <c r="L6" s="297" t="s">
        <v>75</v>
      </c>
      <c r="M6" s="339" t="s">
        <v>75</v>
      </c>
      <c r="N6" s="208"/>
      <c r="O6" s="208"/>
      <c r="P6" s="339" t="s">
        <v>75</v>
      </c>
      <c r="Q6" s="339" t="s">
        <v>75</v>
      </c>
      <c r="R6" s="339" t="s">
        <v>75</v>
      </c>
      <c r="S6" s="339" t="s">
        <v>75</v>
      </c>
      <c r="T6" s="339" t="s">
        <v>75</v>
      </c>
      <c r="U6" s="208"/>
      <c r="V6" s="208"/>
      <c r="W6" s="339"/>
      <c r="X6" s="297">
        <v>2</v>
      </c>
      <c r="Y6" s="297">
        <v>6</v>
      </c>
      <c r="Z6" s="297">
        <v>12</v>
      </c>
      <c r="AA6" s="339"/>
      <c r="AB6" s="208"/>
      <c r="AC6" s="208"/>
      <c r="AD6" s="339"/>
      <c r="AE6" s="339"/>
      <c r="AF6" s="339"/>
      <c r="AG6" s="339"/>
      <c r="AH6" s="339"/>
      <c r="AI6" s="205" t="s">
        <v>70</v>
      </c>
      <c r="AJ6" s="26" t="e">
        <f>_xlfn.CONCAT(#REF!,Tabela13[[#This Row],[FUNKCJONARIUSZ]])</f>
        <v>#REF!</v>
      </c>
      <c r="AK6" s="27" t="e">
        <f t="shared" si="0"/>
        <v>#REF!</v>
      </c>
      <c r="AL6" s="28">
        <f t="shared" si="1"/>
        <v>0</v>
      </c>
      <c r="AM6">
        <f t="shared" si="2"/>
        <v>24</v>
      </c>
      <c r="AN6" s="29">
        <f t="shared" si="3"/>
        <v>101</v>
      </c>
      <c r="AO6" s="1">
        <f t="shared" ref="AO6:AO17" si="4">COUNTIF(E6:AI6,"DT")*8</f>
        <v>0</v>
      </c>
      <c r="AP6" s="1">
        <v>0</v>
      </c>
      <c r="AQ6" s="36" t="s">
        <v>76</v>
      </c>
      <c r="AR6" s="1" t="s">
        <v>77</v>
      </c>
      <c r="AS6" s="1">
        <v>12</v>
      </c>
    </row>
    <row r="7" spans="1:45" ht="15.9">
      <c r="A7" s="1" t="s">
        <v>67</v>
      </c>
      <c r="B7" s="1" t="s">
        <v>59</v>
      </c>
      <c r="C7" s="30" t="s">
        <v>78</v>
      </c>
      <c r="D7" s="266" t="e">
        <f>#REF!</f>
        <v>#REF!</v>
      </c>
      <c r="E7" s="336" t="s">
        <v>83</v>
      </c>
      <c r="F7" s="297" t="s">
        <v>83</v>
      </c>
      <c r="G7" s="36" t="s">
        <v>66</v>
      </c>
      <c r="H7" s="36" t="s">
        <v>66</v>
      </c>
      <c r="I7" s="36" t="s">
        <v>66</v>
      </c>
      <c r="J7" s="297" t="s">
        <v>83</v>
      </c>
      <c r="K7" s="297" t="s">
        <v>83</v>
      </c>
      <c r="L7" s="297" t="s">
        <v>83</v>
      </c>
      <c r="M7" s="297" t="s">
        <v>294</v>
      </c>
      <c r="N7" s="36" t="s">
        <v>66</v>
      </c>
      <c r="O7" s="36" t="s">
        <v>66</v>
      </c>
      <c r="P7" s="297" t="s">
        <v>294</v>
      </c>
      <c r="Q7" s="297" t="s">
        <v>294</v>
      </c>
      <c r="R7" s="297" t="s">
        <v>294</v>
      </c>
      <c r="S7" s="297" t="s">
        <v>294</v>
      </c>
      <c r="T7" s="297" t="s">
        <v>294</v>
      </c>
      <c r="U7" s="36" t="s">
        <v>66</v>
      </c>
      <c r="V7" s="36" t="s">
        <v>66</v>
      </c>
      <c r="W7" s="297" t="s">
        <v>294</v>
      </c>
      <c r="X7" s="297" t="s">
        <v>294</v>
      </c>
      <c r="Y7" s="297"/>
      <c r="Z7" s="297">
        <v>9</v>
      </c>
      <c r="AA7" s="297">
        <v>12</v>
      </c>
      <c r="AB7" s="36" t="s">
        <v>66</v>
      </c>
      <c r="AC7" s="36" t="s">
        <v>66</v>
      </c>
      <c r="AD7" s="297" t="s">
        <v>66</v>
      </c>
      <c r="AE7" s="297" t="s">
        <v>66</v>
      </c>
      <c r="AF7" s="297" t="s">
        <v>66</v>
      </c>
      <c r="AG7" s="297" t="s">
        <v>66</v>
      </c>
      <c r="AH7" s="297" t="s">
        <v>61</v>
      </c>
      <c r="AI7" s="205" t="s">
        <v>66</v>
      </c>
      <c r="AJ7" s="26" t="e">
        <f>_xlfn.CONCAT(#REF!,Tabela13[[#This Row],[FUNKCJONARIUSZ]])</f>
        <v>#REF!</v>
      </c>
      <c r="AK7" s="27" t="e">
        <f t="shared" si="0"/>
        <v>#REF!</v>
      </c>
      <c r="AL7" s="28">
        <f t="shared" si="1"/>
        <v>0</v>
      </c>
      <c r="AM7">
        <f t="shared" si="2"/>
        <v>12</v>
      </c>
      <c r="AN7" s="29">
        <f t="shared" si="3"/>
        <v>125</v>
      </c>
      <c r="AO7" s="1">
        <f t="shared" si="4"/>
        <v>0</v>
      </c>
      <c r="AP7" s="1">
        <v>0</v>
      </c>
      <c r="AQ7" s="36" t="s">
        <v>69</v>
      </c>
      <c r="AR7" s="1" t="s">
        <v>79</v>
      </c>
      <c r="AS7" s="1">
        <v>12</v>
      </c>
    </row>
    <row r="8" spans="1:45" ht="15.9">
      <c r="A8" s="1" t="s">
        <v>67</v>
      </c>
      <c r="B8" s="1" t="s">
        <v>59</v>
      </c>
      <c r="C8" s="203" t="s">
        <v>80</v>
      </c>
      <c r="D8" s="266" t="e">
        <f>#REF!</f>
        <v>#REF!</v>
      </c>
      <c r="E8" s="336"/>
      <c r="F8" s="297"/>
      <c r="G8" s="36"/>
      <c r="H8" s="36"/>
      <c r="I8" s="36"/>
      <c r="J8" s="297">
        <v>16</v>
      </c>
      <c r="K8" s="297" t="s">
        <v>62</v>
      </c>
      <c r="L8" s="297" t="s">
        <v>62</v>
      </c>
      <c r="M8" s="297" t="s">
        <v>62</v>
      </c>
      <c r="N8" s="36" t="s">
        <v>62</v>
      </c>
      <c r="O8" s="207" t="s">
        <v>62</v>
      </c>
      <c r="P8" s="337">
        <v>13</v>
      </c>
      <c r="Q8" s="297"/>
      <c r="R8" s="297"/>
      <c r="S8" s="297"/>
      <c r="T8" s="297"/>
      <c r="U8" s="36"/>
      <c r="V8" s="36"/>
      <c r="W8" s="297"/>
      <c r="X8" s="297"/>
      <c r="Y8" s="297"/>
      <c r="Z8" s="297"/>
      <c r="AA8" s="297"/>
      <c r="AB8" s="36"/>
      <c r="AC8" s="36"/>
      <c r="AD8" s="297"/>
      <c r="AE8" s="297"/>
      <c r="AF8" s="297"/>
      <c r="AG8" s="297"/>
      <c r="AH8" s="297"/>
      <c r="AI8" s="205"/>
      <c r="AJ8" s="26" t="e">
        <f>_xlfn.CONCAT(#REF!,Tabela13[[#This Row],[FUNKCJONARIUSZ]])</f>
        <v>#REF!</v>
      </c>
      <c r="AK8" s="27" t="e">
        <f t="shared" si="0"/>
        <v>#REF!</v>
      </c>
      <c r="AL8" s="28">
        <f t="shared" si="1"/>
        <v>0</v>
      </c>
      <c r="AM8">
        <f t="shared" si="2"/>
        <v>120</v>
      </c>
      <c r="AN8" s="29">
        <f t="shared" si="3"/>
        <v>29</v>
      </c>
      <c r="AO8" s="1">
        <f t="shared" si="4"/>
        <v>0</v>
      </c>
      <c r="AP8" s="1">
        <v>0</v>
      </c>
      <c r="AQ8" s="36" t="s">
        <v>70</v>
      </c>
      <c r="AR8" s="1" t="s">
        <v>81</v>
      </c>
      <c r="AS8" s="1">
        <v>24</v>
      </c>
    </row>
    <row r="9" spans="1:45" ht="15.9">
      <c r="A9" s="1" t="s">
        <v>67</v>
      </c>
      <c r="B9" s="1" t="s">
        <v>59</v>
      </c>
      <c r="C9" s="203" t="s">
        <v>82</v>
      </c>
      <c r="D9" s="266" t="e">
        <f>#REF!</f>
        <v>#REF!</v>
      </c>
      <c r="E9" s="336" t="s">
        <v>83</v>
      </c>
      <c r="F9" s="297" t="s">
        <v>83</v>
      </c>
      <c r="G9" s="36" t="s">
        <v>66</v>
      </c>
      <c r="H9" s="36" t="s">
        <v>66</v>
      </c>
      <c r="I9" s="36" t="s">
        <v>66</v>
      </c>
      <c r="J9" s="297" t="s">
        <v>83</v>
      </c>
      <c r="K9" s="297" t="s">
        <v>83</v>
      </c>
      <c r="L9" s="297"/>
      <c r="M9" s="297"/>
      <c r="N9" s="145"/>
      <c r="O9" s="36"/>
      <c r="P9" s="297"/>
      <c r="Q9" s="340" t="s">
        <v>75</v>
      </c>
      <c r="R9" s="297" t="s">
        <v>75</v>
      </c>
      <c r="S9" s="297" t="s">
        <v>75</v>
      </c>
      <c r="T9" s="297"/>
      <c r="U9" s="36"/>
      <c r="V9" s="36"/>
      <c r="W9" s="297"/>
      <c r="X9" s="297"/>
      <c r="Y9" s="297"/>
      <c r="Z9" s="297">
        <v>8</v>
      </c>
      <c r="AA9" s="297"/>
      <c r="AB9" s="36"/>
      <c r="AC9" s="36"/>
      <c r="AD9" s="297"/>
      <c r="AE9" s="297"/>
      <c r="AF9" s="297"/>
      <c r="AG9" s="297"/>
      <c r="AH9" s="297"/>
      <c r="AI9" s="205" t="s">
        <v>70</v>
      </c>
      <c r="AJ9" s="26" t="e">
        <f>_xlfn.CONCAT(#REF!,Tabela13[[#This Row],[FUNKCJONARIUSZ]])</f>
        <v>#REF!</v>
      </c>
      <c r="AK9" s="27" t="e">
        <f t="shared" si="0"/>
        <v>#REF!</v>
      </c>
      <c r="AL9" s="28">
        <f t="shared" si="1"/>
        <v>0</v>
      </c>
      <c r="AM9">
        <f t="shared" si="2"/>
        <v>24</v>
      </c>
      <c r="AN9" s="29">
        <f t="shared" si="3"/>
        <v>64</v>
      </c>
      <c r="AO9" s="1">
        <f t="shared" si="4"/>
        <v>0</v>
      </c>
      <c r="AP9" s="1">
        <v>0</v>
      </c>
      <c r="AQ9" s="36" t="s">
        <v>83</v>
      </c>
      <c r="AR9" s="1" t="s">
        <v>84</v>
      </c>
      <c r="AS9" s="1">
        <v>8</v>
      </c>
    </row>
    <row r="10" spans="1:45" ht="15.9">
      <c r="A10" s="1" t="s">
        <v>58</v>
      </c>
      <c r="B10" s="1" t="s">
        <v>73</v>
      </c>
      <c r="C10" s="203" t="s">
        <v>85</v>
      </c>
      <c r="D10" s="266" t="e">
        <f>#REF!</f>
        <v>#REF!</v>
      </c>
      <c r="E10" s="336"/>
      <c r="F10" s="297"/>
      <c r="G10" s="36"/>
      <c r="H10" s="36"/>
      <c r="I10" s="36"/>
      <c r="J10" s="297">
        <v>7</v>
      </c>
      <c r="K10" s="297">
        <v>8</v>
      </c>
      <c r="L10" s="297">
        <v>8</v>
      </c>
      <c r="M10" s="297"/>
      <c r="N10" s="36"/>
      <c r="O10" s="208"/>
      <c r="P10" s="339"/>
      <c r="Q10" s="297"/>
      <c r="R10" s="297"/>
      <c r="S10" s="297"/>
      <c r="T10" s="297"/>
      <c r="U10" s="36"/>
      <c r="V10" s="36"/>
      <c r="W10" s="297">
        <v>17</v>
      </c>
      <c r="X10" s="297" t="s">
        <v>70</v>
      </c>
      <c r="Y10" s="297" t="s">
        <v>70</v>
      </c>
      <c r="Z10" s="297" t="s">
        <v>70</v>
      </c>
      <c r="AA10" s="297">
        <v>10</v>
      </c>
      <c r="AB10" s="36"/>
      <c r="AC10" s="36"/>
      <c r="AD10" s="297"/>
      <c r="AE10" s="297"/>
      <c r="AF10" s="297"/>
      <c r="AG10" s="297"/>
      <c r="AH10" s="297"/>
      <c r="AI10" s="205"/>
      <c r="AJ10" s="26" t="e">
        <f>_xlfn.CONCAT(#REF!,Tabela13[[#This Row],[FUNKCJONARIUSZ]])</f>
        <v>#REF!</v>
      </c>
      <c r="AK10" s="27" t="e">
        <f t="shared" si="0"/>
        <v>#REF!</v>
      </c>
      <c r="AL10" s="28">
        <f t="shared" si="1"/>
        <v>0</v>
      </c>
      <c r="AM10">
        <f t="shared" si="2"/>
        <v>72</v>
      </c>
      <c r="AN10" s="29">
        <f t="shared" si="3"/>
        <v>50</v>
      </c>
      <c r="AO10" s="1">
        <f t="shared" si="4"/>
        <v>0</v>
      </c>
      <c r="AP10" s="1">
        <v>0</v>
      </c>
      <c r="AQ10" s="36" t="s">
        <v>75</v>
      </c>
      <c r="AR10" s="1" t="s">
        <v>86</v>
      </c>
      <c r="AS10" s="1">
        <v>8</v>
      </c>
    </row>
    <row r="11" spans="1:45" ht="15.9">
      <c r="A11" s="1" t="s">
        <v>58</v>
      </c>
      <c r="B11" s="1" t="s">
        <v>73</v>
      </c>
      <c r="C11" s="203" t="s">
        <v>87</v>
      </c>
      <c r="D11" s="266" t="e">
        <f>#REF!</f>
        <v>#REF!</v>
      </c>
      <c r="E11" s="336"/>
      <c r="F11" s="297" t="s">
        <v>66</v>
      </c>
      <c r="G11" s="36" t="s">
        <v>66</v>
      </c>
      <c r="H11" s="36" t="s">
        <v>66</v>
      </c>
      <c r="I11" s="207" t="s">
        <v>66</v>
      </c>
      <c r="J11" s="297" t="s">
        <v>66</v>
      </c>
      <c r="K11" s="297"/>
      <c r="L11" s="297"/>
      <c r="M11" s="297"/>
      <c r="N11" s="36"/>
      <c r="O11" s="36"/>
      <c r="P11" s="297">
        <v>4</v>
      </c>
      <c r="Q11" s="297"/>
      <c r="R11" s="297"/>
      <c r="S11" s="297"/>
      <c r="T11" s="297">
        <v>16</v>
      </c>
      <c r="U11" s="36" t="s">
        <v>70</v>
      </c>
      <c r="V11" s="36" t="s">
        <v>70</v>
      </c>
      <c r="W11" s="297">
        <v>11</v>
      </c>
      <c r="X11" s="297"/>
      <c r="Y11" s="297"/>
      <c r="Z11" s="297">
        <v>8</v>
      </c>
      <c r="AA11" s="297">
        <v>8</v>
      </c>
      <c r="AB11" s="36"/>
      <c r="AC11" s="36"/>
      <c r="AD11" s="297"/>
      <c r="AE11" s="297"/>
      <c r="AF11" s="297"/>
      <c r="AG11" s="297"/>
      <c r="AH11" s="297"/>
      <c r="AI11" s="205"/>
      <c r="AJ11" s="26" t="e">
        <f>_xlfn.CONCAT(#REF!,Tabela13[[#This Row],[FUNKCJONARIUSZ]])</f>
        <v>#REF!</v>
      </c>
      <c r="AK11" s="27" t="e">
        <f t="shared" si="0"/>
        <v>#REF!</v>
      </c>
      <c r="AL11" s="28">
        <f t="shared" si="1"/>
        <v>0</v>
      </c>
      <c r="AM11">
        <f t="shared" si="2"/>
        <v>48</v>
      </c>
      <c r="AN11" s="29">
        <f t="shared" si="3"/>
        <v>47</v>
      </c>
      <c r="AO11" s="1">
        <f t="shared" si="4"/>
        <v>0</v>
      </c>
      <c r="AP11" s="1">
        <v>0</v>
      </c>
      <c r="AQ11" s="36" t="s">
        <v>88</v>
      </c>
      <c r="AR11" s="1" t="s">
        <v>89</v>
      </c>
      <c r="AS11" s="1">
        <v>8</v>
      </c>
    </row>
    <row r="12" spans="1:45" ht="15.9">
      <c r="A12" s="1" t="s">
        <v>90</v>
      </c>
      <c r="B12" s="1" t="s">
        <v>64</v>
      </c>
      <c r="C12" s="203" t="s">
        <v>91</v>
      </c>
      <c r="D12" s="266" t="e">
        <f>#REF!</f>
        <v>#REF!</v>
      </c>
      <c r="E12" s="336"/>
      <c r="F12" s="297"/>
      <c r="G12" s="36"/>
      <c r="H12" s="145"/>
      <c r="I12" s="209"/>
      <c r="J12" s="340"/>
      <c r="K12" s="297">
        <v>8</v>
      </c>
      <c r="L12" s="297">
        <v>8</v>
      </c>
      <c r="M12" s="297">
        <v>9</v>
      </c>
      <c r="N12" s="36" t="s">
        <v>62</v>
      </c>
      <c r="O12" s="36" t="s">
        <v>62</v>
      </c>
      <c r="P12" s="297">
        <v>15</v>
      </c>
      <c r="Q12" s="297"/>
      <c r="R12" s="297"/>
      <c r="S12" s="297"/>
      <c r="T12" s="297" t="s">
        <v>59</v>
      </c>
      <c r="U12" s="36"/>
      <c r="V12" s="36"/>
      <c r="W12" s="297"/>
      <c r="X12" s="297"/>
      <c r="Y12" s="297"/>
      <c r="Z12" s="297" t="s">
        <v>113</v>
      </c>
      <c r="AA12" s="297"/>
      <c r="AB12" s="36"/>
      <c r="AC12" s="36"/>
      <c r="AD12" s="297"/>
      <c r="AE12" s="297"/>
      <c r="AF12" s="297"/>
      <c r="AG12" s="297" t="s">
        <v>69</v>
      </c>
      <c r="AH12" s="297" t="s">
        <v>69</v>
      </c>
      <c r="AI12" s="205"/>
      <c r="AJ12" s="26" t="e">
        <f>_xlfn.CONCAT(#REF!,Tabela13[[#This Row],[FUNKCJONARIUSZ]])</f>
        <v>#REF!</v>
      </c>
      <c r="AK12" s="27" t="e">
        <f t="shared" si="0"/>
        <v>#REF!</v>
      </c>
      <c r="AL12" s="28">
        <f t="shared" si="1"/>
        <v>48</v>
      </c>
      <c r="AM12">
        <f t="shared" si="2"/>
        <v>72</v>
      </c>
      <c r="AN12" s="29">
        <f t="shared" si="3"/>
        <v>40</v>
      </c>
      <c r="AO12" s="1">
        <f t="shared" si="4"/>
        <v>0</v>
      </c>
      <c r="AP12" s="1">
        <v>0</v>
      </c>
      <c r="AQ12" s="36" t="s">
        <v>92</v>
      </c>
      <c r="AR12" s="1" t="s">
        <v>79</v>
      </c>
      <c r="AS12" s="1">
        <v>12</v>
      </c>
    </row>
    <row r="13" spans="1:45" ht="15.9">
      <c r="A13" s="1" t="s">
        <v>58</v>
      </c>
      <c r="B13" s="1" t="s">
        <v>93</v>
      </c>
      <c r="C13" s="203" t="s">
        <v>94</v>
      </c>
      <c r="D13" s="266" t="e">
        <f>#REF!</f>
        <v>#REF!</v>
      </c>
      <c r="E13" s="336"/>
      <c r="F13" s="297"/>
      <c r="G13" s="36"/>
      <c r="H13" s="36"/>
      <c r="I13" s="208"/>
      <c r="J13" s="297"/>
      <c r="K13" s="297"/>
      <c r="L13" s="297"/>
      <c r="M13" s="297"/>
      <c r="N13" s="36"/>
      <c r="O13" s="36"/>
      <c r="P13" s="297" t="s">
        <v>101</v>
      </c>
      <c r="Q13" s="297" t="s">
        <v>101</v>
      </c>
      <c r="R13" s="297" t="s">
        <v>101</v>
      </c>
      <c r="S13" s="297" t="s">
        <v>101</v>
      </c>
      <c r="T13" s="297" t="s">
        <v>101</v>
      </c>
      <c r="U13" s="36" t="s">
        <v>101</v>
      </c>
      <c r="V13" s="36" t="s">
        <v>101</v>
      </c>
      <c r="W13" s="297" t="s">
        <v>101</v>
      </c>
      <c r="X13" s="297" t="s">
        <v>101</v>
      </c>
      <c r="Y13" s="297" t="s">
        <v>101</v>
      </c>
      <c r="Z13" s="297"/>
      <c r="AA13" s="297" t="s">
        <v>101</v>
      </c>
      <c r="AB13" s="36" t="s">
        <v>101</v>
      </c>
      <c r="AC13" s="36" t="s">
        <v>101</v>
      </c>
      <c r="AD13" s="297" t="s">
        <v>101</v>
      </c>
      <c r="AE13" s="297" t="s">
        <v>101</v>
      </c>
      <c r="AF13" s="297" t="s">
        <v>101</v>
      </c>
      <c r="AG13" s="297" t="s">
        <v>101</v>
      </c>
      <c r="AH13" s="297" t="s">
        <v>169</v>
      </c>
      <c r="AI13" s="205"/>
      <c r="AJ13" s="26" t="e">
        <f>_xlfn.CONCAT(#REF!,Tabela13[[#This Row],[FUNKCJONARIUSZ]])</f>
        <v>#REF!</v>
      </c>
      <c r="AK13" s="27">
        <v>-50</v>
      </c>
      <c r="AL13" s="28">
        <f t="shared" si="1"/>
        <v>0</v>
      </c>
      <c r="AM13">
        <f t="shared" si="2"/>
        <v>0</v>
      </c>
      <c r="AN13" s="29">
        <f t="shared" si="3"/>
        <v>0</v>
      </c>
      <c r="AO13" s="1">
        <f t="shared" si="4"/>
        <v>0</v>
      </c>
      <c r="AP13" s="1">
        <v>192</v>
      </c>
      <c r="AQ13" s="36" t="s">
        <v>95</v>
      </c>
      <c r="AR13" s="1" t="s">
        <v>96</v>
      </c>
      <c r="AS13" s="1">
        <v>24</v>
      </c>
    </row>
    <row r="14" spans="1:45" ht="15.9">
      <c r="A14" s="1" t="s">
        <v>90</v>
      </c>
      <c r="B14" s="1" t="s">
        <v>59</v>
      </c>
      <c r="C14" s="203" t="s">
        <v>97</v>
      </c>
      <c r="D14" s="266" t="e">
        <f>#REF!</f>
        <v>#REF!</v>
      </c>
      <c r="E14" s="336">
        <v>8</v>
      </c>
      <c r="F14" s="297"/>
      <c r="G14" s="36"/>
      <c r="H14" s="36"/>
      <c r="I14" s="36"/>
      <c r="J14" s="297" t="s">
        <v>113</v>
      </c>
      <c r="K14" s="297"/>
      <c r="L14" s="297"/>
      <c r="M14" s="297">
        <v>17</v>
      </c>
      <c r="N14" s="36" t="s">
        <v>70</v>
      </c>
      <c r="O14" s="36" t="s">
        <v>70</v>
      </c>
      <c r="P14" s="297">
        <v>13</v>
      </c>
      <c r="Q14" s="297"/>
      <c r="R14" s="297"/>
      <c r="S14" s="297">
        <v>6</v>
      </c>
      <c r="T14" s="297">
        <v>6</v>
      </c>
      <c r="U14" s="36"/>
      <c r="V14" s="36"/>
      <c r="W14" s="297"/>
      <c r="X14" s="297"/>
      <c r="Y14" s="297"/>
      <c r="Z14" s="297"/>
      <c r="AA14" s="297" t="s">
        <v>66</v>
      </c>
      <c r="AB14" s="36" t="s">
        <v>66</v>
      </c>
      <c r="AC14" s="36" t="s">
        <v>66</v>
      </c>
      <c r="AD14" s="297"/>
      <c r="AE14" s="297">
        <v>7</v>
      </c>
      <c r="AF14" s="297" t="s">
        <v>113</v>
      </c>
      <c r="AG14" s="297"/>
      <c r="AH14" s="297"/>
      <c r="AI14" s="205"/>
      <c r="AJ14" s="26" t="e">
        <f>_xlfn.CONCAT(#REF!,Tabela13[[#This Row],[FUNKCJONARIUSZ]])</f>
        <v>#REF!</v>
      </c>
      <c r="AK14" s="27" t="e">
        <f>D14+AL14+AM14+AN14-$AK$1+AO14+AP14</f>
        <v>#REF!</v>
      </c>
      <c r="AL14" s="28">
        <f t="shared" si="1"/>
        <v>48</v>
      </c>
      <c r="AM14">
        <f t="shared" si="2"/>
        <v>48</v>
      </c>
      <c r="AN14" s="29">
        <f t="shared" si="3"/>
        <v>57</v>
      </c>
      <c r="AO14" s="1">
        <f t="shared" si="4"/>
        <v>0</v>
      </c>
      <c r="AP14" s="1">
        <v>0</v>
      </c>
      <c r="AQ14" s="36" t="s">
        <v>98</v>
      </c>
      <c r="AR14" s="1" t="s">
        <v>99</v>
      </c>
      <c r="AS14" s="1">
        <v>24</v>
      </c>
    </row>
    <row r="15" spans="1:45" ht="15.9">
      <c r="A15" s="1" t="s">
        <v>58</v>
      </c>
      <c r="B15" s="1" t="s">
        <v>93</v>
      </c>
      <c r="C15" s="203" t="s">
        <v>100</v>
      </c>
      <c r="D15" s="266" t="e">
        <f>#REF!</f>
        <v>#REF!</v>
      </c>
      <c r="E15" s="336" t="s">
        <v>83</v>
      </c>
      <c r="F15" s="297" t="s">
        <v>75</v>
      </c>
      <c r="G15" s="36" t="s">
        <v>66</v>
      </c>
      <c r="H15" s="36" t="s">
        <v>66</v>
      </c>
      <c r="I15" s="36" t="s">
        <v>66</v>
      </c>
      <c r="J15" s="297" t="s">
        <v>75</v>
      </c>
      <c r="K15" s="297" t="s">
        <v>75</v>
      </c>
      <c r="L15" s="297" t="s">
        <v>75</v>
      </c>
      <c r="M15" s="297" t="s">
        <v>75</v>
      </c>
      <c r="N15" s="36" t="s">
        <v>66</v>
      </c>
      <c r="O15" s="36" t="s">
        <v>66</v>
      </c>
      <c r="P15" s="297" t="s">
        <v>75</v>
      </c>
      <c r="Q15" s="297" t="s">
        <v>75</v>
      </c>
      <c r="R15" s="297" t="s">
        <v>75</v>
      </c>
      <c r="S15" s="297" t="s">
        <v>75</v>
      </c>
      <c r="T15" s="297" t="s">
        <v>75</v>
      </c>
      <c r="U15" s="36" t="s">
        <v>66</v>
      </c>
      <c r="V15" s="36" t="s">
        <v>66</v>
      </c>
      <c r="W15" s="297" t="s">
        <v>75</v>
      </c>
      <c r="X15" s="297"/>
      <c r="Y15" s="297"/>
      <c r="Z15" s="297"/>
      <c r="AA15" s="297"/>
      <c r="AB15" s="36"/>
      <c r="AC15" s="36"/>
      <c r="AD15" s="297">
        <v>17</v>
      </c>
      <c r="AE15" s="297" t="s">
        <v>70</v>
      </c>
      <c r="AF15" s="297" t="s">
        <v>70</v>
      </c>
      <c r="AG15" s="297" t="s">
        <v>70</v>
      </c>
      <c r="AH15" s="297" t="s">
        <v>61</v>
      </c>
      <c r="AI15" s="205"/>
      <c r="AJ15" s="26" t="e">
        <f>_xlfn.CONCAT(#REF!,Tabela13[[#This Row],[FUNKCJONARIUSZ]])</f>
        <v>#REF!</v>
      </c>
      <c r="AK15" s="27" t="e">
        <f>D15+AL15+AM15+AN15-$AK$1+AO15+AP15</f>
        <v>#REF!</v>
      </c>
      <c r="AL15" s="28">
        <f t="shared" si="1"/>
        <v>0</v>
      </c>
      <c r="AM15">
        <f t="shared" si="2"/>
        <v>84</v>
      </c>
      <c r="AN15" s="29">
        <f t="shared" si="3"/>
        <v>113</v>
      </c>
      <c r="AO15" s="1">
        <f t="shared" si="4"/>
        <v>0</v>
      </c>
      <c r="AP15" s="1">
        <f>2*24</f>
        <v>48</v>
      </c>
      <c r="AQ15" s="32" t="s">
        <v>101</v>
      </c>
      <c r="AR15" s="1" t="s">
        <v>102</v>
      </c>
      <c r="AS15" s="1" t="s">
        <v>103</v>
      </c>
    </row>
    <row r="16" spans="1:45" ht="17.25" customHeight="1">
      <c r="A16" s="1" t="s">
        <v>90</v>
      </c>
      <c r="B16" s="1" t="s">
        <v>64</v>
      </c>
      <c r="C16" s="203" t="s">
        <v>104</v>
      </c>
      <c r="D16" s="266" t="e">
        <f>#REF!</f>
        <v>#REF!</v>
      </c>
      <c r="E16" s="336"/>
      <c r="F16" s="297"/>
      <c r="G16" s="36"/>
      <c r="H16" s="36"/>
      <c r="I16" s="36" t="s">
        <v>59</v>
      </c>
      <c r="J16" s="297"/>
      <c r="K16" s="297"/>
      <c r="L16" s="297"/>
      <c r="M16" s="297" t="s">
        <v>113</v>
      </c>
      <c r="N16" s="36"/>
      <c r="O16" s="36"/>
      <c r="P16" s="297"/>
      <c r="Q16" s="297"/>
      <c r="R16" s="297"/>
      <c r="S16" s="297"/>
      <c r="T16" s="297"/>
      <c r="U16" s="36"/>
      <c r="V16" s="36" t="s">
        <v>113</v>
      </c>
      <c r="W16" s="297">
        <v>8</v>
      </c>
      <c r="X16" s="297">
        <v>8</v>
      </c>
      <c r="Y16" s="297">
        <v>8</v>
      </c>
      <c r="Z16" s="297">
        <v>8</v>
      </c>
      <c r="AA16" s="297">
        <v>8</v>
      </c>
      <c r="AB16" s="36"/>
      <c r="AC16" s="36"/>
      <c r="AD16" s="297" t="s">
        <v>75</v>
      </c>
      <c r="AE16" s="297" t="s">
        <v>75</v>
      </c>
      <c r="AF16" s="297" t="s">
        <v>75</v>
      </c>
      <c r="AG16" s="297" t="s">
        <v>75</v>
      </c>
      <c r="AH16" s="297" t="s">
        <v>75</v>
      </c>
      <c r="AI16" s="205"/>
      <c r="AJ16" s="26" t="e">
        <f>_xlfn.CONCAT(#REF!,Tabela13[[#This Row],[FUNKCJONARIUSZ]])</f>
        <v>#REF!</v>
      </c>
      <c r="AK16" s="27">
        <v>-52.5</v>
      </c>
      <c r="AL16" s="28">
        <f t="shared" si="1"/>
        <v>72</v>
      </c>
      <c r="AM16">
        <f t="shared" si="2"/>
        <v>0</v>
      </c>
      <c r="AN16" s="29">
        <f t="shared" si="3"/>
        <v>80</v>
      </c>
      <c r="AO16" s="1">
        <f t="shared" si="4"/>
        <v>0</v>
      </c>
      <c r="AP16" s="1">
        <v>0</v>
      </c>
    </row>
    <row r="17" spans="1:42" ht="15.9">
      <c r="A17" s="1" t="s">
        <v>58</v>
      </c>
      <c r="B17" s="1" t="s">
        <v>64</v>
      </c>
      <c r="C17" s="203" t="s">
        <v>161</v>
      </c>
      <c r="D17" s="266" t="e">
        <f>#REF!</f>
        <v>#REF!</v>
      </c>
      <c r="E17" s="341"/>
      <c r="F17" s="337"/>
      <c r="G17" s="207" t="s">
        <v>113</v>
      </c>
      <c r="H17" s="207"/>
      <c r="I17" s="207"/>
      <c r="J17" s="337">
        <v>17</v>
      </c>
      <c r="K17" s="337" t="s">
        <v>62</v>
      </c>
      <c r="L17" s="337" t="s">
        <v>62</v>
      </c>
      <c r="M17" s="337">
        <v>16</v>
      </c>
      <c r="N17" s="36"/>
      <c r="O17" s="36"/>
      <c r="P17" s="297" t="s">
        <v>66</v>
      </c>
      <c r="Q17" s="297">
        <v>5</v>
      </c>
      <c r="R17" s="297">
        <v>7</v>
      </c>
      <c r="S17" s="297">
        <v>3</v>
      </c>
      <c r="T17" s="297">
        <v>6.5</v>
      </c>
      <c r="U17" s="36"/>
      <c r="V17" s="36"/>
      <c r="W17" s="297">
        <v>8</v>
      </c>
      <c r="X17" s="297">
        <v>8</v>
      </c>
      <c r="Y17" s="297">
        <v>8</v>
      </c>
      <c r="Z17" s="297">
        <v>8</v>
      </c>
      <c r="AA17" s="297">
        <v>8</v>
      </c>
      <c r="AB17" s="36">
        <v>3</v>
      </c>
      <c r="AC17" s="36"/>
      <c r="AD17" s="297" t="s">
        <v>59</v>
      </c>
      <c r="AE17" s="297"/>
      <c r="AF17" s="297" t="s">
        <v>75</v>
      </c>
      <c r="AG17" s="297" t="s">
        <v>75</v>
      </c>
      <c r="AH17" s="297" t="s">
        <v>75</v>
      </c>
      <c r="AI17" s="205"/>
      <c r="AJ17" s="26" t="e">
        <f>_xlfn.CONCAT(#REF!,Tabela13[[#This Row],[FUNKCJONARIUSZ]])</f>
        <v>#REF!</v>
      </c>
      <c r="AK17" s="27" t="e">
        <f>D17+AL17+AM17+AN17-$AK$1+AO17+AP17</f>
        <v>#REF!</v>
      </c>
      <c r="AL17" s="28">
        <f t="shared" si="1"/>
        <v>48</v>
      </c>
      <c r="AM17">
        <f t="shared" si="2"/>
        <v>48</v>
      </c>
      <c r="AN17" s="29">
        <f t="shared" si="3"/>
        <v>121.5</v>
      </c>
      <c r="AO17" s="1">
        <f t="shared" si="4"/>
        <v>0</v>
      </c>
      <c r="AP17" s="1">
        <v>0</v>
      </c>
    </row>
    <row r="18" spans="1:42" ht="15.9">
      <c r="A18" s="1" t="s">
        <v>105</v>
      </c>
      <c r="B18" s="1" t="s">
        <v>64</v>
      </c>
      <c r="C18" s="203" t="s">
        <v>106</v>
      </c>
      <c r="D18" s="266" t="e">
        <f>#REF!</f>
        <v>#REF!</v>
      </c>
      <c r="E18" s="704"/>
      <c r="F18" s="704"/>
      <c r="G18" s="704"/>
      <c r="H18" s="704"/>
      <c r="I18" s="704"/>
      <c r="J18" s="704"/>
      <c r="K18" s="704"/>
      <c r="L18" s="704"/>
      <c r="M18" s="704"/>
      <c r="N18" s="168"/>
      <c r="O18" s="36"/>
      <c r="P18" s="297">
        <v>4</v>
      </c>
      <c r="Q18" s="297"/>
      <c r="R18" s="297"/>
      <c r="S18" s="297">
        <v>6</v>
      </c>
      <c r="T18" s="297">
        <v>7</v>
      </c>
      <c r="U18" s="36"/>
      <c r="V18" s="36"/>
      <c r="W18" s="297" t="s">
        <v>113</v>
      </c>
      <c r="X18" s="297"/>
      <c r="Y18" s="297">
        <v>4.5</v>
      </c>
      <c r="Z18" s="297">
        <v>17</v>
      </c>
      <c r="AA18" s="297">
        <v>10</v>
      </c>
      <c r="AB18" s="36"/>
      <c r="AC18" s="36"/>
      <c r="AD18" s="297"/>
      <c r="AE18" s="297"/>
      <c r="AF18" s="297"/>
      <c r="AG18" s="297" t="s">
        <v>295</v>
      </c>
      <c r="AH18" s="297"/>
      <c r="AI18" s="205"/>
      <c r="AJ18" s="26" t="e">
        <f>_xlfn.CONCAT(#REF!,Tabela13[[#This Row],[FUNKCJONARIUSZ]])</f>
        <v>#REF!</v>
      </c>
      <c r="AK18" s="27">
        <v>-54.5</v>
      </c>
      <c r="AL18" s="28">
        <f t="shared" si="1"/>
        <v>24</v>
      </c>
      <c r="AM18">
        <f t="shared" si="2"/>
        <v>0</v>
      </c>
      <c r="AN18" s="29">
        <f t="shared" si="3"/>
        <v>48.5</v>
      </c>
      <c r="AO18" s="1" t="s">
        <v>103</v>
      </c>
      <c r="AP18" s="1">
        <v>0</v>
      </c>
    </row>
    <row r="19" spans="1:42" ht="15.9">
      <c r="A19" s="1" t="s">
        <v>67</v>
      </c>
      <c r="B19" s="1" t="s">
        <v>73</v>
      </c>
      <c r="C19" s="203" t="s">
        <v>107</v>
      </c>
      <c r="D19" s="266" t="e">
        <f>#REF!</f>
        <v>#REF!</v>
      </c>
      <c r="E19" s="342" t="s">
        <v>70</v>
      </c>
      <c r="F19" s="339">
        <v>14</v>
      </c>
      <c r="G19" s="208"/>
      <c r="H19" s="208"/>
      <c r="I19" s="208"/>
      <c r="J19" s="339">
        <v>12</v>
      </c>
      <c r="K19" s="339"/>
      <c r="L19" s="339"/>
      <c r="M19" s="339"/>
      <c r="N19" s="36"/>
      <c r="O19" s="36"/>
      <c r="P19" s="297">
        <v>17</v>
      </c>
      <c r="Q19" s="297" t="s">
        <v>70</v>
      </c>
      <c r="R19" s="297" t="s">
        <v>70</v>
      </c>
      <c r="S19" s="297" t="s">
        <v>70</v>
      </c>
      <c r="T19" s="297">
        <v>11</v>
      </c>
      <c r="U19" s="36"/>
      <c r="V19" s="36"/>
      <c r="W19" s="297"/>
      <c r="X19" s="297"/>
      <c r="Y19" s="297">
        <v>6</v>
      </c>
      <c r="Z19" s="297">
        <v>8</v>
      </c>
      <c r="AA19" s="297"/>
      <c r="AB19" s="36"/>
      <c r="AC19" s="36"/>
      <c r="AD19" s="297"/>
      <c r="AE19" s="297">
        <v>8</v>
      </c>
      <c r="AF19" s="297" t="s">
        <v>66</v>
      </c>
      <c r="AG19" s="297" t="s">
        <v>66</v>
      </c>
      <c r="AH19" s="297" t="s">
        <v>83</v>
      </c>
      <c r="AI19" s="205" t="s">
        <v>66</v>
      </c>
      <c r="AJ19" s="26" t="e">
        <f>_xlfn.CONCAT(#REF!,Tabela13[[#This Row],[FUNKCJONARIUSZ]])</f>
        <v>#REF!</v>
      </c>
      <c r="AK19" s="27" t="e">
        <f t="shared" ref="AK19:AK32" si="5">D19+AL19+AM19+AN19-$AK$1+AO19+AP19</f>
        <v>#REF!</v>
      </c>
      <c r="AL19" s="28">
        <f t="shared" si="1"/>
        <v>0</v>
      </c>
      <c r="AM19">
        <f t="shared" si="2"/>
        <v>96</v>
      </c>
      <c r="AN19" s="29">
        <f t="shared" si="3"/>
        <v>84</v>
      </c>
      <c r="AO19" s="1">
        <f t="shared" ref="AO19:AO24" si="6">COUNTIF(E19:AI19,"DT")*8</f>
        <v>0</v>
      </c>
      <c r="AP19" s="1">
        <v>0</v>
      </c>
    </row>
    <row r="20" spans="1:42" ht="15.9">
      <c r="A20" s="1" t="s">
        <v>90</v>
      </c>
      <c r="B20" s="1" t="s">
        <v>59</v>
      </c>
      <c r="C20" s="203" t="s">
        <v>108</v>
      </c>
      <c r="D20" s="266" t="e">
        <f>#REF!</f>
        <v>#REF!</v>
      </c>
      <c r="E20" s="336" t="s">
        <v>70</v>
      </c>
      <c r="F20" s="297">
        <v>10</v>
      </c>
      <c r="G20" s="36"/>
      <c r="H20" s="36"/>
      <c r="I20" s="36"/>
      <c r="J20" s="297">
        <v>5</v>
      </c>
      <c r="K20" s="297"/>
      <c r="L20" s="297"/>
      <c r="M20" s="297"/>
      <c r="N20" s="36"/>
      <c r="O20" s="36" t="s">
        <v>59</v>
      </c>
      <c r="P20" s="297"/>
      <c r="Q20" s="297"/>
      <c r="R20" s="297"/>
      <c r="S20" s="297"/>
      <c r="T20" s="297" t="s">
        <v>66</v>
      </c>
      <c r="U20" s="36" t="s">
        <v>66</v>
      </c>
      <c r="V20" s="36" t="s">
        <v>66</v>
      </c>
      <c r="W20" s="297">
        <v>16.5</v>
      </c>
      <c r="X20" s="297" t="s">
        <v>70</v>
      </c>
      <c r="Y20" s="297" t="s">
        <v>70</v>
      </c>
      <c r="Z20" s="297" t="s">
        <v>70</v>
      </c>
      <c r="AA20" s="297">
        <v>10</v>
      </c>
      <c r="AB20" s="36"/>
      <c r="AC20" s="36"/>
      <c r="AD20" s="297"/>
      <c r="AE20" s="297">
        <v>7</v>
      </c>
      <c r="AF20" s="297"/>
      <c r="AG20" s="297"/>
      <c r="AH20" s="297" t="s">
        <v>75</v>
      </c>
      <c r="AI20" s="205"/>
      <c r="AJ20" s="26" t="e">
        <f>_xlfn.CONCAT(#REF!,Tabela13[[#This Row],[FUNKCJONARIUSZ]])</f>
        <v>#REF!</v>
      </c>
      <c r="AK20" s="27" t="e">
        <f t="shared" si="5"/>
        <v>#REF!</v>
      </c>
      <c r="AL20" s="28">
        <f t="shared" si="1"/>
        <v>24</v>
      </c>
      <c r="AM20">
        <f t="shared" si="2"/>
        <v>96</v>
      </c>
      <c r="AN20" s="29">
        <f t="shared" si="3"/>
        <v>56.5</v>
      </c>
      <c r="AO20" s="1">
        <f t="shared" si="6"/>
        <v>0</v>
      </c>
      <c r="AP20" s="1">
        <v>0</v>
      </c>
    </row>
    <row r="21" spans="1:42" ht="15.9">
      <c r="A21" s="1" t="s">
        <v>58</v>
      </c>
      <c r="B21" s="1" t="s">
        <v>59</v>
      </c>
      <c r="C21" s="203" t="s">
        <v>109</v>
      </c>
      <c r="D21" s="266" t="e">
        <f>#REF!</f>
        <v>#REF!</v>
      </c>
      <c r="E21" s="336"/>
      <c r="F21" s="297" t="s">
        <v>59</v>
      </c>
      <c r="G21" s="36"/>
      <c r="H21" s="36"/>
      <c r="I21" s="36"/>
      <c r="J21" s="297">
        <v>7</v>
      </c>
      <c r="K21" s="297">
        <v>7</v>
      </c>
      <c r="L21" s="297">
        <v>8</v>
      </c>
      <c r="M21" s="297"/>
      <c r="N21" s="36"/>
      <c r="O21" s="36"/>
      <c r="P21" s="297"/>
      <c r="Q21" s="297"/>
      <c r="R21" s="297"/>
      <c r="S21" s="297"/>
      <c r="T21" s="297"/>
      <c r="U21" s="36"/>
      <c r="V21" s="36"/>
      <c r="W21" s="297">
        <v>17</v>
      </c>
      <c r="X21" s="297" t="s">
        <v>70</v>
      </c>
      <c r="Y21" s="297" t="s">
        <v>70</v>
      </c>
      <c r="Z21" s="297" t="s">
        <v>70</v>
      </c>
      <c r="AA21" s="297" t="s">
        <v>70</v>
      </c>
      <c r="AB21" s="36" t="s">
        <v>70</v>
      </c>
      <c r="AC21" s="36" t="s">
        <v>70</v>
      </c>
      <c r="AD21" s="297">
        <v>13</v>
      </c>
      <c r="AE21" s="297"/>
      <c r="AF21" s="297"/>
      <c r="AG21" s="297"/>
      <c r="AH21" s="297"/>
      <c r="AI21" s="205"/>
      <c r="AJ21" s="26" t="e">
        <f>_xlfn.CONCAT(#REF!,Tabela13[[#This Row],[FUNKCJONARIUSZ]])</f>
        <v>#REF!</v>
      </c>
      <c r="AK21" s="27" t="e">
        <f t="shared" si="5"/>
        <v>#REF!</v>
      </c>
      <c r="AL21" s="28">
        <f t="shared" si="1"/>
        <v>24</v>
      </c>
      <c r="AM21">
        <f t="shared" si="2"/>
        <v>144</v>
      </c>
      <c r="AN21" s="29">
        <f t="shared" si="3"/>
        <v>52</v>
      </c>
      <c r="AO21" s="1">
        <f t="shared" si="6"/>
        <v>0</v>
      </c>
      <c r="AP21" s="1">
        <v>0</v>
      </c>
    </row>
    <row r="22" spans="1:42" ht="15.9">
      <c r="A22" s="1" t="s">
        <v>63</v>
      </c>
      <c r="B22" s="1" t="s">
        <v>59</v>
      </c>
      <c r="C22" s="203" t="s">
        <v>162</v>
      </c>
      <c r="D22" s="266" t="e">
        <f>#REF!</f>
        <v>#REF!</v>
      </c>
      <c r="E22" s="336"/>
      <c r="F22" s="297"/>
      <c r="G22" s="36"/>
      <c r="H22" s="36"/>
      <c r="I22" s="36"/>
      <c r="J22" s="297"/>
      <c r="K22" s="297" t="s">
        <v>113</v>
      </c>
      <c r="L22" s="297"/>
      <c r="M22" s="297"/>
      <c r="N22" s="36" t="s">
        <v>113</v>
      </c>
      <c r="O22" s="36"/>
      <c r="P22" s="297">
        <v>8</v>
      </c>
      <c r="Q22" s="297" t="s">
        <v>113</v>
      </c>
      <c r="R22" s="297"/>
      <c r="S22" s="297" t="s">
        <v>75</v>
      </c>
      <c r="T22" s="297" t="s">
        <v>75</v>
      </c>
      <c r="U22" s="36" t="s">
        <v>66</v>
      </c>
      <c r="V22" s="36" t="s">
        <v>66</v>
      </c>
      <c r="W22" s="297" t="s">
        <v>75</v>
      </c>
      <c r="X22" s="297" t="s">
        <v>75</v>
      </c>
      <c r="Y22" s="297" t="s">
        <v>75</v>
      </c>
      <c r="Z22" s="297"/>
      <c r="AA22" s="297">
        <v>17</v>
      </c>
      <c r="AB22" s="36" t="s">
        <v>62</v>
      </c>
      <c r="AC22" s="36" t="s">
        <v>62</v>
      </c>
      <c r="AD22" s="297">
        <v>13</v>
      </c>
      <c r="AE22" s="297"/>
      <c r="AF22" s="297"/>
      <c r="AG22" s="297"/>
      <c r="AH22" s="297"/>
      <c r="AI22" s="205"/>
      <c r="AJ22" s="26" t="e">
        <f>_xlfn.CONCAT(#REF!,Tabela13[[#This Row],[FUNKCJONARIUSZ]])</f>
        <v>#REF!</v>
      </c>
      <c r="AK22" s="27" t="e">
        <f t="shared" si="5"/>
        <v>#REF!</v>
      </c>
      <c r="AL22" s="28">
        <f t="shared" si="1"/>
        <v>72</v>
      </c>
      <c r="AM22">
        <f t="shared" si="2"/>
        <v>48</v>
      </c>
      <c r="AN22" s="29">
        <f t="shared" si="3"/>
        <v>78</v>
      </c>
      <c r="AO22" s="1">
        <f t="shared" si="6"/>
        <v>0</v>
      </c>
      <c r="AP22" s="1">
        <v>0</v>
      </c>
    </row>
    <row r="23" spans="1:42" ht="15.9">
      <c r="A23" s="1" t="s">
        <v>67</v>
      </c>
      <c r="B23" s="1" t="s">
        <v>93</v>
      </c>
      <c r="C23" s="203" t="s">
        <v>110</v>
      </c>
      <c r="D23" s="266" t="e">
        <f>#REF!</f>
        <v>#REF!</v>
      </c>
      <c r="E23" s="336"/>
      <c r="F23" s="297">
        <v>17</v>
      </c>
      <c r="G23" s="36" t="s">
        <v>62</v>
      </c>
      <c r="H23" s="36" t="s">
        <v>62</v>
      </c>
      <c r="I23" s="36" t="s">
        <v>70</v>
      </c>
      <c r="J23" s="297">
        <v>11</v>
      </c>
      <c r="K23" s="297"/>
      <c r="L23" s="297"/>
      <c r="M23" s="297"/>
      <c r="N23" s="36"/>
      <c r="O23" s="36"/>
      <c r="P23" s="297" t="s">
        <v>294</v>
      </c>
      <c r="Q23" s="297" t="s">
        <v>294</v>
      </c>
      <c r="R23" s="297" t="s">
        <v>294</v>
      </c>
      <c r="S23" s="297" t="s">
        <v>294</v>
      </c>
      <c r="T23" s="297" t="s">
        <v>294</v>
      </c>
      <c r="U23" s="36"/>
      <c r="V23" s="36"/>
      <c r="W23" s="297" t="s">
        <v>294</v>
      </c>
      <c r="X23" s="297" t="s">
        <v>294</v>
      </c>
      <c r="Y23" s="297" t="s">
        <v>294</v>
      </c>
      <c r="Z23" s="297" t="s">
        <v>294</v>
      </c>
      <c r="AA23" s="297" t="s">
        <v>294</v>
      </c>
      <c r="AB23" s="36"/>
      <c r="AC23" s="36"/>
      <c r="AD23" s="297" t="s">
        <v>294</v>
      </c>
      <c r="AE23" s="297" t="s">
        <v>294</v>
      </c>
      <c r="AF23" s="297" t="s">
        <v>294</v>
      </c>
      <c r="AG23" s="297" t="s">
        <v>294</v>
      </c>
      <c r="AH23" s="297" t="s">
        <v>294</v>
      </c>
      <c r="AI23" s="205"/>
      <c r="AJ23" s="26" t="e">
        <f>_xlfn.CONCAT(#REF!,Tabela13[[#This Row],[FUNKCJONARIUSZ]])</f>
        <v>#REF!</v>
      </c>
      <c r="AK23" s="27" t="e">
        <f t="shared" si="5"/>
        <v>#REF!</v>
      </c>
      <c r="AL23" s="28">
        <f t="shared" si="1"/>
        <v>0</v>
      </c>
      <c r="AM23">
        <f t="shared" si="2"/>
        <v>72</v>
      </c>
      <c r="AN23" s="29">
        <f t="shared" si="3"/>
        <v>148</v>
      </c>
      <c r="AO23" s="1">
        <f t="shared" si="6"/>
        <v>0</v>
      </c>
      <c r="AP23" s="1">
        <v>0</v>
      </c>
    </row>
    <row r="24" spans="1:42" ht="15.9">
      <c r="A24" s="1" t="s">
        <v>58</v>
      </c>
      <c r="B24" s="1" t="s">
        <v>59</v>
      </c>
      <c r="C24" s="203" t="s">
        <v>111</v>
      </c>
      <c r="D24" s="266" t="e">
        <f>#REF!</f>
        <v>#REF!</v>
      </c>
      <c r="E24" s="341" t="s">
        <v>62</v>
      </c>
      <c r="F24" s="337" t="s">
        <v>62</v>
      </c>
      <c r="G24" s="207" t="s">
        <v>62</v>
      </c>
      <c r="H24" s="207" t="s">
        <v>62</v>
      </c>
      <c r="I24" s="207" t="s">
        <v>70</v>
      </c>
      <c r="J24" s="337">
        <v>11</v>
      </c>
      <c r="K24" s="337"/>
      <c r="L24" s="337"/>
      <c r="M24" s="337"/>
      <c r="N24" s="36"/>
      <c r="O24" s="36"/>
      <c r="P24" s="297"/>
      <c r="Q24" s="297"/>
      <c r="R24" s="297" t="s">
        <v>66</v>
      </c>
      <c r="S24" s="297" t="s">
        <v>66</v>
      </c>
      <c r="T24" s="297" t="s">
        <v>66</v>
      </c>
      <c r="U24" s="36"/>
      <c r="V24" s="36"/>
      <c r="W24" s="297"/>
      <c r="X24" s="297"/>
      <c r="Y24" s="297"/>
      <c r="Z24" s="297">
        <v>8</v>
      </c>
      <c r="AA24" s="297"/>
      <c r="AB24" s="36"/>
      <c r="AC24" s="36"/>
      <c r="AD24" s="297"/>
      <c r="AE24" s="297"/>
      <c r="AF24" s="297"/>
      <c r="AG24" s="297"/>
      <c r="AH24" s="297">
        <v>16</v>
      </c>
      <c r="AI24" s="205"/>
      <c r="AJ24" s="26" t="e">
        <f>_xlfn.CONCAT(#REF!,Tabela13[[#This Row],[FUNKCJONARIUSZ]])</f>
        <v>#REF!</v>
      </c>
      <c r="AK24" s="27" t="e">
        <f t="shared" si="5"/>
        <v>#REF!</v>
      </c>
      <c r="AL24" s="28">
        <f t="shared" si="1"/>
        <v>0</v>
      </c>
      <c r="AM24">
        <f t="shared" si="2"/>
        <v>120</v>
      </c>
      <c r="AN24" s="29">
        <f t="shared" si="3"/>
        <v>35</v>
      </c>
      <c r="AO24" s="1">
        <f t="shared" si="6"/>
        <v>0</v>
      </c>
      <c r="AP24" s="1">
        <v>0</v>
      </c>
    </row>
    <row r="25" spans="1:42" ht="15.9">
      <c r="A25" s="1" t="s">
        <v>63</v>
      </c>
      <c r="B25" s="1" t="s">
        <v>64</v>
      </c>
      <c r="C25" s="210" t="s">
        <v>112</v>
      </c>
      <c r="D25" s="266" t="e">
        <f>#REF!</f>
        <v>#REF!</v>
      </c>
      <c r="E25" s="704"/>
      <c r="F25" s="704"/>
      <c r="G25" s="704"/>
      <c r="H25" s="704"/>
      <c r="I25" s="704"/>
      <c r="J25" s="704"/>
      <c r="K25" s="704"/>
      <c r="L25" s="704"/>
      <c r="M25" s="704"/>
      <c r="N25" s="168"/>
      <c r="O25" s="36"/>
      <c r="P25" s="297"/>
      <c r="Q25" s="297"/>
      <c r="R25" s="297" t="s">
        <v>113</v>
      </c>
      <c r="S25" s="297"/>
      <c r="T25" s="297"/>
      <c r="U25" s="36" t="s">
        <v>59</v>
      </c>
      <c r="V25" s="36"/>
      <c r="W25" s="297">
        <v>8</v>
      </c>
      <c r="X25" s="297">
        <v>8</v>
      </c>
      <c r="Y25" s="297">
        <v>8</v>
      </c>
      <c r="Z25" s="297">
        <v>8</v>
      </c>
      <c r="AA25" s="297">
        <v>2</v>
      </c>
      <c r="AB25" s="36" t="s">
        <v>113</v>
      </c>
      <c r="AC25" s="36"/>
      <c r="AD25" s="297"/>
      <c r="AE25" s="297"/>
      <c r="AF25" s="297"/>
      <c r="AG25" s="297" t="s">
        <v>113</v>
      </c>
      <c r="AH25" s="297"/>
      <c r="AI25" s="205"/>
      <c r="AJ25" s="26" t="e">
        <f>_xlfn.CONCAT(#REF!,Tabela13[[#This Row],[FUNKCJONARIUSZ]])</f>
        <v>#REF!</v>
      </c>
      <c r="AK25" s="27" t="e">
        <f t="shared" si="5"/>
        <v>#REF!</v>
      </c>
      <c r="AL25" s="28">
        <f t="shared" si="1"/>
        <v>96</v>
      </c>
      <c r="AM25">
        <f t="shared" si="2"/>
        <v>0</v>
      </c>
      <c r="AN25" s="29">
        <f t="shared" si="3"/>
        <v>34</v>
      </c>
      <c r="AO25" s="1">
        <v>72</v>
      </c>
      <c r="AP25" s="1">
        <v>0</v>
      </c>
    </row>
    <row r="26" spans="1:42" ht="15.9">
      <c r="A26" s="1" t="s">
        <v>67</v>
      </c>
      <c r="B26" s="1" t="s">
        <v>93</v>
      </c>
      <c r="C26" s="203" t="s">
        <v>114</v>
      </c>
      <c r="D26" s="266" t="e">
        <f>#REF!</f>
        <v>#REF!</v>
      </c>
      <c r="E26" s="342"/>
      <c r="F26" s="339"/>
      <c r="G26" s="208"/>
      <c r="H26" s="208"/>
      <c r="I26" s="208"/>
      <c r="J26" s="339"/>
      <c r="K26" s="339"/>
      <c r="L26" s="339"/>
      <c r="M26" s="339"/>
      <c r="N26" s="36"/>
      <c r="O26" s="36"/>
      <c r="P26" s="297"/>
      <c r="Q26" s="297"/>
      <c r="R26" s="297"/>
      <c r="S26" s="297"/>
      <c r="T26" s="297"/>
      <c r="U26" s="36"/>
      <c r="V26" s="36"/>
      <c r="W26" s="297"/>
      <c r="X26" s="297"/>
      <c r="Y26" s="297"/>
      <c r="Z26" s="297"/>
      <c r="AA26" s="297"/>
      <c r="AB26" s="36"/>
      <c r="AC26" s="36"/>
      <c r="AD26" s="297">
        <v>17</v>
      </c>
      <c r="AE26" s="297" t="s">
        <v>70</v>
      </c>
      <c r="AF26" s="297" t="s">
        <v>70</v>
      </c>
      <c r="AG26" s="297" t="s">
        <v>70</v>
      </c>
      <c r="AH26" s="297" t="s">
        <v>70</v>
      </c>
      <c r="AI26" s="205" t="s">
        <v>70</v>
      </c>
      <c r="AJ26" s="26" t="e">
        <f>_xlfn.CONCAT(#REF!,Tabela13[[#This Row],[FUNKCJONARIUSZ]])</f>
        <v>#REF!</v>
      </c>
      <c r="AK26" s="27" t="e">
        <f t="shared" si="5"/>
        <v>#REF!</v>
      </c>
      <c r="AL26" s="28">
        <f t="shared" si="1"/>
        <v>0</v>
      </c>
      <c r="AM26">
        <f t="shared" si="2"/>
        <v>120</v>
      </c>
      <c r="AN26" s="29">
        <f t="shared" si="3"/>
        <v>17</v>
      </c>
      <c r="AO26" s="1">
        <f t="shared" ref="AO26:AO32" si="7">COUNTIF(E26:AI26,"DT")*8</f>
        <v>0</v>
      </c>
      <c r="AP26" s="1">
        <v>0</v>
      </c>
    </row>
    <row r="27" spans="1:42" ht="15.9">
      <c r="A27" s="1" t="s">
        <v>63</v>
      </c>
      <c r="B27" s="1" t="s">
        <v>59</v>
      </c>
      <c r="C27" s="203" t="s">
        <v>115</v>
      </c>
      <c r="D27" s="266" t="e">
        <f>#REF!</f>
        <v>#REF!</v>
      </c>
      <c r="E27" s="336">
        <v>8</v>
      </c>
      <c r="F27" s="297">
        <v>8</v>
      </c>
      <c r="G27" s="36"/>
      <c r="H27" s="36"/>
      <c r="I27" s="36"/>
      <c r="J27" s="297"/>
      <c r="K27" s="297"/>
      <c r="L27" s="297" t="s">
        <v>113</v>
      </c>
      <c r="M27" s="297"/>
      <c r="N27" s="36"/>
      <c r="O27" s="36"/>
      <c r="P27" s="297" t="s">
        <v>113</v>
      </c>
      <c r="Q27" s="297"/>
      <c r="R27" s="297">
        <v>8</v>
      </c>
      <c r="S27" s="297" t="s">
        <v>113</v>
      </c>
      <c r="T27" s="297"/>
      <c r="U27" s="36"/>
      <c r="V27" s="36"/>
      <c r="W27" s="297"/>
      <c r="X27" s="297"/>
      <c r="Y27" s="297" t="s">
        <v>113</v>
      </c>
      <c r="Z27" s="297"/>
      <c r="AA27" s="297" t="s">
        <v>66</v>
      </c>
      <c r="AB27" s="36" t="s">
        <v>66</v>
      </c>
      <c r="AC27" s="36" t="s">
        <v>66</v>
      </c>
      <c r="AD27" s="297">
        <v>4</v>
      </c>
      <c r="AE27" s="297" t="s">
        <v>113</v>
      </c>
      <c r="AF27" s="297"/>
      <c r="AG27" s="297" t="s">
        <v>83</v>
      </c>
      <c r="AH27" s="297" t="s">
        <v>83</v>
      </c>
      <c r="AI27" s="205"/>
      <c r="AJ27" s="26" t="e">
        <f>_xlfn.CONCAT(#REF!,Tabela13[[#This Row],[FUNKCJONARIUSZ]])</f>
        <v>#REF!</v>
      </c>
      <c r="AK27" s="27" t="e">
        <f t="shared" si="5"/>
        <v>#REF!</v>
      </c>
      <c r="AL27" s="28">
        <f t="shared" si="1"/>
        <v>120</v>
      </c>
      <c r="AM27">
        <f t="shared" si="2"/>
        <v>0</v>
      </c>
      <c r="AN27" s="29">
        <f t="shared" si="3"/>
        <v>44</v>
      </c>
      <c r="AO27" s="1">
        <f t="shared" si="7"/>
        <v>0</v>
      </c>
      <c r="AP27" s="1">
        <v>0</v>
      </c>
    </row>
    <row r="28" spans="1:42" ht="15.9" hidden="1">
      <c r="A28" s="343" t="s">
        <v>58</v>
      </c>
      <c r="B28" s="1" t="s">
        <v>59</v>
      </c>
      <c r="C28" s="203" t="s">
        <v>170</v>
      </c>
      <c r="D28" s="266" t="e">
        <f>#REF!</f>
        <v>#REF!</v>
      </c>
      <c r="E28" s="204"/>
      <c r="F28" s="32"/>
      <c r="G28" s="32"/>
      <c r="H28" s="32"/>
      <c r="I28" s="32"/>
      <c r="J28" s="297"/>
      <c r="K28" s="297"/>
      <c r="L28" s="297"/>
      <c r="M28" s="297"/>
      <c r="N28" s="36"/>
      <c r="O28" s="36"/>
      <c r="P28" s="32"/>
      <c r="Q28" s="32"/>
      <c r="R28" s="32"/>
      <c r="S28" s="32"/>
      <c r="T28" s="32"/>
      <c r="U28" s="36"/>
      <c r="V28" s="36"/>
      <c r="W28" s="297"/>
      <c r="X28" s="297"/>
      <c r="Y28" s="297"/>
      <c r="Z28" s="297"/>
      <c r="AA28" s="297"/>
      <c r="AB28" s="36"/>
      <c r="AC28" s="36"/>
      <c r="AD28" s="297"/>
      <c r="AE28" s="297"/>
      <c r="AF28" s="297"/>
      <c r="AG28" s="297"/>
      <c r="AH28" s="297"/>
      <c r="AI28" s="205"/>
      <c r="AJ28" s="26" t="e">
        <f>_xlfn.CONCAT(#REF!,Tabela13[[#This Row],[FUNKCJONARIUSZ]])</f>
        <v>#REF!</v>
      </c>
      <c r="AK28" s="27" t="e">
        <f t="shared" si="5"/>
        <v>#REF!</v>
      </c>
      <c r="AL28" s="28">
        <f t="shared" si="1"/>
        <v>0</v>
      </c>
      <c r="AM28">
        <f t="shared" si="2"/>
        <v>0</v>
      </c>
      <c r="AN28" s="29">
        <f t="shared" si="3"/>
        <v>0</v>
      </c>
      <c r="AO28" s="1">
        <f t="shared" si="7"/>
        <v>0</v>
      </c>
      <c r="AP28" s="1">
        <v>0</v>
      </c>
    </row>
    <row r="29" spans="1:42" ht="15.9">
      <c r="A29" s="1" t="s">
        <v>63</v>
      </c>
      <c r="B29" s="1" t="s">
        <v>73</v>
      </c>
      <c r="C29" s="203" t="s">
        <v>116</v>
      </c>
      <c r="D29" s="266" t="e">
        <f>#REF!</f>
        <v>#REF!</v>
      </c>
      <c r="E29" s="336"/>
      <c r="F29" s="297"/>
      <c r="G29" s="36"/>
      <c r="H29" s="36"/>
      <c r="I29" s="36"/>
      <c r="J29" s="297"/>
      <c r="K29" s="297"/>
      <c r="L29" s="297"/>
      <c r="M29" s="297"/>
      <c r="N29" s="36"/>
      <c r="O29" s="36"/>
      <c r="P29" s="297"/>
      <c r="Q29" s="297"/>
      <c r="R29" s="297" t="s">
        <v>66</v>
      </c>
      <c r="S29" s="297"/>
      <c r="T29" s="297"/>
      <c r="U29" s="36" t="s">
        <v>66</v>
      </c>
      <c r="V29" s="36" t="s">
        <v>66</v>
      </c>
      <c r="W29" s="297"/>
      <c r="X29" s="297" t="s">
        <v>59</v>
      </c>
      <c r="Y29" s="297"/>
      <c r="Z29" s="297"/>
      <c r="AA29" s="297"/>
      <c r="AB29" s="36"/>
      <c r="AC29" s="36" t="s">
        <v>113</v>
      </c>
      <c r="AD29" s="297"/>
      <c r="AE29" s="297"/>
      <c r="AF29" s="297"/>
      <c r="AG29" s="297"/>
      <c r="AH29" s="297" t="s">
        <v>75</v>
      </c>
      <c r="AI29" s="205" t="s">
        <v>66</v>
      </c>
      <c r="AJ29" s="26" t="e">
        <f>_xlfn.CONCAT(#REF!,Tabela13[[#This Row],[FUNKCJONARIUSZ]])</f>
        <v>#REF!</v>
      </c>
      <c r="AK29" s="27" t="e">
        <f t="shared" si="5"/>
        <v>#REF!</v>
      </c>
      <c r="AL29" s="28">
        <f t="shared" si="1"/>
        <v>48</v>
      </c>
      <c r="AM29">
        <f t="shared" si="2"/>
        <v>0</v>
      </c>
      <c r="AN29" s="29">
        <f t="shared" si="3"/>
        <v>8</v>
      </c>
      <c r="AO29" s="1">
        <f t="shared" si="7"/>
        <v>0</v>
      </c>
      <c r="AP29" s="1">
        <v>0</v>
      </c>
    </row>
    <row r="30" spans="1:42" ht="15.9">
      <c r="A30" s="1" t="s">
        <v>58</v>
      </c>
      <c r="B30" s="1" t="s">
        <v>93</v>
      </c>
      <c r="C30" s="203" t="s">
        <v>117</v>
      </c>
      <c r="D30" s="266" t="e">
        <f>#REF!</f>
        <v>#REF!</v>
      </c>
      <c r="E30" s="336">
        <v>4</v>
      </c>
      <c r="F30" s="297">
        <v>8</v>
      </c>
      <c r="G30" s="36"/>
      <c r="H30" s="36"/>
      <c r="I30" s="207"/>
      <c r="J30" s="337">
        <v>17</v>
      </c>
      <c r="K30" s="337" t="s">
        <v>70</v>
      </c>
      <c r="L30" s="337" t="s">
        <v>70</v>
      </c>
      <c r="M30" s="337">
        <v>9</v>
      </c>
      <c r="N30" s="207"/>
      <c r="O30" s="207"/>
      <c r="P30" s="337"/>
      <c r="Q30" s="337"/>
      <c r="R30" s="337"/>
      <c r="S30" s="337"/>
      <c r="T30" s="337"/>
      <c r="U30" s="207"/>
      <c r="V30" s="207"/>
      <c r="W30" s="297"/>
      <c r="X30" s="297"/>
      <c r="Y30" s="297"/>
      <c r="Z30" s="297"/>
      <c r="AA30" s="297"/>
      <c r="AB30" s="36"/>
      <c r="AC30" s="36"/>
      <c r="AD30" s="297"/>
      <c r="AE30" s="297"/>
      <c r="AF30" s="297"/>
      <c r="AG30" s="297"/>
      <c r="AH30" s="297"/>
      <c r="AI30" s="205"/>
      <c r="AJ30" s="26" t="e">
        <f>_xlfn.CONCAT(#REF!,Tabela13[[#This Row],[FUNKCJONARIUSZ]])</f>
        <v>#REF!</v>
      </c>
      <c r="AK30" s="27" t="e">
        <f t="shared" si="5"/>
        <v>#REF!</v>
      </c>
      <c r="AL30" s="28">
        <f t="shared" si="1"/>
        <v>0</v>
      </c>
      <c r="AM30">
        <f t="shared" si="2"/>
        <v>48</v>
      </c>
      <c r="AN30" s="29">
        <f t="shared" si="3"/>
        <v>38</v>
      </c>
      <c r="AO30" s="1">
        <f t="shared" si="7"/>
        <v>0</v>
      </c>
      <c r="AP30" s="1">
        <v>0</v>
      </c>
    </row>
    <row r="31" spans="1:42" ht="15.9">
      <c r="A31" s="1" t="s">
        <v>105</v>
      </c>
      <c r="B31" s="1" t="s">
        <v>59</v>
      </c>
      <c r="C31" s="203" t="s">
        <v>118</v>
      </c>
      <c r="D31" s="266" t="e">
        <f>#REF!</f>
        <v>#REF!</v>
      </c>
      <c r="E31" s="336" t="s">
        <v>66</v>
      </c>
      <c r="F31" s="297" t="s">
        <v>66</v>
      </c>
      <c r="G31" s="36" t="s">
        <v>66</v>
      </c>
      <c r="H31" s="145" t="s">
        <v>66</v>
      </c>
      <c r="I31" s="344" t="s">
        <v>66</v>
      </c>
      <c r="J31" s="345" t="s">
        <v>66</v>
      </c>
      <c r="K31" s="345" t="s">
        <v>66</v>
      </c>
      <c r="L31" s="345" t="s">
        <v>66</v>
      </c>
      <c r="M31" s="345" t="s">
        <v>66</v>
      </c>
      <c r="N31" s="346" t="s">
        <v>66</v>
      </c>
      <c r="O31" s="347" t="s">
        <v>66</v>
      </c>
      <c r="P31" s="345" t="s">
        <v>66</v>
      </c>
      <c r="Q31" s="345" t="s">
        <v>66</v>
      </c>
      <c r="R31" s="345" t="s">
        <v>66</v>
      </c>
      <c r="S31" s="345" t="s">
        <v>66</v>
      </c>
      <c r="T31" s="345" t="s">
        <v>66</v>
      </c>
      <c r="U31" s="348" t="s">
        <v>66</v>
      </c>
      <c r="V31" s="346" t="s">
        <v>66</v>
      </c>
      <c r="W31" s="340" t="s">
        <v>66</v>
      </c>
      <c r="X31" s="297" t="s">
        <v>66</v>
      </c>
      <c r="Y31" s="297" t="s">
        <v>66</v>
      </c>
      <c r="Z31" s="297" t="s">
        <v>66</v>
      </c>
      <c r="AA31" s="297" t="s">
        <v>113</v>
      </c>
      <c r="AB31" s="36"/>
      <c r="AC31" s="36"/>
      <c r="AD31" s="297">
        <v>16.5</v>
      </c>
      <c r="AE31" s="297" t="s">
        <v>70</v>
      </c>
      <c r="AF31" s="297" t="s">
        <v>70</v>
      </c>
      <c r="AG31" s="297" t="s">
        <v>70</v>
      </c>
      <c r="AH31" s="297" t="s">
        <v>70</v>
      </c>
      <c r="AI31" s="205"/>
      <c r="AJ31" s="26" t="e">
        <f>_xlfn.CONCAT(#REF!,Tabela13[[#This Row],[FUNKCJONARIUSZ]])</f>
        <v>#REF!</v>
      </c>
      <c r="AK31" s="27" t="e">
        <f t="shared" si="5"/>
        <v>#REF!</v>
      </c>
      <c r="AL31" s="28">
        <f t="shared" si="1"/>
        <v>24</v>
      </c>
      <c r="AM31">
        <f t="shared" si="2"/>
        <v>96</v>
      </c>
      <c r="AN31" s="29">
        <f t="shared" si="3"/>
        <v>16.5</v>
      </c>
      <c r="AO31" s="1">
        <f t="shared" si="7"/>
        <v>0</v>
      </c>
      <c r="AP31" s="1">
        <v>0</v>
      </c>
    </row>
    <row r="32" spans="1:42" ht="15.9">
      <c r="A32" s="1" t="s">
        <v>58</v>
      </c>
      <c r="B32" s="1" t="s">
        <v>73</v>
      </c>
      <c r="C32" s="212" t="s">
        <v>119</v>
      </c>
      <c r="D32" s="266" t="e">
        <f>#REF!</f>
        <v>#REF!</v>
      </c>
      <c r="E32" s="349">
        <v>3.5</v>
      </c>
      <c r="F32" s="350"/>
      <c r="G32" s="213"/>
      <c r="H32" s="213"/>
      <c r="I32" s="214"/>
      <c r="J32" s="339">
        <v>8</v>
      </c>
      <c r="K32" s="339">
        <v>8</v>
      </c>
      <c r="L32" s="339">
        <v>8</v>
      </c>
      <c r="M32" s="339"/>
      <c r="N32" s="214"/>
      <c r="O32" s="214"/>
      <c r="P32" s="351"/>
      <c r="Q32" s="351"/>
      <c r="R32" s="351"/>
      <c r="S32" s="351">
        <v>5</v>
      </c>
      <c r="T32" s="351">
        <v>6</v>
      </c>
      <c r="U32" s="214"/>
      <c r="V32" s="214"/>
      <c r="W32" s="350"/>
      <c r="X32" s="350"/>
      <c r="Y32" s="350"/>
      <c r="Z32" s="350"/>
      <c r="AA32" s="350">
        <v>17</v>
      </c>
      <c r="AB32" s="213" t="s">
        <v>70</v>
      </c>
      <c r="AC32" s="213" t="s">
        <v>70</v>
      </c>
      <c r="AD32" s="350">
        <v>13.5</v>
      </c>
      <c r="AE32" s="350"/>
      <c r="AF32" s="350"/>
      <c r="AG32" s="350"/>
      <c r="AH32" s="350"/>
      <c r="AI32" s="216"/>
      <c r="AJ32" s="26" t="e">
        <f>_xlfn.CONCAT(#REF!,Tabela13[[#This Row],[FUNKCJONARIUSZ]])</f>
        <v>#REF!</v>
      </c>
      <c r="AK32" s="27" t="e">
        <f t="shared" si="5"/>
        <v>#REF!</v>
      </c>
      <c r="AL32" s="28">
        <f t="shared" si="1"/>
        <v>0</v>
      </c>
      <c r="AM32">
        <f t="shared" si="2"/>
        <v>48</v>
      </c>
      <c r="AN32" s="29">
        <f t="shared" si="3"/>
        <v>69</v>
      </c>
      <c r="AO32" s="1">
        <f t="shared" si="7"/>
        <v>0</v>
      </c>
      <c r="AP32" s="1">
        <v>0</v>
      </c>
    </row>
    <row r="33" spans="2:42" ht="15.9">
      <c r="C33" s="56"/>
      <c r="D33" s="57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9"/>
      <c r="AH33" s="27" t="e">
        <f>AK33/31</f>
        <v>#REF!</v>
      </c>
      <c r="AI33" s="27"/>
      <c r="AJ33" s="60"/>
      <c r="AK33" s="27" t="e">
        <f>SUM(AK2:AK32)</f>
        <v>#REF!</v>
      </c>
      <c r="AL33" s="28"/>
      <c r="AM33"/>
      <c r="AN33" s="29"/>
    </row>
    <row r="34" spans="2:42" ht="15.9">
      <c r="B34" s="61"/>
      <c r="C34" s="62" t="s">
        <v>120</v>
      </c>
      <c r="D34" s="63"/>
      <c r="E34" s="64">
        <f t="shared" ref="E34:AI34" si="8">COUNTIF(E2:E32,"D")</f>
        <v>1</v>
      </c>
      <c r="F34" s="64">
        <f t="shared" si="8"/>
        <v>1</v>
      </c>
      <c r="G34" s="64">
        <f t="shared" si="8"/>
        <v>1</v>
      </c>
      <c r="H34" s="64">
        <f t="shared" si="8"/>
        <v>1</v>
      </c>
      <c r="I34" s="64">
        <f t="shared" si="8"/>
        <v>1</v>
      </c>
      <c r="J34" s="64">
        <f t="shared" si="8"/>
        <v>1</v>
      </c>
      <c r="K34" s="64">
        <f t="shared" si="8"/>
        <v>1</v>
      </c>
      <c r="L34" s="64">
        <f t="shared" si="8"/>
        <v>1</v>
      </c>
      <c r="M34" s="64">
        <f t="shared" si="8"/>
        <v>1</v>
      </c>
      <c r="N34" s="64">
        <f t="shared" si="8"/>
        <v>1</v>
      </c>
      <c r="O34" s="64">
        <f t="shared" si="8"/>
        <v>1</v>
      </c>
      <c r="P34" s="64">
        <f t="shared" si="8"/>
        <v>1</v>
      </c>
      <c r="Q34" s="64">
        <f t="shared" si="8"/>
        <v>1</v>
      </c>
      <c r="R34" s="64">
        <f t="shared" si="8"/>
        <v>1</v>
      </c>
      <c r="S34" s="64">
        <f t="shared" si="8"/>
        <v>1</v>
      </c>
      <c r="T34" s="64">
        <f t="shared" si="8"/>
        <v>1</v>
      </c>
      <c r="U34" s="64">
        <f t="shared" si="8"/>
        <v>1</v>
      </c>
      <c r="V34" s="64">
        <f t="shared" si="8"/>
        <v>1</v>
      </c>
      <c r="W34" s="64">
        <f t="shared" si="8"/>
        <v>1</v>
      </c>
      <c r="X34" s="64">
        <f t="shared" si="8"/>
        <v>1</v>
      </c>
      <c r="Y34" s="64">
        <f t="shared" si="8"/>
        <v>1</v>
      </c>
      <c r="Z34" s="64">
        <f t="shared" si="8"/>
        <v>1</v>
      </c>
      <c r="AA34" s="64">
        <f t="shared" si="8"/>
        <v>1</v>
      </c>
      <c r="AB34" s="64">
        <f t="shared" si="8"/>
        <v>1</v>
      </c>
      <c r="AC34" s="64">
        <f t="shared" si="8"/>
        <v>1</v>
      </c>
      <c r="AD34" s="64">
        <f t="shared" si="8"/>
        <v>1</v>
      </c>
      <c r="AE34" s="64">
        <f t="shared" si="8"/>
        <v>1</v>
      </c>
      <c r="AF34" s="64">
        <f t="shared" si="8"/>
        <v>1</v>
      </c>
      <c r="AG34" s="64">
        <f t="shared" si="8"/>
        <v>1</v>
      </c>
      <c r="AH34" s="64">
        <f t="shared" si="8"/>
        <v>0</v>
      </c>
      <c r="AI34" s="64">
        <f t="shared" si="8"/>
        <v>0</v>
      </c>
      <c r="AJ34"/>
      <c r="AK34" s="27"/>
      <c r="AL34" s="28"/>
      <c r="AM34"/>
      <c r="AN34" s="29"/>
    </row>
    <row r="35" spans="2:42" ht="15.9">
      <c r="B35" s="61"/>
      <c r="C35" s="65" t="s">
        <v>121</v>
      </c>
      <c r="D35" s="66"/>
      <c r="E35" s="64">
        <f t="shared" ref="E35:AH35" si="9">COUNTIF(E52:E102,"D")+COUNTIF(E52:E102,"W")</f>
        <v>2</v>
      </c>
      <c r="F35" s="64">
        <f t="shared" si="9"/>
        <v>2</v>
      </c>
      <c r="G35" s="64">
        <f t="shared" si="9"/>
        <v>2</v>
      </c>
      <c r="H35" s="64">
        <f t="shared" si="9"/>
        <v>2</v>
      </c>
      <c r="I35" s="64">
        <f t="shared" si="9"/>
        <v>2</v>
      </c>
      <c r="J35" s="64">
        <f t="shared" si="9"/>
        <v>1</v>
      </c>
      <c r="K35" s="64">
        <f t="shared" si="9"/>
        <v>2</v>
      </c>
      <c r="L35" s="64">
        <f t="shared" si="9"/>
        <v>2</v>
      </c>
      <c r="M35" s="64">
        <f t="shared" si="9"/>
        <v>2</v>
      </c>
      <c r="N35" s="64">
        <f t="shared" si="9"/>
        <v>2</v>
      </c>
      <c r="O35" s="64">
        <f t="shared" si="9"/>
        <v>2</v>
      </c>
      <c r="P35" s="64">
        <f t="shared" si="9"/>
        <v>1</v>
      </c>
      <c r="Q35" s="64">
        <f t="shared" si="9"/>
        <v>2</v>
      </c>
      <c r="R35" s="64">
        <f t="shared" si="9"/>
        <v>2</v>
      </c>
      <c r="S35" s="64">
        <f t="shared" si="9"/>
        <v>1</v>
      </c>
      <c r="T35" s="64">
        <f t="shared" si="9"/>
        <v>2</v>
      </c>
      <c r="U35" s="64">
        <f t="shared" si="9"/>
        <v>2</v>
      </c>
      <c r="V35" s="64">
        <f t="shared" si="9"/>
        <v>2</v>
      </c>
      <c r="W35" s="64">
        <f t="shared" si="9"/>
        <v>2</v>
      </c>
      <c r="X35" s="64">
        <f t="shared" si="9"/>
        <v>2</v>
      </c>
      <c r="Y35" s="64">
        <f t="shared" si="9"/>
        <v>2</v>
      </c>
      <c r="Z35" s="64">
        <f t="shared" si="9"/>
        <v>2</v>
      </c>
      <c r="AA35" s="64">
        <f t="shared" si="9"/>
        <v>2</v>
      </c>
      <c r="AB35" s="64">
        <f t="shared" si="9"/>
        <v>2</v>
      </c>
      <c r="AC35" s="64">
        <f t="shared" si="9"/>
        <v>2</v>
      </c>
      <c r="AD35" s="64">
        <f t="shared" si="9"/>
        <v>2</v>
      </c>
      <c r="AE35" s="64">
        <f t="shared" si="9"/>
        <v>2</v>
      </c>
      <c r="AF35" s="64">
        <f t="shared" si="9"/>
        <v>2</v>
      </c>
      <c r="AG35" s="64">
        <f t="shared" si="9"/>
        <v>2</v>
      </c>
      <c r="AH35" s="64">
        <f t="shared" si="9"/>
        <v>0</v>
      </c>
      <c r="AI35" s="287">
        <f>COUNTIF(AI52:AI102,"D")</f>
        <v>0</v>
      </c>
      <c r="AJ35"/>
      <c r="AK35" s="27"/>
      <c r="AL35" s="28"/>
      <c r="AM35"/>
      <c r="AN35" s="29"/>
    </row>
    <row r="36" spans="2:42">
      <c r="C36" s="67" t="s">
        <v>122</v>
      </c>
      <c r="D36" s="68"/>
      <c r="E36" s="64">
        <f t="shared" ref="E36:AI36" si="10">COUNTIF(E2:E32,"S")+COUNTIF(E52:E102,"S")</f>
        <v>4</v>
      </c>
      <c r="F36" s="64">
        <f t="shared" si="10"/>
        <v>2</v>
      </c>
      <c r="G36" s="64">
        <f t="shared" si="10"/>
        <v>4</v>
      </c>
      <c r="H36" s="64">
        <f t="shared" si="10"/>
        <v>4</v>
      </c>
      <c r="I36" s="64">
        <f t="shared" si="10"/>
        <v>4</v>
      </c>
      <c r="J36" s="64">
        <f t="shared" si="10"/>
        <v>0</v>
      </c>
      <c r="K36" s="64">
        <f t="shared" si="10"/>
        <v>4</v>
      </c>
      <c r="L36" s="64">
        <f t="shared" si="10"/>
        <v>4</v>
      </c>
      <c r="M36" s="64">
        <f t="shared" si="10"/>
        <v>2</v>
      </c>
      <c r="N36" s="64">
        <f t="shared" si="10"/>
        <v>4</v>
      </c>
      <c r="O36" s="64">
        <f t="shared" si="10"/>
        <v>4</v>
      </c>
      <c r="P36" s="64">
        <f t="shared" si="10"/>
        <v>0</v>
      </c>
      <c r="Q36" s="64">
        <f t="shared" si="10"/>
        <v>4</v>
      </c>
      <c r="R36" s="64">
        <f t="shared" si="10"/>
        <v>4</v>
      </c>
      <c r="S36" s="64">
        <f t="shared" si="10"/>
        <v>4</v>
      </c>
      <c r="T36" s="64">
        <f t="shared" si="10"/>
        <v>3</v>
      </c>
      <c r="U36" s="64">
        <f t="shared" si="10"/>
        <v>4</v>
      </c>
      <c r="V36" s="64">
        <f t="shared" si="10"/>
        <v>4</v>
      </c>
      <c r="W36" s="64">
        <f t="shared" si="10"/>
        <v>0</v>
      </c>
      <c r="X36" s="64">
        <f t="shared" si="10"/>
        <v>4</v>
      </c>
      <c r="Y36" s="64">
        <f t="shared" si="10"/>
        <v>4</v>
      </c>
      <c r="Z36" s="64">
        <f t="shared" si="10"/>
        <v>4</v>
      </c>
      <c r="AA36" s="64">
        <f t="shared" si="10"/>
        <v>2</v>
      </c>
      <c r="AB36" s="64">
        <f t="shared" si="10"/>
        <v>4</v>
      </c>
      <c r="AC36" s="64">
        <f t="shared" si="10"/>
        <v>4</v>
      </c>
      <c r="AD36" s="64">
        <f t="shared" si="10"/>
        <v>0</v>
      </c>
      <c r="AE36" s="64">
        <f t="shared" si="10"/>
        <v>4</v>
      </c>
      <c r="AF36" s="64">
        <f t="shared" si="10"/>
        <v>4</v>
      </c>
      <c r="AG36" s="64">
        <f t="shared" si="10"/>
        <v>4</v>
      </c>
      <c r="AH36" s="64">
        <f t="shared" si="10"/>
        <v>3</v>
      </c>
      <c r="AI36" s="64">
        <f t="shared" si="10"/>
        <v>3</v>
      </c>
      <c r="AJ36"/>
      <c r="AK36" s="27"/>
      <c r="AL36" s="28"/>
      <c r="AM36"/>
      <c r="AN36" s="29"/>
    </row>
    <row r="37" spans="2:42">
      <c r="C37" s="69" t="s">
        <v>123</v>
      </c>
      <c r="D37" s="70"/>
      <c r="E37" s="64">
        <f t="shared" ref="E37:AI37" si="11">COUNTIF(E2:E34,"K")+COUNTIF(E53:E103,"K")</f>
        <v>4</v>
      </c>
      <c r="F37" s="64">
        <f t="shared" si="11"/>
        <v>4</v>
      </c>
      <c r="G37" s="64">
        <f t="shared" si="11"/>
        <v>3</v>
      </c>
      <c r="H37" s="64">
        <f t="shared" si="11"/>
        <v>4</v>
      </c>
      <c r="I37" s="64">
        <f t="shared" si="11"/>
        <v>4</v>
      </c>
      <c r="J37" s="64">
        <f t="shared" si="11"/>
        <v>0</v>
      </c>
      <c r="K37" s="64">
        <f t="shared" si="11"/>
        <v>4</v>
      </c>
      <c r="L37" s="64">
        <f t="shared" si="11"/>
        <v>4</v>
      </c>
      <c r="M37" s="64">
        <f t="shared" si="11"/>
        <v>4</v>
      </c>
      <c r="N37" s="64">
        <f t="shared" si="11"/>
        <v>4</v>
      </c>
      <c r="O37" s="64">
        <f t="shared" si="11"/>
        <v>4</v>
      </c>
      <c r="P37" s="64">
        <f t="shared" si="11"/>
        <v>4</v>
      </c>
      <c r="Q37" s="64">
        <f t="shared" si="11"/>
        <v>0</v>
      </c>
      <c r="R37" s="64">
        <f t="shared" si="11"/>
        <v>4</v>
      </c>
      <c r="S37" s="64">
        <f t="shared" si="11"/>
        <v>4</v>
      </c>
      <c r="T37" s="64">
        <f t="shared" si="11"/>
        <v>1</v>
      </c>
      <c r="U37" s="64">
        <f t="shared" si="11"/>
        <v>4</v>
      </c>
      <c r="V37" s="64">
        <f t="shared" si="11"/>
        <v>4</v>
      </c>
      <c r="W37" s="64">
        <f t="shared" si="11"/>
        <v>4</v>
      </c>
      <c r="X37" s="64">
        <f t="shared" si="11"/>
        <v>0</v>
      </c>
      <c r="Y37" s="64">
        <f t="shared" si="11"/>
        <v>3</v>
      </c>
      <c r="Z37" s="64">
        <f t="shared" si="11"/>
        <v>3</v>
      </c>
      <c r="AA37" s="64">
        <f t="shared" si="11"/>
        <v>3</v>
      </c>
      <c r="AB37" s="64">
        <f t="shared" si="11"/>
        <v>3</v>
      </c>
      <c r="AC37" s="64">
        <f t="shared" si="11"/>
        <v>3</v>
      </c>
      <c r="AD37" s="64">
        <f t="shared" si="11"/>
        <v>3</v>
      </c>
      <c r="AE37" s="64">
        <f t="shared" si="11"/>
        <v>0</v>
      </c>
      <c r="AF37" s="64">
        <f t="shared" si="11"/>
        <v>4</v>
      </c>
      <c r="AG37" s="64">
        <f t="shared" si="11"/>
        <v>4</v>
      </c>
      <c r="AH37" s="64">
        <f t="shared" si="11"/>
        <v>1</v>
      </c>
      <c r="AI37" s="64">
        <f t="shared" si="11"/>
        <v>0</v>
      </c>
      <c r="AJ37"/>
      <c r="AK37" s="27"/>
      <c r="AL37" s="28"/>
      <c r="AM37"/>
      <c r="AN37" s="29"/>
    </row>
    <row r="38" spans="2:42" ht="15.9">
      <c r="C38" s="56"/>
      <c r="D38" s="57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97"/>
      <c r="AH38" s="98"/>
      <c r="AI38" s="27"/>
      <c r="AJ38"/>
      <c r="AK38" s="27"/>
      <c r="AL38" s="28"/>
      <c r="AM38"/>
      <c r="AN38" s="29"/>
    </row>
    <row r="39" spans="2:42" s="73" customFormat="1" ht="15" customHeight="1">
      <c r="C39" s="680" t="s">
        <v>122</v>
      </c>
      <c r="D39" s="680"/>
      <c r="E39" s="715" t="s">
        <v>125</v>
      </c>
      <c r="F39" s="715"/>
      <c r="G39" s="715"/>
      <c r="H39" s="715"/>
      <c r="I39" s="352"/>
      <c r="J39" s="715" t="s">
        <v>124</v>
      </c>
      <c r="K39" s="715"/>
      <c r="L39" s="715"/>
      <c r="M39" s="2"/>
      <c r="N39" s="716" t="s">
        <v>124</v>
      </c>
      <c r="O39" s="716"/>
      <c r="P39" s="352"/>
      <c r="Q39" s="715" t="s">
        <v>127</v>
      </c>
      <c r="R39" s="715"/>
      <c r="S39" s="715"/>
      <c r="T39" s="2"/>
      <c r="U39" s="716" t="s">
        <v>127</v>
      </c>
      <c r="V39" s="716"/>
      <c r="W39" s="352"/>
      <c r="X39" s="715" t="s">
        <v>173</v>
      </c>
      <c r="Y39" s="715"/>
      <c r="Z39" s="715"/>
      <c r="AA39" s="2"/>
      <c r="AB39" s="717" t="s">
        <v>173</v>
      </c>
      <c r="AC39" s="717"/>
      <c r="AD39" s="352"/>
      <c r="AE39" s="715" t="s">
        <v>296</v>
      </c>
      <c r="AF39" s="715"/>
      <c r="AG39" s="715"/>
      <c r="AH39" s="715"/>
      <c r="AI39" s="2"/>
      <c r="AJ39" s="80"/>
      <c r="AK39" s="27"/>
      <c r="AL39" s="28"/>
      <c r="AM39"/>
      <c r="AN39" s="29"/>
      <c r="AO39" s="1"/>
      <c r="AP39" s="1"/>
    </row>
    <row r="40" spans="2:42" s="73" customFormat="1" ht="15" customHeight="1">
      <c r="C40" s="680"/>
      <c r="D40" s="680"/>
      <c r="E40" s="713" t="s">
        <v>135</v>
      </c>
      <c r="F40" s="713"/>
      <c r="G40" s="713"/>
      <c r="H40" s="713"/>
      <c r="I40" s="353"/>
      <c r="J40" s="713" t="s">
        <v>194</v>
      </c>
      <c r="K40" s="713"/>
      <c r="L40" s="713"/>
      <c r="M40" s="354"/>
      <c r="N40" s="712" t="s">
        <v>133</v>
      </c>
      <c r="O40" s="712"/>
      <c r="P40" s="353"/>
      <c r="Q40" s="713" t="s">
        <v>297</v>
      </c>
      <c r="R40" s="713"/>
      <c r="S40" s="713"/>
      <c r="T40" s="354"/>
      <c r="U40" s="712" t="s">
        <v>130</v>
      </c>
      <c r="V40" s="712"/>
      <c r="W40" s="353"/>
      <c r="X40" s="713" t="s">
        <v>134</v>
      </c>
      <c r="Y40" s="713"/>
      <c r="Z40" s="713"/>
      <c r="AA40" s="354"/>
      <c r="AB40" s="714" t="s">
        <v>195</v>
      </c>
      <c r="AC40" s="714"/>
      <c r="AD40" s="353"/>
      <c r="AE40" s="713" t="s">
        <v>174</v>
      </c>
      <c r="AF40" s="713"/>
      <c r="AG40" s="713"/>
      <c r="AH40" s="713"/>
      <c r="AJ40" s="80"/>
      <c r="AK40" s="27"/>
      <c r="AL40" s="28"/>
      <c r="AM40"/>
      <c r="AN40" s="29"/>
      <c r="AO40" s="1"/>
      <c r="AP40" s="1"/>
    </row>
    <row r="41" spans="2:42" s="73" customFormat="1" ht="15" customHeight="1">
      <c r="C41" s="680"/>
      <c r="D41" s="680"/>
      <c r="E41" s="713" t="s">
        <v>211</v>
      </c>
      <c r="F41" s="713"/>
      <c r="G41" s="713"/>
      <c r="H41" s="713"/>
      <c r="I41" s="353"/>
      <c r="J41" s="713" t="s">
        <v>211</v>
      </c>
      <c r="K41" s="713"/>
      <c r="L41" s="713"/>
      <c r="M41" s="354"/>
      <c r="N41" s="712" t="s">
        <v>211</v>
      </c>
      <c r="O41" s="712"/>
      <c r="P41" s="353"/>
      <c r="Q41" s="713" t="s">
        <v>137</v>
      </c>
      <c r="R41" s="713"/>
      <c r="S41" s="713"/>
      <c r="T41" s="354"/>
      <c r="U41" s="712" t="s">
        <v>140</v>
      </c>
      <c r="V41" s="712"/>
      <c r="W41" s="353"/>
      <c r="X41" s="713" t="s">
        <v>141</v>
      </c>
      <c r="Y41" s="713"/>
      <c r="Z41" s="713"/>
      <c r="AA41" s="354"/>
      <c r="AB41" s="714" t="s">
        <v>197</v>
      </c>
      <c r="AC41" s="714"/>
      <c r="AD41" s="353"/>
      <c r="AE41" s="713" t="s">
        <v>252</v>
      </c>
      <c r="AF41" s="713"/>
      <c r="AG41" s="713"/>
      <c r="AH41" s="713"/>
      <c r="AJ41" s="80"/>
      <c r="AK41" s="27"/>
      <c r="AL41" s="28"/>
      <c r="AM41"/>
      <c r="AN41" s="29"/>
      <c r="AO41" s="1"/>
      <c r="AP41" s="1"/>
    </row>
    <row r="42" spans="2:42" s="73" customFormat="1" ht="15" customHeight="1">
      <c r="C42" s="680"/>
      <c r="D42" s="680"/>
      <c r="E42" s="713" t="s">
        <v>143</v>
      </c>
      <c r="F42" s="713"/>
      <c r="G42" s="713"/>
      <c r="H42" s="713"/>
      <c r="I42" s="353"/>
      <c r="J42" s="713" t="s">
        <v>175</v>
      </c>
      <c r="K42" s="713"/>
      <c r="L42" s="713"/>
      <c r="M42" s="354"/>
      <c r="N42" s="712" t="s">
        <v>147</v>
      </c>
      <c r="O42" s="712"/>
      <c r="P42" s="353"/>
      <c r="Q42" s="713" t="s">
        <v>145</v>
      </c>
      <c r="R42" s="713"/>
      <c r="S42" s="713"/>
      <c r="T42" s="354"/>
      <c r="U42" s="712" t="s">
        <v>145</v>
      </c>
      <c r="V42" s="712"/>
      <c r="W42" s="353"/>
      <c r="X42" s="713" t="s">
        <v>151</v>
      </c>
      <c r="Y42" s="713"/>
      <c r="Z42" s="713"/>
      <c r="AA42" s="354"/>
      <c r="AB42" s="714" t="s">
        <v>151</v>
      </c>
      <c r="AC42" s="714"/>
      <c r="AD42" s="353"/>
      <c r="AE42" s="713" t="s">
        <v>132</v>
      </c>
      <c r="AF42" s="713"/>
      <c r="AG42" s="713"/>
      <c r="AH42" s="713"/>
      <c r="AJ42" s="80"/>
      <c r="AK42" s="27"/>
      <c r="AL42" s="28"/>
      <c r="AM42"/>
      <c r="AN42" s="29"/>
      <c r="AO42" s="1"/>
      <c r="AP42" s="1"/>
    </row>
    <row r="43" spans="2:42" s="73" customFormat="1" ht="15" customHeight="1">
      <c r="C43" s="355"/>
      <c r="D43" s="355"/>
      <c r="E43" s="356"/>
      <c r="F43" s="357"/>
      <c r="G43" s="357"/>
      <c r="H43" s="358"/>
      <c r="I43" s="357"/>
      <c r="J43" s="359"/>
      <c r="K43" s="357"/>
      <c r="L43" s="358"/>
      <c r="M43" s="357"/>
      <c r="N43" s="359"/>
      <c r="O43" s="358"/>
      <c r="P43" s="357"/>
      <c r="Q43" s="359"/>
      <c r="R43" s="357"/>
      <c r="S43" s="358"/>
      <c r="T43" s="357"/>
      <c r="U43" s="359"/>
      <c r="V43" s="358"/>
      <c r="W43" s="357"/>
      <c r="X43" s="359"/>
      <c r="Y43" s="357"/>
      <c r="Z43" s="358"/>
      <c r="AA43" s="357"/>
      <c r="AB43" s="359"/>
      <c r="AC43" s="358"/>
      <c r="AD43" s="357"/>
      <c r="AE43" s="359"/>
      <c r="AF43" s="357"/>
      <c r="AG43" s="360"/>
      <c r="AH43" s="361"/>
      <c r="AI43" s="362"/>
      <c r="AJ43" s="363"/>
      <c r="AK43" s="364"/>
      <c r="AL43" s="28"/>
      <c r="AM43"/>
      <c r="AN43" s="29"/>
      <c r="AO43" s="1"/>
      <c r="AP43" s="1"/>
    </row>
    <row r="44" spans="2:42" s="73" customFormat="1" ht="15" customHeight="1">
      <c r="C44" s="671" t="s">
        <v>123</v>
      </c>
      <c r="D44" s="671"/>
      <c r="E44" s="710" t="s">
        <v>204</v>
      </c>
      <c r="F44" s="710"/>
      <c r="G44" s="710"/>
      <c r="H44" s="710"/>
      <c r="I44" s="78"/>
      <c r="J44" s="711" t="s">
        <v>203</v>
      </c>
      <c r="K44" s="711"/>
      <c r="L44" s="711"/>
      <c r="M44" s="2"/>
      <c r="N44" s="711" t="s">
        <v>203</v>
      </c>
      <c r="O44" s="711"/>
      <c r="P44" s="78"/>
      <c r="Q44" s="711" t="s">
        <v>206</v>
      </c>
      <c r="R44" s="711"/>
      <c r="S44" s="711"/>
      <c r="T44" s="2"/>
      <c r="U44" s="711" t="s">
        <v>205</v>
      </c>
      <c r="V44" s="711"/>
      <c r="W44" s="78"/>
      <c r="X44" s="711" t="s">
        <v>247</v>
      </c>
      <c r="Y44" s="711"/>
      <c r="Z44" s="711"/>
      <c r="AA44" s="2"/>
      <c r="AB44" s="711" t="s">
        <v>247</v>
      </c>
      <c r="AC44" s="711"/>
      <c r="AD44" s="78"/>
      <c r="AE44" s="711" t="s">
        <v>203</v>
      </c>
      <c r="AF44" s="711"/>
      <c r="AG44" s="711"/>
      <c r="AH44" s="711"/>
      <c r="AI44" s="2"/>
      <c r="AJ44" s="80"/>
      <c r="AK44" s="27"/>
      <c r="AL44" s="28"/>
      <c r="AM44"/>
      <c r="AN44" s="29"/>
      <c r="AO44" s="1"/>
      <c r="AP44" s="1"/>
    </row>
    <row r="45" spans="2:42" s="73" customFormat="1" ht="15" customHeight="1">
      <c r="C45" s="671"/>
      <c r="D45" s="671"/>
      <c r="E45" s="691" t="s">
        <v>209</v>
      </c>
      <c r="F45" s="691"/>
      <c r="G45" s="691"/>
      <c r="H45" s="691"/>
      <c r="I45" s="78"/>
      <c r="J45" s="691" t="s">
        <v>208</v>
      </c>
      <c r="K45" s="691"/>
      <c r="L45" s="691"/>
      <c r="N45" s="691" t="s">
        <v>208</v>
      </c>
      <c r="O45" s="691"/>
      <c r="P45" s="78"/>
      <c r="Q45" s="691" t="s">
        <v>298</v>
      </c>
      <c r="R45" s="691"/>
      <c r="S45" s="691"/>
      <c r="U45" s="691" t="s">
        <v>299</v>
      </c>
      <c r="V45" s="691"/>
      <c r="W45" s="78"/>
      <c r="X45" s="691" t="s">
        <v>202</v>
      </c>
      <c r="Y45" s="691"/>
      <c r="Z45" s="691"/>
      <c r="AB45" s="691" t="s">
        <v>202</v>
      </c>
      <c r="AC45" s="691"/>
      <c r="AD45" s="78"/>
      <c r="AE45" s="691" t="s">
        <v>208</v>
      </c>
      <c r="AF45" s="691"/>
      <c r="AG45" s="691"/>
      <c r="AH45" s="691"/>
      <c r="AJ45" s="80"/>
      <c r="AK45" s="27"/>
      <c r="AL45" s="28"/>
      <c r="AM45"/>
      <c r="AN45" s="29"/>
      <c r="AO45" s="1"/>
      <c r="AP45" s="1"/>
    </row>
    <row r="46" spans="2:42" s="73" customFormat="1" ht="15" customHeight="1">
      <c r="C46" s="671"/>
      <c r="D46" s="671"/>
      <c r="E46" s="691" t="s">
        <v>213</v>
      </c>
      <c r="F46" s="691"/>
      <c r="G46" s="691"/>
      <c r="H46" s="691"/>
      <c r="I46" s="78"/>
      <c r="J46" s="691" t="s">
        <v>253</v>
      </c>
      <c r="K46" s="691"/>
      <c r="L46" s="691"/>
      <c r="N46" s="691" t="s">
        <v>253</v>
      </c>
      <c r="O46" s="691"/>
      <c r="P46" s="78"/>
      <c r="Q46" s="691" t="s">
        <v>146</v>
      </c>
      <c r="R46" s="691"/>
      <c r="S46" s="691"/>
      <c r="U46" s="691" t="s">
        <v>213</v>
      </c>
      <c r="V46" s="691"/>
      <c r="W46" s="78"/>
      <c r="X46" s="691" t="s">
        <v>196</v>
      </c>
      <c r="Y46" s="691"/>
      <c r="Z46" s="691"/>
      <c r="AB46" s="691" t="s">
        <v>196</v>
      </c>
      <c r="AC46" s="691"/>
      <c r="AD46" s="78"/>
      <c r="AE46" s="691" t="s">
        <v>210</v>
      </c>
      <c r="AF46" s="691"/>
      <c r="AG46" s="691"/>
      <c r="AH46" s="691"/>
      <c r="AJ46" s="80"/>
      <c r="AK46" s="27"/>
      <c r="AL46" s="28"/>
      <c r="AM46"/>
      <c r="AN46" s="29"/>
      <c r="AO46" s="1"/>
      <c r="AP46" s="1"/>
    </row>
    <row r="47" spans="2:42" s="73" customFormat="1" ht="15" customHeight="1">
      <c r="C47" s="671"/>
      <c r="D47" s="671"/>
      <c r="E47" s="692" t="s">
        <v>300</v>
      </c>
      <c r="F47" s="692"/>
      <c r="G47" s="692"/>
      <c r="H47" s="692"/>
      <c r="I47" s="78"/>
      <c r="J47" s="692" t="s">
        <v>254</v>
      </c>
      <c r="K47" s="692"/>
      <c r="L47" s="692"/>
      <c r="N47" s="692" t="s">
        <v>254</v>
      </c>
      <c r="O47" s="692"/>
      <c r="P47" s="78"/>
      <c r="Q47" s="692" t="s">
        <v>249</v>
      </c>
      <c r="R47" s="692"/>
      <c r="S47" s="692"/>
      <c r="U47" s="692" t="s">
        <v>251</v>
      </c>
      <c r="V47" s="692"/>
      <c r="W47" s="78"/>
      <c r="X47" s="692" t="s">
        <v>214</v>
      </c>
      <c r="Y47" s="692"/>
      <c r="Z47" s="692"/>
      <c r="AB47" s="692" t="s">
        <v>214</v>
      </c>
      <c r="AC47" s="692"/>
      <c r="AD47" s="78"/>
      <c r="AE47" s="692" t="s">
        <v>254</v>
      </c>
      <c r="AF47" s="692"/>
      <c r="AG47" s="692"/>
      <c r="AH47" s="692"/>
      <c r="AJ47" s="80"/>
      <c r="AK47" s="27"/>
      <c r="AL47" s="28"/>
      <c r="AM47"/>
      <c r="AN47" s="29"/>
      <c r="AO47" s="1"/>
      <c r="AP47" s="1"/>
    </row>
    <row r="48" spans="2:42" ht="15.9">
      <c r="C48" s="61"/>
      <c r="D48" s="81"/>
      <c r="AK48" s="27"/>
      <c r="AL48" s="28"/>
      <c r="AM48"/>
      <c r="AN48" s="29"/>
    </row>
    <row r="49" spans="1:42" ht="15.9">
      <c r="C49" s="61"/>
      <c r="D49" s="81"/>
      <c r="AK49" s="27"/>
      <c r="AL49" s="28"/>
      <c r="AM49"/>
      <c r="AN49" s="29"/>
    </row>
    <row r="50" spans="1:42" ht="43.3">
      <c r="A50" s="1" t="s">
        <v>52</v>
      </c>
      <c r="E50" s="84">
        <v>44287</v>
      </c>
      <c r="F50" s="84">
        <v>44288</v>
      </c>
      <c r="G50" s="84">
        <v>44289</v>
      </c>
      <c r="H50" s="84">
        <v>44290</v>
      </c>
      <c r="I50" s="84">
        <v>44291</v>
      </c>
      <c r="J50" s="84">
        <v>44292</v>
      </c>
      <c r="K50" s="84">
        <v>44293</v>
      </c>
      <c r="L50" s="84">
        <v>44294</v>
      </c>
      <c r="M50" s="84">
        <v>44295</v>
      </c>
      <c r="N50" s="84">
        <v>44296</v>
      </c>
      <c r="O50" s="84">
        <v>44297</v>
      </c>
      <c r="P50" s="84">
        <v>44298</v>
      </c>
      <c r="Q50" s="84">
        <v>44299</v>
      </c>
      <c r="R50" s="84">
        <v>44300</v>
      </c>
      <c r="S50" s="84">
        <v>44301</v>
      </c>
      <c r="T50" s="84">
        <v>44302</v>
      </c>
      <c r="U50" s="84">
        <v>44303</v>
      </c>
      <c r="V50" s="84">
        <v>44304</v>
      </c>
      <c r="W50" s="84">
        <v>44305</v>
      </c>
      <c r="X50" s="84">
        <v>44306</v>
      </c>
      <c r="Y50" s="84">
        <v>44307</v>
      </c>
      <c r="Z50" s="84">
        <v>44308</v>
      </c>
      <c r="AA50" s="84">
        <v>44309</v>
      </c>
      <c r="AB50" s="84">
        <v>44310</v>
      </c>
      <c r="AC50" s="84">
        <v>44311</v>
      </c>
      <c r="AD50" s="84">
        <v>44312</v>
      </c>
      <c r="AE50" s="84">
        <v>44313</v>
      </c>
      <c r="AF50" s="84">
        <v>44314</v>
      </c>
      <c r="AG50" s="84">
        <v>44315</v>
      </c>
      <c r="AH50" s="84">
        <v>44316</v>
      </c>
      <c r="AI50" s="195"/>
      <c r="AJ50" s="288"/>
      <c r="AK50" s="15">
        <f>21*8</f>
        <v>168</v>
      </c>
      <c r="AL50" s="16" t="s">
        <v>53</v>
      </c>
      <c r="AM50" s="17" t="s">
        <v>54</v>
      </c>
      <c r="AN50" s="18" t="s">
        <v>55</v>
      </c>
      <c r="AO50" s="1" t="s">
        <v>293</v>
      </c>
      <c r="AP50" s="1" t="s">
        <v>57</v>
      </c>
    </row>
    <row r="51" spans="1:42" ht="15.9">
      <c r="A51" s="1">
        <v>312</v>
      </c>
      <c r="C51" s="289" t="s">
        <v>3</v>
      </c>
      <c r="D51" s="289" t="e">
        <f>#REF!</f>
        <v>#REF!</v>
      </c>
      <c r="E51" s="334">
        <v>8</v>
      </c>
      <c r="F51" s="335"/>
      <c r="G51" s="201"/>
      <c r="H51" s="201"/>
      <c r="I51" s="201"/>
      <c r="J51" s="335">
        <v>8</v>
      </c>
      <c r="K51" s="335" t="s">
        <v>75</v>
      </c>
      <c r="L51" s="335" t="s">
        <v>75</v>
      </c>
      <c r="M51" s="335" t="s">
        <v>75</v>
      </c>
      <c r="N51" s="201" t="s">
        <v>66</v>
      </c>
      <c r="O51" s="201" t="s">
        <v>66</v>
      </c>
      <c r="P51" s="335" t="s">
        <v>75</v>
      </c>
      <c r="Q51" s="335" t="s">
        <v>75</v>
      </c>
      <c r="R51" s="335"/>
      <c r="S51" s="335" t="s">
        <v>301</v>
      </c>
      <c r="T51" s="335"/>
      <c r="U51" s="201"/>
      <c r="V51" s="201"/>
      <c r="W51" s="335"/>
      <c r="X51" s="335">
        <v>7</v>
      </c>
      <c r="Y51" s="335">
        <v>8</v>
      </c>
      <c r="Z51" s="335">
        <v>8</v>
      </c>
      <c r="AA51" s="335"/>
      <c r="AB51" s="201"/>
      <c r="AC51" s="201"/>
      <c r="AD51" s="335"/>
      <c r="AE51" s="335">
        <v>6</v>
      </c>
      <c r="AF51" s="335" t="s">
        <v>99</v>
      </c>
      <c r="AG51" s="335" t="s">
        <v>99</v>
      </c>
      <c r="AH51" s="335">
        <v>8</v>
      </c>
      <c r="AI51" s="202"/>
      <c r="AJ51" s="26" t="e">
        <f>_xlfn.CONCAT(#REF!,#REF!)</f>
        <v>#REF!</v>
      </c>
      <c r="AK51" s="27" t="e">
        <f t="shared" ref="AK51:AK65" si="12">D51+AL51+AM51+AN51-$AK$50+AO51+AP51</f>
        <v>#REF!</v>
      </c>
      <c r="AL51" s="28">
        <f t="shared" ref="AL51:AL82" si="13">COUNTIF(E51:AI51,"D")*24+COUNTIF(E51:AI51,"12g")*12+COUNTIF(E51:AI51,"w")*24</f>
        <v>24</v>
      </c>
      <c r="AM51">
        <f t="shared" ref="AM51:AM82" si="14">SUM(COUNTIF(E51:AI51,"k")+COUNTIF(E51:AI51,"s")+COUNTIF(E51:AI51,"wse"))*24+SUM(COUNTIF(E51:AI51,"Pk")+COUNTIF(E51:AI51,"Ps"))*12</f>
        <v>48</v>
      </c>
      <c r="AN51" s="29">
        <f t="shared" ref="AN51:AN59" si="15">SUM(E51:AH51)+COUNTIF(E51:AH51,"uw")*8+COUNTIF(E51:AH51,"us")*8+COUNTIF(E51:AH51,"uz")*8+COUNTIF(E51:AH51,"u")*8</f>
        <v>93</v>
      </c>
      <c r="AO51" s="1">
        <f>COUNTIF(E51:AI51,"DT")*8</f>
        <v>0</v>
      </c>
    </row>
    <row r="52" spans="1:42" ht="15.9">
      <c r="C52" s="290" t="s">
        <v>4</v>
      </c>
      <c r="D52" s="365" t="e">
        <f>#REF!</f>
        <v>#REF!</v>
      </c>
      <c r="E52" s="336"/>
      <c r="F52" s="297"/>
      <c r="G52" s="36"/>
      <c r="H52" s="36"/>
      <c r="I52" s="36"/>
      <c r="J52" s="32"/>
      <c r="K52" s="32"/>
      <c r="L52" s="32"/>
      <c r="M52" s="32"/>
      <c r="N52" s="36"/>
      <c r="O52" s="36"/>
      <c r="P52" s="297"/>
      <c r="Q52" s="297"/>
      <c r="R52" s="297"/>
      <c r="S52" s="297"/>
      <c r="T52" s="297"/>
      <c r="U52" s="36"/>
      <c r="V52" s="36"/>
      <c r="W52" s="297"/>
      <c r="X52" s="297">
        <v>17</v>
      </c>
      <c r="Y52" s="297" t="s">
        <v>95</v>
      </c>
      <c r="Z52" s="297" t="s">
        <v>95</v>
      </c>
      <c r="AA52" s="297" t="s">
        <v>95</v>
      </c>
      <c r="AB52" s="36" t="s">
        <v>95</v>
      </c>
      <c r="AC52" s="36" t="s">
        <v>95</v>
      </c>
      <c r="AD52" s="297" t="s">
        <v>95</v>
      </c>
      <c r="AE52" s="297">
        <v>15</v>
      </c>
      <c r="AF52" s="297"/>
      <c r="AG52" s="297"/>
      <c r="AH52" s="297"/>
      <c r="AI52" s="205"/>
      <c r="AJ52" s="26" t="e">
        <f>_xlfn.CONCAT(#REF!,#REF!)</f>
        <v>#REF!</v>
      </c>
      <c r="AK52" s="27" t="e">
        <f t="shared" si="12"/>
        <v>#REF!</v>
      </c>
      <c r="AL52" s="28">
        <f t="shared" si="13"/>
        <v>0</v>
      </c>
      <c r="AM52">
        <f t="shared" si="14"/>
        <v>144</v>
      </c>
      <c r="AN52" s="29">
        <f t="shared" si="15"/>
        <v>32</v>
      </c>
      <c r="AO52" s="1">
        <f>COUNTIF(E52:AI52,"DT")*8</f>
        <v>0</v>
      </c>
    </row>
    <row r="53" spans="1:42" ht="15.9">
      <c r="C53" s="290" t="s">
        <v>5</v>
      </c>
      <c r="D53" s="365" t="e">
        <f>#REF!</f>
        <v>#REF!</v>
      </c>
      <c r="E53" s="336">
        <v>7.5</v>
      </c>
      <c r="F53" s="297" t="s">
        <v>169</v>
      </c>
      <c r="G53" s="36" t="s">
        <v>169</v>
      </c>
      <c r="H53" s="36" t="s">
        <v>169</v>
      </c>
      <c r="I53" s="36" t="s">
        <v>169</v>
      </c>
      <c r="J53" s="32">
        <v>20</v>
      </c>
      <c r="K53" s="32" t="s">
        <v>70</v>
      </c>
      <c r="L53" s="32" t="s">
        <v>70</v>
      </c>
      <c r="M53" s="37" t="s">
        <v>70</v>
      </c>
      <c r="N53" s="207" t="s">
        <v>70</v>
      </c>
      <c r="O53" s="207" t="s">
        <v>70</v>
      </c>
      <c r="P53" s="37">
        <v>15</v>
      </c>
      <c r="Q53" s="37"/>
      <c r="R53" s="37"/>
      <c r="S53" s="37"/>
      <c r="T53" s="37">
        <v>6</v>
      </c>
      <c r="U53" s="207">
        <v>8</v>
      </c>
      <c r="V53" s="207" t="s">
        <v>98</v>
      </c>
      <c r="W53" s="37" t="s">
        <v>98</v>
      </c>
      <c r="X53" s="37"/>
      <c r="Y53" s="37"/>
      <c r="Z53" s="32"/>
      <c r="AA53" s="37"/>
      <c r="AB53" s="207"/>
      <c r="AC53" s="207"/>
      <c r="AD53" s="337"/>
      <c r="AE53" s="337"/>
      <c r="AF53" s="337"/>
      <c r="AG53" s="337"/>
      <c r="AH53" s="337"/>
      <c r="AI53" s="205"/>
      <c r="AJ53" s="26" t="e">
        <f>_xlfn.CONCAT(#REF!,#REF!)</f>
        <v>#REF!</v>
      </c>
      <c r="AK53" s="27" t="e">
        <f t="shared" si="12"/>
        <v>#REF!</v>
      </c>
      <c r="AL53" s="28">
        <f t="shared" si="13"/>
        <v>0</v>
      </c>
      <c r="AM53">
        <f t="shared" si="14"/>
        <v>168</v>
      </c>
      <c r="AN53" s="29">
        <f t="shared" si="15"/>
        <v>56.5</v>
      </c>
      <c r="AO53" s="1">
        <f>COUNTIF(E53:AI53,"DT")*8</f>
        <v>0</v>
      </c>
    </row>
    <row r="54" spans="1:42" ht="15.9">
      <c r="C54" s="291" t="s">
        <v>6</v>
      </c>
      <c r="D54" s="289" t="e">
        <f>#REF!</f>
        <v>#REF!</v>
      </c>
      <c r="E54" s="336" t="s">
        <v>301</v>
      </c>
      <c r="F54" s="297"/>
      <c r="G54" s="36"/>
      <c r="H54" s="36" t="s">
        <v>113</v>
      </c>
      <c r="I54" s="36"/>
      <c r="J54" s="32"/>
      <c r="K54" s="32" t="s">
        <v>301</v>
      </c>
      <c r="L54" s="136"/>
      <c r="M54" s="707"/>
      <c r="N54" s="707"/>
      <c r="O54" s="707"/>
      <c r="P54" s="707"/>
      <c r="Q54" s="707"/>
      <c r="R54" s="707"/>
      <c r="S54" s="707"/>
      <c r="T54" s="707"/>
      <c r="U54" s="707"/>
      <c r="V54" s="707"/>
      <c r="W54" s="707"/>
      <c r="X54" s="707"/>
      <c r="Y54" s="707"/>
      <c r="Z54" s="366" t="s">
        <v>242</v>
      </c>
      <c r="AA54" s="707"/>
      <c r="AB54" s="707"/>
      <c r="AC54" s="707"/>
      <c r="AD54" s="707"/>
      <c r="AE54" s="707"/>
      <c r="AF54" s="707"/>
      <c r="AG54" s="707"/>
      <c r="AH54" s="707"/>
      <c r="AI54" s="211"/>
      <c r="AJ54" s="26" t="e">
        <f>_xlfn.CONCAT(#REF!,#REF!)</f>
        <v>#REF!</v>
      </c>
      <c r="AK54" s="27" t="e">
        <f t="shared" si="12"/>
        <v>#REF!</v>
      </c>
      <c r="AL54" s="28">
        <f t="shared" si="13"/>
        <v>72</v>
      </c>
      <c r="AM54">
        <f t="shared" si="14"/>
        <v>0</v>
      </c>
      <c r="AN54" s="29">
        <f t="shared" si="15"/>
        <v>0</v>
      </c>
      <c r="AO54" s="1">
        <v>127.5</v>
      </c>
    </row>
    <row r="55" spans="1:42" ht="15.9">
      <c r="C55" s="292" t="s">
        <v>7</v>
      </c>
      <c r="D55" s="289" t="e">
        <f>#REF!</f>
        <v>#REF!</v>
      </c>
      <c r="E55" s="336"/>
      <c r="F55" s="297"/>
      <c r="G55" s="36"/>
      <c r="H55" s="36"/>
      <c r="I55" s="36" t="s">
        <v>113</v>
      </c>
      <c r="J55" s="32"/>
      <c r="K55" s="32"/>
      <c r="L55" s="32"/>
      <c r="M55" s="41"/>
      <c r="N55" s="208"/>
      <c r="O55" s="208"/>
      <c r="P55" s="41">
        <v>8</v>
      </c>
      <c r="Q55" s="41">
        <v>17</v>
      </c>
      <c r="R55" s="41" t="s">
        <v>95</v>
      </c>
      <c r="S55" s="41" t="s">
        <v>95</v>
      </c>
      <c r="T55" s="41">
        <v>15</v>
      </c>
      <c r="U55" s="208"/>
      <c r="V55" s="208"/>
      <c r="W55" s="41"/>
      <c r="X55" s="41"/>
      <c r="Y55" s="41"/>
      <c r="Z55" s="32">
        <v>8</v>
      </c>
      <c r="AA55" s="41">
        <v>8</v>
      </c>
      <c r="AB55" s="208"/>
      <c r="AC55" s="208"/>
      <c r="AD55" s="339"/>
      <c r="AE55" s="339"/>
      <c r="AF55" s="339"/>
      <c r="AG55" s="339"/>
      <c r="AH55" s="339"/>
      <c r="AI55" s="205"/>
      <c r="AJ55" s="26" t="e">
        <f>_xlfn.CONCAT(#REF!,#REF!)</f>
        <v>#REF!</v>
      </c>
      <c r="AK55" s="27" t="e">
        <f t="shared" si="12"/>
        <v>#REF!</v>
      </c>
      <c r="AL55" s="28">
        <f t="shared" si="13"/>
        <v>24</v>
      </c>
      <c r="AM55">
        <f t="shared" si="14"/>
        <v>48</v>
      </c>
      <c r="AN55" s="29">
        <f t="shared" si="15"/>
        <v>56</v>
      </c>
      <c r="AO55" s="1">
        <f t="shared" ref="AO55:AO67" si="16">COUNTIF(E55:AI55,"DT")*8</f>
        <v>0</v>
      </c>
    </row>
    <row r="56" spans="1:42" ht="15.9">
      <c r="C56" s="290" t="s">
        <v>8</v>
      </c>
      <c r="D56" s="365" t="e">
        <f>#REF!</f>
        <v>#REF!</v>
      </c>
      <c r="E56" s="336"/>
      <c r="F56" s="297"/>
      <c r="G56" s="36"/>
      <c r="H56" s="36"/>
      <c r="I56" s="36" t="s">
        <v>301</v>
      </c>
      <c r="J56" s="32"/>
      <c r="K56" s="32"/>
      <c r="L56" s="32">
        <v>8</v>
      </c>
      <c r="M56" s="32"/>
      <c r="N56" s="36">
        <v>3</v>
      </c>
      <c r="O56" s="36"/>
      <c r="P56" s="32" t="s">
        <v>88</v>
      </c>
      <c r="Q56" s="32" t="s">
        <v>88</v>
      </c>
      <c r="R56" s="32" t="s">
        <v>88</v>
      </c>
      <c r="S56" s="32" t="s">
        <v>88</v>
      </c>
      <c r="T56" s="32" t="s">
        <v>88</v>
      </c>
      <c r="U56" s="36"/>
      <c r="V56" s="36" t="s">
        <v>301</v>
      </c>
      <c r="W56" s="32"/>
      <c r="X56" s="32"/>
      <c r="Y56" s="32">
        <v>8</v>
      </c>
      <c r="Z56" s="32">
        <v>8</v>
      </c>
      <c r="AA56" s="32">
        <v>8</v>
      </c>
      <c r="AB56" s="36"/>
      <c r="AC56" s="36"/>
      <c r="AD56" s="297"/>
      <c r="AE56" s="297" t="s">
        <v>301</v>
      </c>
      <c r="AF56" s="297"/>
      <c r="AG56" s="297" t="s">
        <v>88</v>
      </c>
      <c r="AH56" s="297" t="s">
        <v>88</v>
      </c>
      <c r="AI56" s="205"/>
      <c r="AJ56" s="26" t="e">
        <f>_xlfn.CONCAT(#REF!,#REF!)</f>
        <v>#REF!</v>
      </c>
      <c r="AK56" s="27" t="e">
        <f t="shared" si="12"/>
        <v>#REF!</v>
      </c>
      <c r="AL56" s="28">
        <f t="shared" si="13"/>
        <v>72</v>
      </c>
      <c r="AM56">
        <f t="shared" si="14"/>
        <v>0</v>
      </c>
      <c r="AN56" s="29">
        <f t="shared" si="15"/>
        <v>91</v>
      </c>
      <c r="AO56" s="1">
        <f t="shared" si="16"/>
        <v>0</v>
      </c>
    </row>
    <row r="57" spans="1:42" ht="15.9">
      <c r="C57" s="291" t="s">
        <v>9</v>
      </c>
      <c r="D57" s="289" t="e">
        <f>#REF!</f>
        <v>#REF!</v>
      </c>
      <c r="E57" s="336">
        <v>8</v>
      </c>
      <c r="F57" s="297">
        <v>8</v>
      </c>
      <c r="G57" s="36"/>
      <c r="H57" s="36"/>
      <c r="I57" s="36"/>
      <c r="J57" s="32"/>
      <c r="K57" s="32" t="s">
        <v>113</v>
      </c>
      <c r="L57" s="32"/>
      <c r="M57" s="32">
        <v>10</v>
      </c>
      <c r="N57" s="36" t="s">
        <v>98</v>
      </c>
      <c r="O57" s="36">
        <v>19</v>
      </c>
      <c r="P57" s="32">
        <v>8</v>
      </c>
      <c r="Q57" s="32">
        <v>8</v>
      </c>
      <c r="R57" s="32">
        <v>8</v>
      </c>
      <c r="S57" s="32">
        <v>8</v>
      </c>
      <c r="T57" s="32">
        <v>8</v>
      </c>
      <c r="U57" s="36"/>
      <c r="V57" s="36"/>
      <c r="W57" s="32">
        <v>8</v>
      </c>
      <c r="X57" s="32"/>
      <c r="Y57" s="32">
        <v>8</v>
      </c>
      <c r="Z57" s="32">
        <v>8</v>
      </c>
      <c r="AA57" s="32">
        <v>8</v>
      </c>
      <c r="AB57" s="36"/>
      <c r="AC57" s="36"/>
      <c r="AD57" s="297"/>
      <c r="AE57" s="297">
        <v>6</v>
      </c>
      <c r="AF57" s="297" t="s">
        <v>99</v>
      </c>
      <c r="AG57" s="297" t="s">
        <v>99</v>
      </c>
      <c r="AH57" s="297">
        <v>11</v>
      </c>
      <c r="AI57" s="205"/>
      <c r="AJ57" s="26" t="e">
        <f>_xlfn.CONCAT(#REF!,#REF!)</f>
        <v>#REF!</v>
      </c>
      <c r="AK57" s="27" t="e">
        <f t="shared" si="12"/>
        <v>#REF!</v>
      </c>
      <c r="AL57" s="28">
        <f t="shared" si="13"/>
        <v>24</v>
      </c>
      <c r="AM57">
        <f t="shared" si="14"/>
        <v>72</v>
      </c>
      <c r="AN57" s="29">
        <f t="shared" si="15"/>
        <v>134</v>
      </c>
      <c r="AO57" s="1">
        <f t="shared" si="16"/>
        <v>0</v>
      </c>
    </row>
    <row r="58" spans="1:42" ht="15.9">
      <c r="C58" s="292" t="s">
        <v>10</v>
      </c>
      <c r="D58" s="289" t="e">
        <f>#REF!</f>
        <v>#REF!</v>
      </c>
      <c r="E58" s="336" t="s">
        <v>101</v>
      </c>
      <c r="F58" s="297" t="s">
        <v>101</v>
      </c>
      <c r="G58" s="36" t="s">
        <v>101</v>
      </c>
      <c r="H58" s="36" t="s">
        <v>101</v>
      </c>
      <c r="I58" s="36" t="s">
        <v>101</v>
      </c>
      <c r="J58" s="32" t="s">
        <v>169</v>
      </c>
      <c r="K58" s="32"/>
      <c r="L58" s="32"/>
      <c r="M58" s="32"/>
      <c r="N58" s="36"/>
      <c r="O58" s="36"/>
      <c r="P58" s="32">
        <v>17</v>
      </c>
      <c r="Q58" s="32" t="s">
        <v>70</v>
      </c>
      <c r="R58" s="32" t="s">
        <v>70</v>
      </c>
      <c r="S58" s="32" t="s">
        <v>70</v>
      </c>
      <c r="T58" s="32" t="s">
        <v>70</v>
      </c>
      <c r="U58" s="36" t="s">
        <v>70</v>
      </c>
      <c r="V58" s="36" t="s">
        <v>70</v>
      </c>
      <c r="W58" s="32">
        <v>14</v>
      </c>
      <c r="X58" s="32"/>
      <c r="Y58" s="32"/>
      <c r="Z58" s="32">
        <v>8</v>
      </c>
      <c r="AA58" s="32">
        <v>8</v>
      </c>
      <c r="AB58" s="36"/>
      <c r="AC58" s="36"/>
      <c r="AD58" s="297">
        <v>6</v>
      </c>
      <c r="AE58" s="297"/>
      <c r="AF58" s="297">
        <v>9</v>
      </c>
      <c r="AG58" s="297"/>
      <c r="AH58" s="297"/>
      <c r="AI58" s="205"/>
      <c r="AJ58" s="26" t="e">
        <f>_xlfn.CONCAT(#REF!,#REF!)</f>
        <v>#REF!</v>
      </c>
      <c r="AK58" s="27" t="e">
        <f t="shared" si="12"/>
        <v>#REF!</v>
      </c>
      <c r="AL58" s="28">
        <f t="shared" si="13"/>
        <v>0</v>
      </c>
      <c r="AM58">
        <f t="shared" si="14"/>
        <v>144</v>
      </c>
      <c r="AN58" s="29">
        <f t="shared" si="15"/>
        <v>62</v>
      </c>
      <c r="AO58" s="1">
        <f t="shared" si="16"/>
        <v>0</v>
      </c>
    </row>
    <row r="59" spans="1:42" ht="15.9">
      <c r="C59" s="290" t="s">
        <v>11</v>
      </c>
      <c r="D59" s="365" t="e">
        <f>#REF!</f>
        <v>#REF!</v>
      </c>
      <c r="E59" s="336" t="s">
        <v>95</v>
      </c>
      <c r="F59" s="297" t="s">
        <v>95</v>
      </c>
      <c r="G59" s="36" t="s">
        <v>95</v>
      </c>
      <c r="H59" s="36" t="s">
        <v>95</v>
      </c>
      <c r="I59" s="36" t="s">
        <v>95</v>
      </c>
      <c r="J59" s="32">
        <v>15</v>
      </c>
      <c r="K59" s="32"/>
      <c r="L59" s="32"/>
      <c r="M59" s="32"/>
      <c r="N59" s="36"/>
      <c r="O59" s="36" t="s">
        <v>113</v>
      </c>
      <c r="P59" s="32"/>
      <c r="Q59" s="32"/>
      <c r="R59" s="32"/>
      <c r="S59" s="32"/>
      <c r="T59" s="32">
        <v>7</v>
      </c>
      <c r="U59" s="36"/>
      <c r="V59" s="36" t="s">
        <v>113</v>
      </c>
      <c r="W59" s="32"/>
      <c r="X59" s="32"/>
      <c r="Y59" s="32"/>
      <c r="Z59" s="32"/>
      <c r="AA59" s="32"/>
      <c r="AB59" s="36"/>
      <c r="AC59" s="36"/>
      <c r="AD59" s="297">
        <v>8</v>
      </c>
      <c r="AE59" s="297"/>
      <c r="AF59" s="297"/>
      <c r="AG59" s="297"/>
      <c r="AH59" s="297"/>
      <c r="AI59" s="205"/>
      <c r="AJ59" s="26" t="e">
        <f>_xlfn.CONCAT(#REF!,#REF!)</f>
        <v>#REF!</v>
      </c>
      <c r="AK59" s="27" t="e">
        <f t="shared" si="12"/>
        <v>#REF!</v>
      </c>
      <c r="AL59" s="28">
        <f t="shared" si="13"/>
        <v>48</v>
      </c>
      <c r="AM59">
        <f t="shared" si="14"/>
        <v>120</v>
      </c>
      <c r="AN59" s="29">
        <f t="shared" si="15"/>
        <v>30</v>
      </c>
      <c r="AO59" s="1">
        <f t="shared" si="16"/>
        <v>0</v>
      </c>
    </row>
    <row r="60" spans="1:42" ht="15.9">
      <c r="C60" s="291" t="s">
        <v>12</v>
      </c>
      <c r="D60" s="289">
        <v>4</v>
      </c>
      <c r="E60" s="336" t="s">
        <v>302</v>
      </c>
      <c r="F60" s="297"/>
      <c r="G60" s="36"/>
      <c r="H60" s="36"/>
      <c r="I60" s="36"/>
      <c r="J60" s="32" t="s">
        <v>301</v>
      </c>
      <c r="K60" s="32"/>
      <c r="L60" s="32"/>
      <c r="M60" s="32">
        <v>12</v>
      </c>
      <c r="N60" s="36" t="s">
        <v>98</v>
      </c>
      <c r="O60" s="36">
        <v>19</v>
      </c>
      <c r="P60" s="32"/>
      <c r="Q60" s="32"/>
      <c r="R60" s="32"/>
      <c r="S60" s="32"/>
      <c r="T60" s="32">
        <v>7</v>
      </c>
      <c r="U60" s="36">
        <v>9</v>
      </c>
      <c r="V60" s="36" t="s">
        <v>98</v>
      </c>
      <c r="W60" s="32">
        <v>23</v>
      </c>
      <c r="X60" s="32"/>
      <c r="Y60" s="32">
        <v>7</v>
      </c>
      <c r="Z60" s="32"/>
      <c r="AA60" s="32"/>
      <c r="AB60" s="36"/>
      <c r="AC60" s="36"/>
      <c r="AD60" s="297"/>
      <c r="AE60" s="297"/>
      <c r="AF60" s="297"/>
      <c r="AG60" s="297"/>
      <c r="AH60" s="297"/>
      <c r="AI60" s="205"/>
      <c r="AJ60" s="26" t="e">
        <f>_xlfn.CONCAT(#REF!,#REF!)</f>
        <v>#REF!</v>
      </c>
      <c r="AK60" s="27">
        <f t="shared" si="12"/>
        <v>-7</v>
      </c>
      <c r="AL60" s="28">
        <f t="shared" si="13"/>
        <v>24</v>
      </c>
      <c r="AM60">
        <f t="shared" si="14"/>
        <v>48</v>
      </c>
      <c r="AN60" s="29">
        <f>SUM(E60:AH60)+COUNTIF(E60:AH60,"uw")*8+COUNTIF(E60:AH60,"us")*8+COUNTIF(E60:AH60,"uz")*8+COUNTIF(E60:AH60,"u")*8+8</f>
        <v>85</v>
      </c>
      <c r="AO60" s="1">
        <f t="shared" si="16"/>
        <v>0</v>
      </c>
    </row>
    <row r="61" spans="1:42" ht="15.9">
      <c r="C61" s="291" t="s">
        <v>13</v>
      </c>
      <c r="D61" s="289" t="e">
        <f>#REF!</f>
        <v>#REF!</v>
      </c>
      <c r="E61" s="336" t="s">
        <v>83</v>
      </c>
      <c r="F61" s="297" t="s">
        <v>83</v>
      </c>
      <c r="G61" s="36"/>
      <c r="H61" s="36"/>
      <c r="I61" s="36"/>
      <c r="J61" s="32" t="s">
        <v>83</v>
      </c>
      <c r="K61" s="32" t="s">
        <v>83</v>
      </c>
      <c r="L61" s="32" t="s">
        <v>83</v>
      </c>
      <c r="M61" s="32" t="s">
        <v>83</v>
      </c>
      <c r="N61" s="36"/>
      <c r="O61" s="36"/>
      <c r="P61" s="32" t="s">
        <v>83</v>
      </c>
      <c r="Q61" s="32" t="s">
        <v>83</v>
      </c>
      <c r="R61" s="32">
        <v>8</v>
      </c>
      <c r="S61" s="32">
        <v>8</v>
      </c>
      <c r="T61" s="32">
        <v>8</v>
      </c>
      <c r="U61" s="36">
        <v>10</v>
      </c>
      <c r="V61" s="36" t="s">
        <v>98</v>
      </c>
      <c r="W61" s="32">
        <v>23</v>
      </c>
      <c r="X61" s="32"/>
      <c r="Y61" s="32">
        <v>8</v>
      </c>
      <c r="Z61" s="32">
        <v>8</v>
      </c>
      <c r="AA61" s="32">
        <v>8</v>
      </c>
      <c r="AB61" s="36"/>
      <c r="AC61" s="36"/>
      <c r="AD61" s="297"/>
      <c r="AE61" s="297"/>
      <c r="AF61" s="297"/>
      <c r="AG61" s="297"/>
      <c r="AH61" s="297"/>
      <c r="AI61" s="205"/>
      <c r="AJ61" s="26" t="e">
        <f>_xlfn.CONCAT(#REF!,#REF!)</f>
        <v>#REF!</v>
      </c>
      <c r="AK61" s="27" t="e">
        <f t="shared" si="12"/>
        <v>#REF!</v>
      </c>
      <c r="AL61" s="28">
        <f t="shared" si="13"/>
        <v>0</v>
      </c>
      <c r="AM61">
        <f t="shared" si="14"/>
        <v>24</v>
      </c>
      <c r="AN61" s="29">
        <f t="shared" ref="AN61:AN101" si="17">SUM(E61:AH61)+COUNTIF(E61:AH61,"uw")*8+COUNTIF(E61:AH61,"us")*8+COUNTIF(E61:AH61,"uz")*8+COUNTIF(E61:AH61,"u")*8</f>
        <v>145</v>
      </c>
      <c r="AO61" s="1">
        <f t="shared" si="16"/>
        <v>0</v>
      </c>
    </row>
    <row r="62" spans="1:42" ht="15.9">
      <c r="C62" s="291" t="s">
        <v>14</v>
      </c>
      <c r="D62" s="289" t="e">
        <f>#REF!</f>
        <v>#REF!</v>
      </c>
      <c r="E62" s="336">
        <v>8</v>
      </c>
      <c r="F62" s="297"/>
      <c r="G62" s="36"/>
      <c r="H62" s="36" t="s">
        <v>301</v>
      </c>
      <c r="I62" s="36"/>
      <c r="J62" s="32"/>
      <c r="K62" s="32">
        <v>8</v>
      </c>
      <c r="L62" s="32">
        <v>8</v>
      </c>
      <c r="M62" s="32">
        <v>8</v>
      </c>
      <c r="N62" s="36" t="s">
        <v>301</v>
      </c>
      <c r="O62" s="36"/>
      <c r="P62" s="32"/>
      <c r="Q62" s="32" t="s">
        <v>303</v>
      </c>
      <c r="R62" s="32"/>
      <c r="S62" s="32">
        <v>8</v>
      </c>
      <c r="T62" s="32">
        <v>8</v>
      </c>
      <c r="U62" s="36"/>
      <c r="V62" s="36"/>
      <c r="W62" s="32"/>
      <c r="X62" s="32"/>
      <c r="Y62" s="32" t="s">
        <v>301</v>
      </c>
      <c r="Z62" s="32"/>
      <c r="AA62" s="32">
        <v>8</v>
      </c>
      <c r="AB62" s="36"/>
      <c r="AC62" s="36"/>
      <c r="AD62" s="297"/>
      <c r="AE62" s="297">
        <v>6</v>
      </c>
      <c r="AF62" s="297" t="s">
        <v>98</v>
      </c>
      <c r="AG62" s="297" t="s">
        <v>98</v>
      </c>
      <c r="AH62" s="297">
        <v>11</v>
      </c>
      <c r="AI62" s="205"/>
      <c r="AJ62" s="26" t="e">
        <f>_xlfn.CONCAT(#REF!,#REF!)</f>
        <v>#REF!</v>
      </c>
      <c r="AK62" s="27" t="e">
        <f t="shared" si="12"/>
        <v>#REF!</v>
      </c>
      <c r="AL62" s="28">
        <f t="shared" si="13"/>
        <v>96</v>
      </c>
      <c r="AM62">
        <f t="shared" si="14"/>
        <v>48</v>
      </c>
      <c r="AN62" s="29">
        <f t="shared" si="17"/>
        <v>73</v>
      </c>
      <c r="AO62" s="1">
        <f t="shared" si="16"/>
        <v>0</v>
      </c>
    </row>
    <row r="63" spans="1:42" ht="15.9">
      <c r="C63" s="290" t="s">
        <v>15</v>
      </c>
      <c r="D63" s="365" t="e">
        <f>#REF!</f>
        <v>#REF!</v>
      </c>
      <c r="E63" s="336"/>
      <c r="F63" s="297"/>
      <c r="G63" s="36" t="s">
        <v>301</v>
      </c>
      <c r="H63" s="36"/>
      <c r="I63" s="36"/>
      <c r="J63" s="32" t="s">
        <v>83</v>
      </c>
      <c r="K63" s="32" t="s">
        <v>83</v>
      </c>
      <c r="L63" s="32" t="s">
        <v>83</v>
      </c>
      <c r="M63" s="32" t="s">
        <v>83</v>
      </c>
      <c r="N63" s="36" t="s">
        <v>66</v>
      </c>
      <c r="O63" s="36" t="s">
        <v>66</v>
      </c>
      <c r="P63" s="32" t="s">
        <v>83</v>
      </c>
      <c r="Q63" s="32"/>
      <c r="R63" s="32"/>
      <c r="S63" s="32"/>
      <c r="T63" s="32"/>
      <c r="U63" s="36"/>
      <c r="V63" s="36"/>
      <c r="W63" s="32"/>
      <c r="X63" s="32">
        <v>16</v>
      </c>
      <c r="Y63" s="32" t="s">
        <v>95</v>
      </c>
      <c r="Z63" s="32" t="s">
        <v>95</v>
      </c>
      <c r="AA63" s="32" t="s">
        <v>95</v>
      </c>
      <c r="AB63" s="36" t="s">
        <v>95</v>
      </c>
      <c r="AC63" s="36" t="s">
        <v>95</v>
      </c>
      <c r="AD63" s="297" t="s">
        <v>95</v>
      </c>
      <c r="AE63" s="297" t="s">
        <v>92</v>
      </c>
      <c r="AF63" s="297"/>
      <c r="AG63" s="297"/>
      <c r="AH63" s="297"/>
      <c r="AI63" s="205"/>
      <c r="AJ63" s="26" t="e">
        <f>_xlfn.CONCAT(#REF!,#REF!)</f>
        <v>#REF!</v>
      </c>
      <c r="AK63" s="27" t="e">
        <f t="shared" si="12"/>
        <v>#REF!</v>
      </c>
      <c r="AL63" s="28">
        <f t="shared" si="13"/>
        <v>24</v>
      </c>
      <c r="AM63">
        <f t="shared" si="14"/>
        <v>156</v>
      </c>
      <c r="AN63" s="29">
        <f t="shared" si="17"/>
        <v>56</v>
      </c>
      <c r="AO63" s="1">
        <f t="shared" si="16"/>
        <v>0</v>
      </c>
    </row>
    <row r="64" spans="1:42" ht="15.9">
      <c r="C64" s="290" t="s">
        <v>16</v>
      </c>
      <c r="D64" s="365" t="e">
        <f>#REF!</f>
        <v>#REF!</v>
      </c>
      <c r="E64" s="336" t="s">
        <v>304</v>
      </c>
      <c r="F64" s="297"/>
      <c r="G64" s="36"/>
      <c r="H64" s="36"/>
      <c r="I64" s="36"/>
      <c r="J64" s="32"/>
      <c r="K64" s="32"/>
      <c r="L64" s="32"/>
      <c r="M64" s="32">
        <v>11</v>
      </c>
      <c r="N64" s="36" t="s">
        <v>98</v>
      </c>
      <c r="O64" s="36">
        <v>19</v>
      </c>
      <c r="P64" s="32"/>
      <c r="Q64" s="32"/>
      <c r="R64" s="32"/>
      <c r="S64" s="32"/>
      <c r="T64" s="32"/>
      <c r="U64" s="36"/>
      <c r="V64" s="36"/>
      <c r="W64" s="32">
        <v>8</v>
      </c>
      <c r="X64" s="32">
        <v>8</v>
      </c>
      <c r="Y64" s="32">
        <v>8</v>
      </c>
      <c r="Z64" s="32">
        <v>8</v>
      </c>
      <c r="AA64" s="32">
        <v>8</v>
      </c>
      <c r="AB64" s="36"/>
      <c r="AC64" s="36"/>
      <c r="AD64" s="297"/>
      <c r="AE64" s="297"/>
      <c r="AF64" s="297"/>
      <c r="AG64" s="297"/>
      <c r="AH64" s="297"/>
      <c r="AI64" s="205"/>
      <c r="AJ64" s="26" t="e">
        <f>_xlfn.CONCAT(#REF!,#REF!)</f>
        <v>#REF!</v>
      </c>
      <c r="AK64" s="27" t="e">
        <f t="shared" si="12"/>
        <v>#REF!</v>
      </c>
      <c r="AL64" s="28">
        <f t="shared" si="13"/>
        <v>0</v>
      </c>
      <c r="AM64">
        <f t="shared" si="14"/>
        <v>24</v>
      </c>
      <c r="AN64" s="29">
        <f t="shared" si="17"/>
        <v>70</v>
      </c>
      <c r="AO64" s="1">
        <f t="shared" si="16"/>
        <v>0</v>
      </c>
    </row>
    <row r="65" spans="3:41" ht="15.9">
      <c r="C65" s="290" t="s">
        <v>17</v>
      </c>
      <c r="D65" s="365" t="e">
        <f>#REF!</f>
        <v>#REF!</v>
      </c>
      <c r="E65" s="336" t="s">
        <v>95</v>
      </c>
      <c r="F65" s="297" t="s">
        <v>95</v>
      </c>
      <c r="G65" s="36" t="s">
        <v>95</v>
      </c>
      <c r="H65" s="36" t="s">
        <v>95</v>
      </c>
      <c r="I65" s="36" t="s">
        <v>95</v>
      </c>
      <c r="J65" s="32">
        <v>15</v>
      </c>
      <c r="K65" s="32"/>
      <c r="L65" s="32"/>
      <c r="M65" s="32"/>
      <c r="N65" s="36"/>
      <c r="O65" s="36"/>
      <c r="P65" s="32"/>
      <c r="Q65" s="32">
        <v>16</v>
      </c>
      <c r="R65" s="32" t="s">
        <v>95</v>
      </c>
      <c r="S65" s="32" t="s">
        <v>95</v>
      </c>
      <c r="T65" s="32">
        <v>15</v>
      </c>
      <c r="U65" s="36"/>
      <c r="V65" s="36"/>
      <c r="W65" s="32"/>
      <c r="X65" s="32"/>
      <c r="Y65" s="32"/>
      <c r="Z65" s="32" t="s">
        <v>113</v>
      </c>
      <c r="AA65" s="32"/>
      <c r="AB65" s="36"/>
      <c r="AC65" s="36"/>
      <c r="AD65" s="297"/>
      <c r="AE65" s="297"/>
      <c r="AF65" s="297"/>
      <c r="AG65" s="297" t="s">
        <v>75</v>
      </c>
      <c r="AH65" s="297" t="s">
        <v>75</v>
      </c>
      <c r="AI65" s="205"/>
      <c r="AJ65" s="26" t="e">
        <f>_xlfn.CONCAT(#REF!,#REF!)</f>
        <v>#REF!</v>
      </c>
      <c r="AK65" s="27" t="e">
        <f t="shared" si="12"/>
        <v>#REF!</v>
      </c>
      <c r="AL65" s="28">
        <f t="shared" si="13"/>
        <v>24</v>
      </c>
      <c r="AM65">
        <f t="shared" si="14"/>
        <v>168</v>
      </c>
      <c r="AN65" s="29">
        <f t="shared" si="17"/>
        <v>62</v>
      </c>
      <c r="AO65" s="1">
        <f t="shared" si="16"/>
        <v>0</v>
      </c>
    </row>
    <row r="66" spans="3:41" ht="15.9">
      <c r="C66" s="290" t="s">
        <v>18</v>
      </c>
      <c r="D66" s="365" t="e">
        <f>#REF!</f>
        <v>#REF!</v>
      </c>
      <c r="E66" s="367"/>
      <c r="F66" s="368"/>
      <c r="G66" s="368"/>
      <c r="H66" s="368"/>
      <c r="I66" s="368"/>
      <c r="J66" s="368"/>
      <c r="K66" s="368"/>
      <c r="L66" s="368"/>
      <c r="M66" s="368"/>
      <c r="N66" s="368"/>
      <c r="O66" s="368"/>
      <c r="P66" s="368"/>
      <c r="Q66" s="368"/>
      <c r="R66" s="368"/>
      <c r="S66" s="368"/>
      <c r="T66" s="368"/>
      <c r="U66" s="368"/>
      <c r="V66" s="368"/>
      <c r="W66" s="368"/>
      <c r="X66" s="368"/>
      <c r="Y66" s="368"/>
      <c r="Z66" s="368"/>
      <c r="AA66" s="368"/>
      <c r="AB66" s="368"/>
      <c r="AC66" s="368"/>
      <c r="AD66" s="368"/>
      <c r="AE66" s="368"/>
      <c r="AF66" s="368"/>
      <c r="AG66" s="368"/>
      <c r="AH66" s="368"/>
      <c r="AI66" s="205"/>
      <c r="AJ66" s="26" t="e">
        <f>_xlfn.CONCAT(#REF!,#REF!)</f>
        <v>#REF!</v>
      </c>
      <c r="AK66" s="27">
        <v>0</v>
      </c>
      <c r="AL66" s="28">
        <f t="shared" si="13"/>
        <v>0</v>
      </c>
      <c r="AM66">
        <f t="shared" si="14"/>
        <v>0</v>
      </c>
      <c r="AN66" s="29">
        <f t="shared" si="17"/>
        <v>0</v>
      </c>
      <c r="AO66" s="1">
        <f t="shared" si="16"/>
        <v>0</v>
      </c>
    </row>
    <row r="67" spans="3:41" ht="15.9">
      <c r="C67" s="291" t="s">
        <v>19</v>
      </c>
      <c r="D67" s="289" t="e">
        <f>#REF!</f>
        <v>#REF!</v>
      </c>
      <c r="E67" s="336">
        <v>7</v>
      </c>
      <c r="F67" s="297" t="s">
        <v>113</v>
      </c>
      <c r="G67" s="36"/>
      <c r="H67" s="36"/>
      <c r="I67" s="36"/>
      <c r="J67" s="32"/>
      <c r="K67" s="32"/>
      <c r="L67" s="32" t="s">
        <v>301</v>
      </c>
      <c r="M67" s="37"/>
      <c r="N67" s="207"/>
      <c r="O67" s="207"/>
      <c r="P67" s="37" t="s">
        <v>113</v>
      </c>
      <c r="Q67" s="37"/>
      <c r="R67" s="37">
        <v>8</v>
      </c>
      <c r="S67" s="37">
        <v>5</v>
      </c>
      <c r="T67" s="37"/>
      <c r="U67" s="207"/>
      <c r="V67" s="207"/>
      <c r="W67" s="37">
        <v>8</v>
      </c>
      <c r="X67" s="37">
        <v>8</v>
      </c>
      <c r="Y67" s="37">
        <v>8</v>
      </c>
      <c r="Z67" s="37">
        <v>8</v>
      </c>
      <c r="AA67" s="37">
        <v>8</v>
      </c>
      <c r="AB67" s="207"/>
      <c r="AC67" s="207"/>
      <c r="AD67" s="337"/>
      <c r="AE67" s="337" t="s">
        <v>153</v>
      </c>
      <c r="AF67" s="337" t="s">
        <v>154</v>
      </c>
      <c r="AG67" s="337" t="s">
        <v>154</v>
      </c>
      <c r="AH67" s="337" t="s">
        <v>153</v>
      </c>
      <c r="AI67" s="205"/>
      <c r="AJ67" s="26" t="e">
        <f>_xlfn.CONCAT(#REF!,#REF!)</f>
        <v>#REF!</v>
      </c>
      <c r="AK67" s="27" t="e">
        <f t="shared" ref="AK67:AK101" si="18">D67+AL67+AM67+AN67-$AK$50+AO67+AP67</f>
        <v>#REF!</v>
      </c>
      <c r="AL67" s="28">
        <f t="shared" si="13"/>
        <v>72</v>
      </c>
      <c r="AM67">
        <f t="shared" si="14"/>
        <v>72</v>
      </c>
      <c r="AN67" s="29">
        <f t="shared" si="17"/>
        <v>60</v>
      </c>
      <c r="AO67" s="1">
        <f t="shared" si="16"/>
        <v>0</v>
      </c>
    </row>
    <row r="68" spans="3:41" ht="15.9">
      <c r="C68" s="291" t="s">
        <v>20</v>
      </c>
      <c r="D68" s="289" t="e">
        <f>#REF!</f>
        <v>#REF!</v>
      </c>
      <c r="E68" s="336"/>
      <c r="F68" s="297"/>
      <c r="G68" s="36"/>
      <c r="H68" s="36"/>
      <c r="I68" s="36"/>
      <c r="J68" s="32"/>
      <c r="K68" s="32"/>
      <c r="L68" s="136">
        <v>8</v>
      </c>
      <c r="M68" s="707"/>
      <c r="N68" s="707"/>
      <c r="O68" s="707"/>
      <c r="P68" s="707"/>
      <c r="Q68" s="707"/>
      <c r="R68" s="707"/>
      <c r="S68" s="707"/>
      <c r="T68" s="707"/>
      <c r="U68" s="707"/>
      <c r="V68" s="707"/>
      <c r="W68" s="707"/>
      <c r="X68" s="707"/>
      <c r="Y68" s="707"/>
      <c r="Z68" s="369" t="s">
        <v>242</v>
      </c>
      <c r="AA68" s="707"/>
      <c r="AB68" s="707"/>
      <c r="AC68" s="707"/>
      <c r="AD68" s="707"/>
      <c r="AE68" s="707"/>
      <c r="AF68" s="707"/>
      <c r="AG68" s="707"/>
      <c r="AH68" s="707"/>
      <c r="AI68" s="211"/>
      <c r="AJ68" s="26" t="e">
        <f>_xlfn.CONCAT(#REF!,#REF!)</f>
        <v>#REF!</v>
      </c>
      <c r="AK68" s="27" t="e">
        <f t="shared" si="18"/>
        <v>#REF!</v>
      </c>
      <c r="AL68" s="28">
        <f t="shared" si="13"/>
        <v>0</v>
      </c>
      <c r="AM68">
        <f t="shared" si="14"/>
        <v>0</v>
      </c>
      <c r="AN68" s="29">
        <f t="shared" si="17"/>
        <v>8</v>
      </c>
      <c r="AO68" s="1">
        <v>134</v>
      </c>
    </row>
    <row r="69" spans="3:41" ht="15.9">
      <c r="C69" s="291" t="s">
        <v>21</v>
      </c>
      <c r="D69" s="289">
        <v>0</v>
      </c>
      <c r="E69" s="336">
        <v>8</v>
      </c>
      <c r="F69" s="297"/>
      <c r="G69" s="36"/>
      <c r="H69" s="36"/>
      <c r="I69" s="36"/>
      <c r="J69" s="32"/>
      <c r="K69" s="32"/>
      <c r="L69" s="32"/>
      <c r="M69" s="41"/>
      <c r="N69" s="208"/>
      <c r="O69" s="208" t="s">
        <v>301</v>
      </c>
      <c r="P69" s="41"/>
      <c r="Q69" s="41"/>
      <c r="R69" s="41"/>
      <c r="S69" s="41"/>
      <c r="T69" s="41"/>
      <c r="U69" s="208" t="s">
        <v>301</v>
      </c>
      <c r="V69" s="208"/>
      <c r="W69" s="41"/>
      <c r="X69" s="41">
        <v>8</v>
      </c>
      <c r="Y69" s="41">
        <v>8</v>
      </c>
      <c r="Z69" s="41">
        <v>8</v>
      </c>
      <c r="AA69" s="41">
        <v>8</v>
      </c>
      <c r="AB69" s="208" t="s">
        <v>59</v>
      </c>
      <c r="AC69" s="208"/>
      <c r="AD69" s="339"/>
      <c r="AE69" s="339"/>
      <c r="AF69" s="339" t="s">
        <v>303</v>
      </c>
      <c r="AG69" s="339"/>
      <c r="AH69" s="339"/>
      <c r="AI69" s="205"/>
      <c r="AJ69" s="26" t="e">
        <f>_xlfn.CONCAT(#REF!,#REF!)</f>
        <v>#REF!</v>
      </c>
      <c r="AK69" s="27">
        <f t="shared" si="18"/>
        <v>-32</v>
      </c>
      <c r="AL69" s="28">
        <f t="shared" si="13"/>
        <v>96</v>
      </c>
      <c r="AM69">
        <f t="shared" si="14"/>
        <v>0</v>
      </c>
      <c r="AN69" s="29">
        <f t="shared" si="17"/>
        <v>40</v>
      </c>
      <c r="AO69" s="1">
        <f t="shared" ref="AO69:AO74" si="19">COUNTIF(E69:AI69,"DT")*8</f>
        <v>0</v>
      </c>
    </row>
    <row r="70" spans="3:41" ht="15.9">
      <c r="C70" s="290" t="s">
        <v>22</v>
      </c>
      <c r="D70" s="365" t="e">
        <f>#REF!</f>
        <v>#REF!</v>
      </c>
      <c r="E70" s="336" t="s">
        <v>59</v>
      </c>
      <c r="F70" s="297"/>
      <c r="G70" s="36"/>
      <c r="H70" s="36"/>
      <c r="I70" s="36"/>
      <c r="J70" s="32">
        <v>16</v>
      </c>
      <c r="K70" s="32" t="s">
        <v>95</v>
      </c>
      <c r="L70" s="32" t="s">
        <v>95</v>
      </c>
      <c r="M70" s="32" t="s">
        <v>95</v>
      </c>
      <c r="N70" s="36" t="s">
        <v>95</v>
      </c>
      <c r="O70" s="36" t="s">
        <v>95</v>
      </c>
      <c r="P70" s="32" t="s">
        <v>95</v>
      </c>
      <c r="Q70" s="32">
        <v>12</v>
      </c>
      <c r="R70" s="32"/>
      <c r="S70" s="32"/>
      <c r="T70" s="32"/>
      <c r="U70" s="36"/>
      <c r="V70" s="36"/>
      <c r="W70" s="32"/>
      <c r="X70" s="32"/>
      <c r="Y70" s="32"/>
      <c r="Z70" s="32"/>
      <c r="AA70" s="32">
        <v>9</v>
      </c>
      <c r="AB70" s="36"/>
      <c r="AC70" s="36"/>
      <c r="AD70" s="297"/>
      <c r="AE70" s="297"/>
      <c r="AF70" s="297"/>
      <c r="AG70" s="297"/>
      <c r="AH70" s="297">
        <v>11</v>
      </c>
      <c r="AI70" s="205"/>
      <c r="AJ70" s="26" t="e">
        <f>_xlfn.CONCAT(#REF!,#REF!)</f>
        <v>#REF!</v>
      </c>
      <c r="AK70" s="27" t="e">
        <f t="shared" si="18"/>
        <v>#REF!</v>
      </c>
      <c r="AL70" s="28">
        <f t="shared" si="13"/>
        <v>24</v>
      </c>
      <c r="AM70">
        <f t="shared" si="14"/>
        <v>144</v>
      </c>
      <c r="AN70" s="29">
        <f t="shared" si="17"/>
        <v>48</v>
      </c>
      <c r="AO70" s="1">
        <f t="shared" si="19"/>
        <v>0</v>
      </c>
    </row>
    <row r="71" spans="3:41" ht="15.9">
      <c r="C71" s="290" t="s">
        <v>23</v>
      </c>
      <c r="D71" s="365" t="e">
        <f>#REF!</f>
        <v>#REF!</v>
      </c>
      <c r="E71" s="336"/>
      <c r="F71" s="297"/>
      <c r="G71" s="36"/>
      <c r="H71" s="36"/>
      <c r="I71" s="36"/>
      <c r="J71" s="32"/>
      <c r="K71" s="32"/>
      <c r="L71" s="32"/>
      <c r="M71" s="32"/>
      <c r="N71" s="36"/>
      <c r="O71" s="36"/>
      <c r="P71" s="32"/>
      <c r="Q71" s="32"/>
      <c r="R71" s="32"/>
      <c r="S71" s="32"/>
      <c r="T71" s="32"/>
      <c r="U71" s="36"/>
      <c r="V71" s="36"/>
      <c r="W71" s="32"/>
      <c r="X71" s="32">
        <v>17</v>
      </c>
      <c r="Y71" s="32" t="s">
        <v>95</v>
      </c>
      <c r="Z71" s="32" t="s">
        <v>95</v>
      </c>
      <c r="AA71" s="32" t="s">
        <v>95</v>
      </c>
      <c r="AB71" s="36" t="s">
        <v>95</v>
      </c>
      <c r="AC71" s="36" t="s">
        <v>95</v>
      </c>
      <c r="AD71" s="297" t="s">
        <v>95</v>
      </c>
      <c r="AE71" s="297">
        <v>13.5</v>
      </c>
      <c r="AF71" s="297">
        <v>4</v>
      </c>
      <c r="AG71" s="297"/>
      <c r="AH71" s="297"/>
      <c r="AI71" s="205"/>
      <c r="AJ71" s="26" t="e">
        <f>_xlfn.CONCAT(#REF!,#REF!)</f>
        <v>#REF!</v>
      </c>
      <c r="AK71" s="27" t="e">
        <f t="shared" si="18"/>
        <v>#REF!</v>
      </c>
      <c r="AL71" s="28">
        <f t="shared" si="13"/>
        <v>0</v>
      </c>
      <c r="AM71">
        <f t="shared" si="14"/>
        <v>144</v>
      </c>
      <c r="AN71" s="29">
        <f t="shared" si="17"/>
        <v>34.5</v>
      </c>
      <c r="AO71" s="1">
        <f t="shared" si="19"/>
        <v>0</v>
      </c>
    </row>
    <row r="72" spans="3:41" ht="15.9">
      <c r="C72" s="290" t="s">
        <v>24</v>
      </c>
      <c r="D72" s="365">
        <v>9</v>
      </c>
      <c r="E72" s="336"/>
      <c r="F72" s="297"/>
      <c r="G72" s="36">
        <v>13</v>
      </c>
      <c r="H72" s="36" t="s">
        <v>95</v>
      </c>
      <c r="I72" s="36" t="s">
        <v>95</v>
      </c>
      <c r="J72" s="32">
        <v>11</v>
      </c>
      <c r="K72" s="32"/>
      <c r="L72" s="32"/>
      <c r="M72" s="32"/>
      <c r="N72" s="36"/>
      <c r="O72" s="36"/>
      <c r="P72" s="32"/>
      <c r="Q72" s="32"/>
      <c r="R72" s="32"/>
      <c r="S72" s="32"/>
      <c r="T72" s="32"/>
      <c r="U72" s="36"/>
      <c r="V72" s="36"/>
      <c r="W72" s="32">
        <v>8</v>
      </c>
      <c r="X72" s="32">
        <v>8</v>
      </c>
      <c r="Y72" s="32">
        <v>8</v>
      </c>
      <c r="Z72" s="32">
        <v>8</v>
      </c>
      <c r="AA72" s="32">
        <v>8</v>
      </c>
      <c r="AB72" s="36"/>
      <c r="AC72" s="36"/>
      <c r="AD72" s="297"/>
      <c r="AE72" s="297"/>
      <c r="AF72" s="297"/>
      <c r="AG72" s="297"/>
      <c r="AH72" s="297"/>
      <c r="AI72" s="205"/>
      <c r="AJ72" s="26" t="e">
        <f>_xlfn.CONCAT(#REF!,#REF!)</f>
        <v>#REF!</v>
      </c>
      <c r="AK72" s="27">
        <f t="shared" si="18"/>
        <v>-47</v>
      </c>
      <c r="AL72" s="28">
        <f t="shared" si="13"/>
        <v>0</v>
      </c>
      <c r="AM72">
        <f t="shared" si="14"/>
        <v>48</v>
      </c>
      <c r="AN72" s="29">
        <f t="shared" si="17"/>
        <v>64</v>
      </c>
      <c r="AO72" s="1">
        <f t="shared" si="19"/>
        <v>0</v>
      </c>
    </row>
    <row r="73" spans="3:41" ht="15.9">
      <c r="C73" s="291" t="s">
        <v>25</v>
      </c>
      <c r="D73" s="289" t="e">
        <f>#REF!</f>
        <v>#REF!</v>
      </c>
      <c r="E73" s="336">
        <v>7</v>
      </c>
      <c r="F73" s="297">
        <v>13</v>
      </c>
      <c r="G73" s="36" t="s">
        <v>62</v>
      </c>
      <c r="H73" s="36" t="s">
        <v>62</v>
      </c>
      <c r="I73" s="36" t="s">
        <v>62</v>
      </c>
      <c r="J73" s="32">
        <v>15</v>
      </c>
      <c r="K73" s="32"/>
      <c r="L73" s="32"/>
      <c r="M73" s="32">
        <v>10</v>
      </c>
      <c r="N73" s="36" t="s">
        <v>98</v>
      </c>
      <c r="O73" s="36">
        <v>19</v>
      </c>
      <c r="P73" s="32"/>
      <c r="Q73" s="32"/>
      <c r="R73" s="32"/>
      <c r="S73" s="32">
        <v>7</v>
      </c>
      <c r="T73" s="32"/>
      <c r="U73" s="36"/>
      <c r="V73" s="36"/>
      <c r="W73" s="32" t="s">
        <v>301</v>
      </c>
      <c r="X73" s="32"/>
      <c r="Y73" s="32"/>
      <c r="Z73" s="32">
        <v>8</v>
      </c>
      <c r="AA73" s="32">
        <v>8</v>
      </c>
      <c r="AB73" s="36"/>
      <c r="AC73" s="36" t="s">
        <v>301</v>
      </c>
      <c r="AD73" s="297"/>
      <c r="AE73" s="297"/>
      <c r="AF73" s="297"/>
      <c r="AG73" s="297"/>
      <c r="AH73" s="297"/>
      <c r="AI73" s="205"/>
      <c r="AJ73" s="26" t="e">
        <f>_xlfn.CONCAT(#REF!,#REF!)</f>
        <v>#REF!</v>
      </c>
      <c r="AK73" s="27" t="e">
        <f t="shared" si="18"/>
        <v>#REF!</v>
      </c>
      <c r="AL73" s="28">
        <f t="shared" si="13"/>
        <v>48</v>
      </c>
      <c r="AM73">
        <f t="shared" si="14"/>
        <v>96</v>
      </c>
      <c r="AN73" s="29">
        <f t="shared" si="17"/>
        <v>87</v>
      </c>
      <c r="AO73" s="1">
        <f t="shared" si="19"/>
        <v>0</v>
      </c>
    </row>
    <row r="74" spans="3:41" ht="15.9">
      <c r="C74" s="290" t="s">
        <v>26</v>
      </c>
      <c r="D74" s="365" t="e">
        <f>#REF!</f>
        <v>#REF!</v>
      </c>
      <c r="E74" s="341" t="s">
        <v>88</v>
      </c>
      <c r="F74" s="337" t="s">
        <v>88</v>
      </c>
      <c r="G74" s="207"/>
      <c r="H74" s="207"/>
      <c r="I74" s="207"/>
      <c r="J74" s="37"/>
      <c r="K74" s="37"/>
      <c r="L74" s="37"/>
      <c r="M74" s="37" t="s">
        <v>113</v>
      </c>
      <c r="N74" s="36"/>
      <c r="O74" s="36"/>
      <c r="P74" s="32"/>
      <c r="Q74" s="32"/>
      <c r="R74" s="32"/>
      <c r="S74" s="32" t="s">
        <v>113</v>
      </c>
      <c r="T74" s="32"/>
      <c r="U74" s="36"/>
      <c r="V74" s="36"/>
      <c r="W74" s="32"/>
      <c r="X74" s="32">
        <v>17</v>
      </c>
      <c r="Y74" s="32" t="s">
        <v>95</v>
      </c>
      <c r="Z74" s="32" t="s">
        <v>95</v>
      </c>
      <c r="AA74" s="32" t="s">
        <v>95</v>
      </c>
      <c r="AB74" s="36" t="s">
        <v>95</v>
      </c>
      <c r="AC74" s="36" t="s">
        <v>95</v>
      </c>
      <c r="AD74" s="297" t="s">
        <v>95</v>
      </c>
      <c r="AE74" s="297" t="s">
        <v>92</v>
      </c>
      <c r="AF74" s="297"/>
      <c r="AG74" s="297"/>
      <c r="AH74" s="297"/>
      <c r="AI74" s="205"/>
      <c r="AJ74" s="26" t="e">
        <f>_xlfn.CONCAT(#REF!,#REF!)</f>
        <v>#REF!</v>
      </c>
      <c r="AK74" s="27" t="e">
        <f t="shared" si="18"/>
        <v>#REF!</v>
      </c>
      <c r="AL74" s="28">
        <f t="shared" si="13"/>
        <v>48</v>
      </c>
      <c r="AM74">
        <f t="shared" si="14"/>
        <v>156</v>
      </c>
      <c r="AN74" s="29">
        <f t="shared" si="17"/>
        <v>33</v>
      </c>
      <c r="AO74" s="1">
        <f t="shared" si="19"/>
        <v>0</v>
      </c>
    </row>
    <row r="75" spans="3:41" ht="15.9">
      <c r="C75" s="291" t="s">
        <v>27</v>
      </c>
      <c r="D75" s="289" t="e">
        <f>#REF!</f>
        <v>#REF!</v>
      </c>
      <c r="E75" s="704"/>
      <c r="F75" s="704"/>
      <c r="G75" s="704"/>
      <c r="H75" s="704"/>
      <c r="I75" s="704"/>
      <c r="J75" s="704"/>
      <c r="K75" s="704"/>
      <c r="L75" s="704"/>
      <c r="M75" s="704"/>
      <c r="N75" s="275"/>
      <c r="O75" s="207"/>
      <c r="P75" s="37"/>
      <c r="Q75" s="37"/>
      <c r="R75" s="37" t="s">
        <v>113</v>
      </c>
      <c r="S75" s="37"/>
      <c r="T75" s="37">
        <v>8</v>
      </c>
      <c r="U75" s="207">
        <v>8</v>
      </c>
      <c r="V75" s="207" t="s">
        <v>98</v>
      </c>
      <c r="W75" s="37" t="s">
        <v>98</v>
      </c>
      <c r="X75" s="37"/>
      <c r="Y75" s="37">
        <v>8</v>
      </c>
      <c r="Z75" s="37">
        <v>8</v>
      </c>
      <c r="AA75" s="37"/>
      <c r="AB75" s="207"/>
      <c r="AC75" s="207"/>
      <c r="AD75" s="337"/>
      <c r="AE75" s="337">
        <v>6</v>
      </c>
      <c r="AF75" s="337" t="s">
        <v>98</v>
      </c>
      <c r="AG75" s="337" t="s">
        <v>98</v>
      </c>
      <c r="AH75" s="337">
        <v>11</v>
      </c>
      <c r="AI75" s="205"/>
      <c r="AJ75" s="26" t="e">
        <f>_xlfn.CONCAT(#REF!,#REF!)</f>
        <v>#REF!</v>
      </c>
      <c r="AK75" s="27" t="e">
        <f t="shared" si="18"/>
        <v>#REF!</v>
      </c>
      <c r="AL75" s="28">
        <f t="shared" si="13"/>
        <v>24</v>
      </c>
      <c r="AM75">
        <f t="shared" si="14"/>
        <v>96</v>
      </c>
      <c r="AN75" s="29">
        <f t="shared" si="17"/>
        <v>49</v>
      </c>
      <c r="AO75" s="1">
        <v>66</v>
      </c>
    </row>
    <row r="76" spans="3:41" ht="15.9">
      <c r="C76" s="290" t="s">
        <v>28</v>
      </c>
      <c r="D76" s="289" t="e">
        <f>#REF!</f>
        <v>#REF!</v>
      </c>
      <c r="E76" s="342"/>
      <c r="F76" s="339"/>
      <c r="G76" s="208"/>
      <c r="H76" s="208"/>
      <c r="I76" s="208"/>
      <c r="J76" s="41"/>
      <c r="K76" s="41"/>
      <c r="L76" s="370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708"/>
      <c r="AB76" s="708"/>
      <c r="AC76" s="708"/>
      <c r="AD76" s="708"/>
      <c r="AE76" s="708"/>
      <c r="AF76" s="708"/>
      <c r="AG76" s="708"/>
      <c r="AH76" s="708"/>
      <c r="AI76" s="211"/>
      <c r="AJ76" s="26" t="e">
        <f>_xlfn.CONCAT(#REF!,#REF!)</f>
        <v>#REF!</v>
      </c>
      <c r="AK76" s="27" t="e">
        <f t="shared" si="18"/>
        <v>#REF!</v>
      </c>
      <c r="AL76" s="28">
        <f t="shared" si="13"/>
        <v>0</v>
      </c>
      <c r="AM76">
        <f t="shared" si="14"/>
        <v>0</v>
      </c>
      <c r="AN76" s="29">
        <f t="shared" si="17"/>
        <v>0</v>
      </c>
      <c r="AO76" s="1">
        <v>145.5</v>
      </c>
    </row>
    <row r="77" spans="3:41" ht="15.9">
      <c r="C77" s="291" t="s">
        <v>160</v>
      </c>
      <c r="D77" s="289">
        <v>-41.5</v>
      </c>
      <c r="E77" s="336"/>
      <c r="F77" s="297">
        <v>8</v>
      </c>
      <c r="G77" s="36"/>
      <c r="H77" s="36"/>
      <c r="I77" s="36"/>
      <c r="J77" s="32" t="s">
        <v>75</v>
      </c>
      <c r="K77" s="32" t="s">
        <v>75</v>
      </c>
      <c r="L77" s="32" t="s">
        <v>75</v>
      </c>
      <c r="M77" s="41" t="s">
        <v>75</v>
      </c>
      <c r="N77" s="208"/>
      <c r="O77" s="208"/>
      <c r="P77" s="41" t="s">
        <v>75</v>
      </c>
      <c r="Q77" s="41"/>
      <c r="R77" s="41">
        <v>8</v>
      </c>
      <c r="S77" s="41"/>
      <c r="T77" s="41">
        <v>8</v>
      </c>
      <c r="U77" s="208">
        <v>10</v>
      </c>
      <c r="V77" s="208" t="s">
        <v>98</v>
      </c>
      <c r="W77" s="41" t="s">
        <v>98</v>
      </c>
      <c r="X77" s="41">
        <v>8</v>
      </c>
      <c r="Y77" s="41"/>
      <c r="Z77" s="41">
        <v>8</v>
      </c>
      <c r="AA77" s="41">
        <v>8</v>
      </c>
      <c r="AB77" s="208"/>
      <c r="AC77" s="208"/>
      <c r="AD77" s="339"/>
      <c r="AE77" s="339" t="s">
        <v>113</v>
      </c>
      <c r="AF77" s="339"/>
      <c r="AG77" s="339"/>
      <c r="AH77" s="339"/>
      <c r="AI77" s="205"/>
      <c r="AJ77" s="26" t="e">
        <f>_xlfn.CONCAT(#REF!,#REF!)</f>
        <v>#REF!</v>
      </c>
      <c r="AK77" s="27">
        <f t="shared" si="18"/>
        <v>-39.5</v>
      </c>
      <c r="AL77" s="28">
        <f t="shared" si="13"/>
        <v>24</v>
      </c>
      <c r="AM77">
        <f t="shared" si="14"/>
        <v>48</v>
      </c>
      <c r="AN77" s="29">
        <f t="shared" si="17"/>
        <v>98</v>
      </c>
      <c r="AO77" s="1">
        <f t="shared" ref="AO77:AO82" si="20">COUNTIF(E77:AI77,"DT")*8</f>
        <v>0</v>
      </c>
    </row>
    <row r="78" spans="3:41" ht="15.9">
      <c r="C78" s="290" t="s">
        <v>29</v>
      </c>
      <c r="D78" s="365" t="e">
        <f>#REF!</f>
        <v>#REF!</v>
      </c>
      <c r="E78" s="336" t="s">
        <v>95</v>
      </c>
      <c r="F78" s="297" t="s">
        <v>95</v>
      </c>
      <c r="G78" s="36" t="s">
        <v>95</v>
      </c>
      <c r="H78" s="36" t="s">
        <v>95</v>
      </c>
      <c r="I78" s="36" t="s">
        <v>95</v>
      </c>
      <c r="J78" s="32">
        <v>15</v>
      </c>
      <c r="K78" s="32"/>
      <c r="L78" s="32"/>
      <c r="M78" s="32"/>
      <c r="N78" s="36"/>
      <c r="O78" s="36"/>
      <c r="P78" s="32"/>
      <c r="Q78" s="32">
        <v>17</v>
      </c>
      <c r="R78" s="32" t="s">
        <v>95</v>
      </c>
      <c r="S78" s="32" t="s">
        <v>95</v>
      </c>
      <c r="T78" s="32" t="s">
        <v>95</v>
      </c>
      <c r="U78" s="36" t="s">
        <v>95</v>
      </c>
      <c r="V78" s="36" t="s">
        <v>95</v>
      </c>
      <c r="W78" s="32" t="s">
        <v>95</v>
      </c>
      <c r="X78" s="32">
        <v>15</v>
      </c>
      <c r="Y78" s="32"/>
      <c r="Z78" s="32"/>
      <c r="AA78" s="32"/>
      <c r="AB78" s="36"/>
      <c r="AC78" s="36"/>
      <c r="AD78" s="297"/>
      <c r="AE78" s="297"/>
      <c r="AF78" s="297"/>
      <c r="AG78" s="297"/>
      <c r="AH78" s="297" t="s">
        <v>88</v>
      </c>
      <c r="AI78" s="205"/>
      <c r="AJ78" s="26" t="e">
        <f>_xlfn.CONCAT(#REF!,#REF!)</f>
        <v>#REF!</v>
      </c>
      <c r="AK78" s="27" t="e">
        <f t="shared" si="18"/>
        <v>#REF!</v>
      </c>
      <c r="AL78" s="28">
        <f t="shared" si="13"/>
        <v>0</v>
      </c>
      <c r="AM78">
        <f t="shared" si="14"/>
        <v>264</v>
      </c>
      <c r="AN78" s="29">
        <f t="shared" si="17"/>
        <v>55</v>
      </c>
      <c r="AO78" s="1">
        <f t="shared" si="20"/>
        <v>0</v>
      </c>
    </row>
    <row r="79" spans="3:41" ht="15.9">
      <c r="C79" s="290" t="s">
        <v>30</v>
      </c>
      <c r="D79" s="365" t="e">
        <f>#REF!</f>
        <v>#REF!</v>
      </c>
      <c r="E79" s="336" t="s">
        <v>88</v>
      </c>
      <c r="F79" s="297" t="s">
        <v>88</v>
      </c>
      <c r="G79" s="36" t="s">
        <v>66</v>
      </c>
      <c r="H79" s="36" t="s">
        <v>66</v>
      </c>
      <c r="I79" s="36" t="s">
        <v>66</v>
      </c>
      <c r="J79" s="32" t="s">
        <v>88</v>
      </c>
      <c r="K79" s="32" t="s">
        <v>88</v>
      </c>
      <c r="L79" s="32" t="s">
        <v>88</v>
      </c>
      <c r="M79" s="32" t="s">
        <v>88</v>
      </c>
      <c r="N79" s="36" t="s">
        <v>66</v>
      </c>
      <c r="O79" s="36" t="s">
        <v>66</v>
      </c>
      <c r="P79" s="32" t="s">
        <v>88</v>
      </c>
      <c r="Q79" s="32"/>
      <c r="R79" s="32">
        <v>8</v>
      </c>
      <c r="S79" s="32">
        <v>8</v>
      </c>
      <c r="T79" s="32">
        <v>17</v>
      </c>
      <c r="U79" s="36" t="s">
        <v>95</v>
      </c>
      <c r="V79" s="36" t="s">
        <v>95</v>
      </c>
      <c r="W79" s="32" t="s">
        <v>95</v>
      </c>
      <c r="X79" s="32">
        <v>15</v>
      </c>
      <c r="Y79" s="32"/>
      <c r="Z79" s="32"/>
      <c r="AA79" s="32">
        <v>8</v>
      </c>
      <c r="AB79" s="36"/>
      <c r="AC79" s="36"/>
      <c r="AD79" s="297"/>
      <c r="AE79" s="297"/>
      <c r="AF79" s="297"/>
      <c r="AG79" s="297"/>
      <c r="AH79" s="297"/>
      <c r="AI79" s="205"/>
      <c r="AJ79" s="26" t="e">
        <f>_xlfn.CONCAT(#REF!,#REF!)</f>
        <v>#REF!</v>
      </c>
      <c r="AK79" s="27" t="e">
        <f t="shared" si="18"/>
        <v>#REF!</v>
      </c>
      <c r="AL79" s="28">
        <f t="shared" si="13"/>
        <v>0</v>
      </c>
      <c r="AM79">
        <f t="shared" si="14"/>
        <v>72</v>
      </c>
      <c r="AN79" s="29">
        <f t="shared" si="17"/>
        <v>112</v>
      </c>
      <c r="AO79" s="1">
        <f t="shared" si="20"/>
        <v>0</v>
      </c>
    </row>
    <row r="80" spans="3:41" ht="15.9">
      <c r="C80" s="290" t="s">
        <v>31</v>
      </c>
      <c r="D80" s="365" t="e">
        <f>#REF!</f>
        <v>#REF!</v>
      </c>
      <c r="E80" s="336"/>
      <c r="F80" s="297"/>
      <c r="G80" s="36"/>
      <c r="H80" s="36"/>
      <c r="I80" s="36"/>
      <c r="J80" s="32"/>
      <c r="K80" s="32"/>
      <c r="L80" s="32"/>
      <c r="M80" s="32">
        <v>8</v>
      </c>
      <c r="N80" s="36" t="s">
        <v>99</v>
      </c>
      <c r="O80" s="36">
        <v>19</v>
      </c>
      <c r="P80" s="32"/>
      <c r="Q80" s="32"/>
      <c r="R80" s="32"/>
      <c r="S80" s="32"/>
      <c r="T80" s="32"/>
      <c r="U80" s="36" t="s">
        <v>113</v>
      </c>
      <c r="V80" s="36"/>
      <c r="W80" s="32"/>
      <c r="X80" s="32"/>
      <c r="Y80" s="32"/>
      <c r="Z80" s="32"/>
      <c r="AA80" s="32">
        <v>8</v>
      </c>
      <c r="AB80" s="36"/>
      <c r="AC80" s="36"/>
      <c r="AD80" s="297" t="s">
        <v>69</v>
      </c>
      <c r="AE80" s="297" t="s">
        <v>70</v>
      </c>
      <c r="AF80" s="297" t="s">
        <v>70</v>
      </c>
      <c r="AG80" s="297" t="s">
        <v>70</v>
      </c>
      <c r="AH80" s="297" t="s">
        <v>70</v>
      </c>
      <c r="AI80" s="205"/>
      <c r="AJ80" s="26" t="e">
        <f>_xlfn.CONCAT(#REF!,#REF!)</f>
        <v>#REF!</v>
      </c>
      <c r="AK80" s="27" t="e">
        <f t="shared" si="18"/>
        <v>#REF!</v>
      </c>
      <c r="AL80" s="28">
        <f t="shared" si="13"/>
        <v>24</v>
      </c>
      <c r="AM80">
        <f t="shared" si="14"/>
        <v>132</v>
      </c>
      <c r="AN80" s="29">
        <f t="shared" si="17"/>
        <v>35</v>
      </c>
      <c r="AO80" s="1">
        <f t="shared" si="20"/>
        <v>0</v>
      </c>
    </row>
    <row r="81" spans="3:42" ht="15.9">
      <c r="C81" s="292" t="s">
        <v>32</v>
      </c>
      <c r="D81" s="289" t="e">
        <f>#REF!</f>
        <v>#REF!</v>
      </c>
      <c r="E81" s="336" t="s">
        <v>154</v>
      </c>
      <c r="F81" s="297" t="s">
        <v>154</v>
      </c>
      <c r="G81" s="36" t="s">
        <v>153</v>
      </c>
      <c r="H81" s="36"/>
      <c r="I81" s="36"/>
      <c r="J81" s="32"/>
      <c r="K81" s="32"/>
      <c r="L81" s="32"/>
      <c r="M81" s="32"/>
      <c r="N81" s="36"/>
      <c r="O81" s="36"/>
      <c r="P81" s="32"/>
      <c r="Q81" s="32">
        <v>8</v>
      </c>
      <c r="R81" s="32"/>
      <c r="S81" s="32">
        <v>8</v>
      </c>
      <c r="T81" s="32"/>
      <c r="U81" s="36"/>
      <c r="V81" s="36"/>
      <c r="W81" s="32">
        <v>8</v>
      </c>
      <c r="X81" s="32">
        <v>8</v>
      </c>
      <c r="Y81" s="32">
        <v>8</v>
      </c>
      <c r="Z81" s="32">
        <v>8</v>
      </c>
      <c r="AA81" s="32">
        <v>8</v>
      </c>
      <c r="AB81" s="36"/>
      <c r="AC81" s="36"/>
      <c r="AD81" s="297" t="s">
        <v>113</v>
      </c>
      <c r="AE81" s="297"/>
      <c r="AF81" s="297"/>
      <c r="AG81" s="297"/>
      <c r="AH81" s="297">
        <v>16</v>
      </c>
      <c r="AI81" s="205"/>
      <c r="AJ81" s="26" t="e">
        <f>_xlfn.CONCAT(#REF!,#REF!)</f>
        <v>#REF!</v>
      </c>
      <c r="AK81" s="27" t="e">
        <f t="shared" si="18"/>
        <v>#REF!</v>
      </c>
      <c r="AL81" s="28">
        <f t="shared" si="13"/>
        <v>24</v>
      </c>
      <c r="AM81">
        <f t="shared" si="14"/>
        <v>60</v>
      </c>
      <c r="AN81" s="29">
        <f t="shared" si="17"/>
        <v>72</v>
      </c>
      <c r="AO81" s="1">
        <f t="shared" si="20"/>
        <v>0</v>
      </c>
    </row>
    <row r="82" spans="3:42" ht="15.9">
      <c r="C82" s="298" t="s">
        <v>33</v>
      </c>
      <c r="D82" s="365" t="e">
        <f>#REF!</f>
        <v>#REF!</v>
      </c>
      <c r="E82" s="336" t="s">
        <v>169</v>
      </c>
      <c r="F82" s="297" t="s">
        <v>169</v>
      </c>
      <c r="G82" s="36" t="s">
        <v>169</v>
      </c>
      <c r="H82" s="36" t="s">
        <v>169</v>
      </c>
      <c r="I82" s="36" t="s">
        <v>169</v>
      </c>
      <c r="J82" s="32" t="s">
        <v>169</v>
      </c>
      <c r="K82" s="32"/>
      <c r="L82" s="32"/>
      <c r="M82" s="37">
        <v>2.5</v>
      </c>
      <c r="N82" s="207"/>
      <c r="O82" s="207"/>
      <c r="P82" s="37">
        <v>1</v>
      </c>
      <c r="Q82" s="37"/>
      <c r="R82" s="37"/>
      <c r="S82" s="37"/>
      <c r="T82" s="37"/>
      <c r="U82" s="207"/>
      <c r="V82" s="207"/>
      <c r="W82" s="37"/>
      <c r="X82" s="37"/>
      <c r="Y82" s="37" t="s">
        <v>113</v>
      </c>
      <c r="Z82" s="37"/>
      <c r="AA82" s="32"/>
      <c r="AB82" s="207"/>
      <c r="AC82" s="207"/>
      <c r="AD82" s="337"/>
      <c r="AE82" s="337"/>
      <c r="AF82" s="337" t="s">
        <v>113</v>
      </c>
      <c r="AG82" s="337"/>
      <c r="AH82" s="337"/>
      <c r="AI82" s="205"/>
      <c r="AJ82" s="26" t="e">
        <f>_xlfn.CONCAT(#REF!,#REF!)</f>
        <v>#REF!</v>
      </c>
      <c r="AK82" s="27" t="e">
        <f t="shared" si="18"/>
        <v>#REF!</v>
      </c>
      <c r="AL82" s="28">
        <f t="shared" si="13"/>
        <v>48</v>
      </c>
      <c r="AM82">
        <f t="shared" si="14"/>
        <v>0</v>
      </c>
      <c r="AN82" s="29">
        <f t="shared" si="17"/>
        <v>3.5</v>
      </c>
      <c r="AO82" s="1">
        <f t="shared" si="20"/>
        <v>0</v>
      </c>
      <c r="AP82" s="1">
        <f>5*24+11</f>
        <v>131</v>
      </c>
    </row>
    <row r="83" spans="3:42" ht="15.9">
      <c r="C83" s="292" t="s">
        <v>34</v>
      </c>
      <c r="D83" s="289" t="e">
        <f>#REF!</f>
        <v>#REF!</v>
      </c>
      <c r="E83" s="336">
        <v>8</v>
      </c>
      <c r="F83" s="297" t="s">
        <v>59</v>
      </c>
      <c r="G83" s="36"/>
      <c r="H83" s="36"/>
      <c r="I83" s="36"/>
      <c r="J83" s="32"/>
      <c r="K83" s="32"/>
      <c r="L83" s="136"/>
      <c r="M83" s="707"/>
      <c r="N83" s="707"/>
      <c r="O83" s="707"/>
      <c r="P83" s="707"/>
      <c r="Q83" s="707"/>
      <c r="R83" s="707"/>
      <c r="S83" s="707"/>
      <c r="T83" s="707"/>
      <c r="U83" s="707"/>
      <c r="V83" s="707"/>
      <c r="W83" s="707"/>
      <c r="X83" s="707"/>
      <c r="Y83" s="707"/>
      <c r="Z83" s="707"/>
      <c r="AA83" s="366" t="s">
        <v>242</v>
      </c>
      <c r="AB83" s="709"/>
      <c r="AC83" s="709"/>
      <c r="AD83" s="709"/>
      <c r="AE83" s="709"/>
      <c r="AF83" s="709"/>
      <c r="AG83" s="709"/>
      <c r="AH83" s="709"/>
      <c r="AI83" s="211"/>
      <c r="AJ83" s="26" t="e">
        <f>_xlfn.CONCAT(#REF!,#REF!)</f>
        <v>#REF!</v>
      </c>
      <c r="AK83" s="27" t="e">
        <f t="shared" si="18"/>
        <v>#REF!</v>
      </c>
      <c r="AL83" s="28">
        <f t="shared" ref="AL83:AL101" si="21">COUNTIF(E83:AI83,"D")*24+COUNTIF(E83:AI83,"12g")*12+COUNTIF(E83:AI83,"w")*24</f>
        <v>24</v>
      </c>
      <c r="AM83">
        <f t="shared" ref="AM83:AM101" si="22">SUM(COUNTIF(E83:AI83,"k")+COUNTIF(E83:AI83,"s")+COUNTIF(E83:AI83,"wse"))*24+SUM(COUNTIF(E83:AI83,"Pk")+COUNTIF(E83:AI83,"Ps"))*12</f>
        <v>0</v>
      </c>
      <c r="AN83" s="29">
        <f t="shared" si="17"/>
        <v>8</v>
      </c>
      <c r="AO83" s="1">
        <v>147.5</v>
      </c>
    </row>
    <row r="84" spans="3:42" ht="15.9">
      <c r="C84" s="292" t="s">
        <v>35</v>
      </c>
      <c r="D84" s="289" t="e">
        <f>#REF!</f>
        <v>#REF!</v>
      </c>
      <c r="E84" s="336" t="s">
        <v>75</v>
      </c>
      <c r="F84" s="297" t="s">
        <v>75</v>
      </c>
      <c r="G84" s="36" t="s">
        <v>66</v>
      </c>
      <c r="H84" s="36" t="s">
        <v>66</v>
      </c>
      <c r="I84" s="36" t="s">
        <v>66</v>
      </c>
      <c r="J84" s="32" t="s">
        <v>75</v>
      </c>
      <c r="K84" s="32" t="s">
        <v>75</v>
      </c>
      <c r="L84" s="32" t="s">
        <v>75</v>
      </c>
      <c r="M84" s="41"/>
      <c r="N84" s="208" t="s">
        <v>113</v>
      </c>
      <c r="O84" s="208"/>
      <c r="P84" s="41"/>
      <c r="Q84" s="41">
        <v>16</v>
      </c>
      <c r="R84" s="41" t="s">
        <v>95</v>
      </c>
      <c r="S84" s="41" t="s">
        <v>95</v>
      </c>
      <c r="T84" s="41">
        <v>15</v>
      </c>
      <c r="U84" s="208"/>
      <c r="V84" s="208"/>
      <c r="W84" s="41"/>
      <c r="X84" s="41"/>
      <c r="Y84" s="41"/>
      <c r="Z84" s="41">
        <v>11</v>
      </c>
      <c r="AA84" s="32">
        <v>8</v>
      </c>
      <c r="AB84" s="208"/>
      <c r="AC84" s="208"/>
      <c r="AD84" s="339"/>
      <c r="AE84" s="339" t="s">
        <v>153</v>
      </c>
      <c r="AF84" s="339" t="s">
        <v>154</v>
      </c>
      <c r="AG84" s="339" t="s">
        <v>154</v>
      </c>
      <c r="AH84" s="339" t="s">
        <v>153</v>
      </c>
      <c r="AI84" s="205"/>
      <c r="AJ84" s="26" t="e">
        <f>_xlfn.CONCAT(#REF!,#REF!)</f>
        <v>#REF!</v>
      </c>
      <c r="AK84" s="27" t="e">
        <f t="shared" si="18"/>
        <v>#REF!</v>
      </c>
      <c r="AL84" s="28">
        <f t="shared" si="21"/>
        <v>24</v>
      </c>
      <c r="AM84">
        <f t="shared" si="22"/>
        <v>120</v>
      </c>
      <c r="AN84" s="29">
        <f t="shared" si="17"/>
        <v>90</v>
      </c>
      <c r="AO84" s="1">
        <f t="shared" ref="AO84:AO100" si="23">COUNTIF(E84:AI84,"DT")*8</f>
        <v>0</v>
      </c>
    </row>
    <row r="85" spans="3:42" ht="15.9">
      <c r="C85" s="292" t="s">
        <v>36</v>
      </c>
      <c r="D85" s="289" t="e">
        <f>#REF!</f>
        <v>#REF!</v>
      </c>
      <c r="E85" s="336">
        <v>8</v>
      </c>
      <c r="F85" s="297"/>
      <c r="G85" s="36"/>
      <c r="H85" s="36"/>
      <c r="I85" s="36"/>
      <c r="J85" s="32"/>
      <c r="K85" s="32"/>
      <c r="L85" s="32"/>
      <c r="M85" s="32"/>
      <c r="N85" s="36"/>
      <c r="O85" s="36"/>
      <c r="P85" s="32"/>
      <c r="Q85" s="32"/>
      <c r="R85" s="32"/>
      <c r="S85" s="32"/>
      <c r="T85" s="32">
        <v>17</v>
      </c>
      <c r="U85" s="36" t="s">
        <v>95</v>
      </c>
      <c r="V85" s="36" t="s">
        <v>95</v>
      </c>
      <c r="W85" s="32" t="s">
        <v>95</v>
      </c>
      <c r="X85" s="32">
        <v>10</v>
      </c>
      <c r="Y85" s="32"/>
      <c r="Z85" s="32"/>
      <c r="AA85" s="32"/>
      <c r="AB85" s="36"/>
      <c r="AC85" s="36"/>
      <c r="AD85" s="297"/>
      <c r="AE85" s="297"/>
      <c r="AF85" s="297"/>
      <c r="AG85" s="297"/>
      <c r="AH85" s="297"/>
      <c r="AI85" s="205"/>
      <c r="AJ85" s="26" t="e">
        <f>_xlfn.CONCAT(#REF!,#REF!)</f>
        <v>#REF!</v>
      </c>
      <c r="AK85" s="27" t="e">
        <f t="shared" si="18"/>
        <v>#REF!</v>
      </c>
      <c r="AL85" s="28">
        <f t="shared" si="21"/>
        <v>0</v>
      </c>
      <c r="AM85">
        <f t="shared" si="22"/>
        <v>72</v>
      </c>
      <c r="AN85" s="29">
        <f t="shared" si="17"/>
        <v>35</v>
      </c>
      <c r="AO85" s="1">
        <f t="shared" si="23"/>
        <v>0</v>
      </c>
    </row>
    <row r="86" spans="3:42" ht="15.9">
      <c r="C86" s="291" t="s">
        <v>37</v>
      </c>
      <c r="D86" s="289" t="e">
        <f>#REF!</f>
        <v>#REF!</v>
      </c>
      <c r="E86" s="336" t="s">
        <v>88</v>
      </c>
      <c r="F86" s="297" t="s">
        <v>88</v>
      </c>
      <c r="G86" s="36" t="s">
        <v>66</v>
      </c>
      <c r="H86" s="36" t="s">
        <v>66</v>
      </c>
      <c r="I86" s="36" t="s">
        <v>66</v>
      </c>
      <c r="J86" s="32" t="s">
        <v>88</v>
      </c>
      <c r="K86" s="32" t="s">
        <v>88</v>
      </c>
      <c r="L86" s="32"/>
      <c r="M86" s="32" t="s">
        <v>88</v>
      </c>
      <c r="N86" s="36" t="s">
        <v>66</v>
      </c>
      <c r="O86" s="36" t="s">
        <v>66</v>
      </c>
      <c r="P86" s="32" t="s">
        <v>88</v>
      </c>
      <c r="Q86" s="32" t="s">
        <v>88</v>
      </c>
      <c r="R86" s="32">
        <v>6</v>
      </c>
      <c r="S86" s="32">
        <v>8</v>
      </c>
      <c r="T86" s="32">
        <v>8</v>
      </c>
      <c r="U86" s="36">
        <v>8</v>
      </c>
      <c r="V86" s="36" t="s">
        <v>98</v>
      </c>
      <c r="W86" s="32" t="s">
        <v>98</v>
      </c>
      <c r="X86" s="32"/>
      <c r="Y86" s="32">
        <v>8</v>
      </c>
      <c r="Z86" s="32">
        <v>8</v>
      </c>
      <c r="AA86" s="32"/>
      <c r="AB86" s="36"/>
      <c r="AC86" s="36"/>
      <c r="AD86" s="297">
        <v>7</v>
      </c>
      <c r="AE86" s="297"/>
      <c r="AF86" s="297"/>
      <c r="AG86" s="297"/>
      <c r="AH86" s="297"/>
      <c r="AI86" s="205"/>
      <c r="AJ86" s="26" t="e">
        <f>_xlfn.CONCAT(#REF!,#REF!)</f>
        <v>#REF!</v>
      </c>
      <c r="AK86" s="27" t="e">
        <f t="shared" si="18"/>
        <v>#REF!</v>
      </c>
      <c r="AL86" s="28">
        <f t="shared" si="21"/>
        <v>0</v>
      </c>
      <c r="AM86">
        <f t="shared" si="22"/>
        <v>48</v>
      </c>
      <c r="AN86" s="29">
        <f t="shared" si="17"/>
        <v>109</v>
      </c>
      <c r="AO86" s="1">
        <f t="shared" si="23"/>
        <v>0</v>
      </c>
    </row>
    <row r="87" spans="3:42" ht="15.9">
      <c r="C87" s="291" t="s">
        <v>38</v>
      </c>
      <c r="D87" s="289" t="e">
        <f>#REF!</f>
        <v>#REF!</v>
      </c>
      <c r="E87" s="336"/>
      <c r="F87" s="297" t="s">
        <v>75</v>
      </c>
      <c r="G87" s="36" t="s">
        <v>66</v>
      </c>
      <c r="H87" s="36" t="s">
        <v>66</v>
      </c>
      <c r="I87" s="36" t="s">
        <v>66</v>
      </c>
      <c r="J87" s="32" t="s">
        <v>75</v>
      </c>
      <c r="K87" s="32"/>
      <c r="L87" s="32"/>
      <c r="M87" s="32">
        <v>9</v>
      </c>
      <c r="N87" s="36" t="s">
        <v>98</v>
      </c>
      <c r="O87" s="36">
        <v>19</v>
      </c>
      <c r="P87" s="32"/>
      <c r="Q87" s="32"/>
      <c r="R87" s="32"/>
      <c r="S87" s="32"/>
      <c r="T87" s="32"/>
      <c r="U87" s="36"/>
      <c r="V87" s="36"/>
      <c r="W87" s="32" t="s">
        <v>101</v>
      </c>
      <c r="X87" s="32" t="s">
        <v>101</v>
      </c>
      <c r="Y87" s="32" t="s">
        <v>101</v>
      </c>
      <c r="Z87" s="32" t="s">
        <v>101</v>
      </c>
      <c r="AA87" s="32" t="s">
        <v>101</v>
      </c>
      <c r="AB87" s="36"/>
      <c r="AC87" s="36"/>
      <c r="AD87" s="297"/>
      <c r="AE87" s="297"/>
      <c r="AF87" s="297"/>
      <c r="AG87" s="297" t="s">
        <v>113</v>
      </c>
      <c r="AH87" s="297"/>
      <c r="AI87" s="205"/>
      <c r="AJ87" s="26" t="e">
        <f>_xlfn.CONCAT(#REF!,#REF!)</f>
        <v>#REF!</v>
      </c>
      <c r="AK87" s="27" t="e">
        <f t="shared" si="18"/>
        <v>#REF!</v>
      </c>
      <c r="AL87" s="28">
        <f t="shared" si="21"/>
        <v>24</v>
      </c>
      <c r="AM87">
        <f t="shared" si="22"/>
        <v>24</v>
      </c>
      <c r="AN87" s="29">
        <f t="shared" si="17"/>
        <v>44</v>
      </c>
      <c r="AO87" s="1">
        <f t="shared" si="23"/>
        <v>0</v>
      </c>
      <c r="AP87" s="1">
        <f>5*8</f>
        <v>40</v>
      </c>
    </row>
    <row r="88" spans="3:42" ht="15.9">
      <c r="C88" s="290" t="s">
        <v>39</v>
      </c>
      <c r="D88" s="365" t="e">
        <f>#REF!</f>
        <v>#REF!</v>
      </c>
      <c r="E88" s="336"/>
      <c r="F88" s="297"/>
      <c r="G88" s="36"/>
      <c r="H88" s="36"/>
      <c r="I88" s="36"/>
      <c r="J88" s="32">
        <v>16</v>
      </c>
      <c r="K88" s="32" t="s">
        <v>95</v>
      </c>
      <c r="L88" s="32" t="s">
        <v>95</v>
      </c>
      <c r="M88" s="32" t="s">
        <v>95</v>
      </c>
      <c r="N88" s="36" t="s">
        <v>95</v>
      </c>
      <c r="O88" s="36" t="s">
        <v>95</v>
      </c>
      <c r="P88" s="32" t="s">
        <v>95</v>
      </c>
      <c r="Q88" s="32">
        <v>11</v>
      </c>
      <c r="R88" s="32"/>
      <c r="S88" s="32"/>
      <c r="T88" s="32"/>
      <c r="U88" s="36"/>
      <c r="V88" s="36"/>
      <c r="W88" s="32"/>
      <c r="X88" s="32"/>
      <c r="Y88" s="32"/>
      <c r="Z88" s="32"/>
      <c r="AA88" s="32">
        <v>8</v>
      </c>
      <c r="AB88" s="36" t="s">
        <v>113</v>
      </c>
      <c r="AC88" s="36"/>
      <c r="AD88" s="297"/>
      <c r="AE88" s="297"/>
      <c r="AF88" s="297"/>
      <c r="AG88" s="297"/>
      <c r="AH88" s="297" t="s">
        <v>92</v>
      </c>
      <c r="AI88" s="205"/>
      <c r="AJ88" s="26" t="e">
        <f>_xlfn.CONCAT(#REF!,#REF!)</f>
        <v>#REF!</v>
      </c>
      <c r="AK88" s="27" t="e">
        <f t="shared" si="18"/>
        <v>#REF!</v>
      </c>
      <c r="AL88" s="28">
        <f t="shared" si="21"/>
        <v>24</v>
      </c>
      <c r="AM88">
        <f t="shared" si="22"/>
        <v>156</v>
      </c>
      <c r="AN88" s="29">
        <f t="shared" si="17"/>
        <v>35</v>
      </c>
      <c r="AO88" s="1">
        <f t="shared" si="23"/>
        <v>0</v>
      </c>
    </row>
    <row r="89" spans="3:42" ht="15.9">
      <c r="C89" s="290" t="s">
        <v>40</v>
      </c>
      <c r="D89" s="365" t="e">
        <f>#REF!</f>
        <v>#REF!</v>
      </c>
      <c r="E89" s="336"/>
      <c r="F89" s="297"/>
      <c r="G89" s="36"/>
      <c r="H89" s="36"/>
      <c r="I89" s="36"/>
      <c r="J89" s="32"/>
      <c r="K89" s="32"/>
      <c r="L89" s="32"/>
      <c r="M89" s="32"/>
      <c r="N89" s="36"/>
      <c r="O89" s="36"/>
      <c r="P89" s="32"/>
      <c r="Q89" s="32"/>
      <c r="R89" s="32"/>
      <c r="S89" s="32"/>
      <c r="T89" s="32">
        <v>16</v>
      </c>
      <c r="U89" s="36" t="s">
        <v>95</v>
      </c>
      <c r="V89" s="36" t="s">
        <v>95</v>
      </c>
      <c r="W89" s="32" t="s">
        <v>95</v>
      </c>
      <c r="X89" s="32">
        <v>9</v>
      </c>
      <c r="Y89" s="32"/>
      <c r="Z89" s="32">
        <v>8</v>
      </c>
      <c r="AA89" s="32">
        <v>8</v>
      </c>
      <c r="AB89" s="36"/>
      <c r="AC89" s="36"/>
      <c r="AD89" s="297"/>
      <c r="AE89" s="297"/>
      <c r="AF89" s="297"/>
      <c r="AG89" s="297"/>
      <c r="AH89" s="297"/>
      <c r="AI89" s="205"/>
      <c r="AJ89" s="26" t="e">
        <f>_xlfn.CONCAT(#REF!,#REF!)</f>
        <v>#REF!</v>
      </c>
      <c r="AK89" s="27" t="e">
        <f t="shared" si="18"/>
        <v>#REF!</v>
      </c>
      <c r="AL89" s="28">
        <f t="shared" si="21"/>
        <v>0</v>
      </c>
      <c r="AM89">
        <f t="shared" si="22"/>
        <v>72</v>
      </c>
      <c r="AN89" s="29">
        <f t="shared" si="17"/>
        <v>41</v>
      </c>
      <c r="AO89" s="1">
        <f t="shared" si="23"/>
        <v>0</v>
      </c>
    </row>
    <row r="90" spans="3:42" ht="15.9">
      <c r="C90" s="290" t="s">
        <v>41</v>
      </c>
      <c r="D90" s="365" t="e">
        <f>#REF!</f>
        <v>#REF!</v>
      </c>
      <c r="E90" s="336"/>
      <c r="F90" s="297"/>
      <c r="G90" s="36"/>
      <c r="H90" s="36"/>
      <c r="I90" s="36"/>
      <c r="J90" s="32" t="s">
        <v>92</v>
      </c>
      <c r="K90" s="32" t="s">
        <v>95</v>
      </c>
      <c r="L90" s="32" t="s">
        <v>95</v>
      </c>
      <c r="M90" s="32" t="s">
        <v>95</v>
      </c>
      <c r="N90" s="36" t="s">
        <v>95</v>
      </c>
      <c r="O90" s="36" t="s">
        <v>95</v>
      </c>
      <c r="P90" s="32" t="s">
        <v>95</v>
      </c>
      <c r="Q90" s="32" t="s">
        <v>92</v>
      </c>
      <c r="R90" s="32"/>
      <c r="S90" s="32"/>
      <c r="T90" s="32"/>
      <c r="U90" s="36"/>
      <c r="V90" s="36"/>
      <c r="W90" s="32"/>
      <c r="X90" s="32"/>
      <c r="Y90" s="32"/>
      <c r="Z90" s="32"/>
      <c r="AA90" s="32"/>
      <c r="AB90" s="36"/>
      <c r="AC90" s="36"/>
      <c r="AD90" s="297"/>
      <c r="AE90" s="297"/>
      <c r="AF90" s="297"/>
      <c r="AG90" s="297"/>
      <c r="AH90" s="297" t="s">
        <v>92</v>
      </c>
      <c r="AI90" s="205"/>
      <c r="AJ90" s="26" t="e">
        <f>_xlfn.CONCAT(#REF!,#REF!)</f>
        <v>#REF!</v>
      </c>
      <c r="AK90" s="27" t="e">
        <f t="shared" si="18"/>
        <v>#REF!</v>
      </c>
      <c r="AL90" s="28">
        <f t="shared" si="21"/>
        <v>0</v>
      </c>
      <c r="AM90">
        <f t="shared" si="22"/>
        <v>180</v>
      </c>
      <c r="AN90" s="29">
        <f t="shared" si="17"/>
        <v>0</v>
      </c>
      <c r="AO90" s="1">
        <f t="shared" si="23"/>
        <v>0</v>
      </c>
    </row>
    <row r="91" spans="3:42" ht="15.9">
      <c r="C91" s="290" t="s">
        <v>42</v>
      </c>
      <c r="D91" s="365" t="e">
        <f>#REF!</f>
        <v>#REF!</v>
      </c>
      <c r="E91" s="336"/>
      <c r="F91" s="297"/>
      <c r="G91" s="36" t="s">
        <v>59</v>
      </c>
      <c r="H91" s="36"/>
      <c r="I91" s="36"/>
      <c r="J91" s="32"/>
      <c r="K91" s="32"/>
      <c r="L91" s="32"/>
      <c r="M91" s="32"/>
      <c r="N91" s="36"/>
      <c r="O91" s="36"/>
      <c r="P91" s="32"/>
      <c r="Q91" s="32"/>
      <c r="R91" s="32"/>
      <c r="S91" s="32"/>
      <c r="T91" s="32"/>
      <c r="U91" s="36"/>
      <c r="V91" s="36"/>
      <c r="W91" s="32" t="s">
        <v>113</v>
      </c>
      <c r="X91" s="32"/>
      <c r="Y91" s="32"/>
      <c r="Z91" s="32"/>
      <c r="AA91" s="32">
        <v>8</v>
      </c>
      <c r="AB91" s="36"/>
      <c r="AC91" s="36"/>
      <c r="AD91" s="297"/>
      <c r="AE91" s="297"/>
      <c r="AF91" s="297"/>
      <c r="AG91" s="297"/>
      <c r="AH91" s="297"/>
      <c r="AI91" s="205"/>
      <c r="AJ91" s="26" t="e">
        <f>_xlfn.CONCAT(#REF!,#REF!)</f>
        <v>#REF!</v>
      </c>
      <c r="AK91" s="27" t="e">
        <f t="shared" si="18"/>
        <v>#REF!</v>
      </c>
      <c r="AL91" s="28">
        <f t="shared" si="21"/>
        <v>48</v>
      </c>
      <c r="AM91">
        <f t="shared" si="22"/>
        <v>0</v>
      </c>
      <c r="AN91" s="29">
        <f t="shared" si="17"/>
        <v>8</v>
      </c>
      <c r="AO91" s="1">
        <f t="shared" si="23"/>
        <v>0</v>
      </c>
    </row>
    <row r="92" spans="3:42" ht="15.9">
      <c r="C92" s="290" t="s">
        <v>43</v>
      </c>
      <c r="D92" s="365" t="e">
        <f>#REF!</f>
        <v>#REF!</v>
      </c>
      <c r="E92" s="336"/>
      <c r="F92" s="297"/>
      <c r="G92" s="36"/>
      <c r="H92" s="36"/>
      <c r="I92" s="36"/>
      <c r="J92" s="32"/>
      <c r="K92" s="32"/>
      <c r="L92" s="32"/>
      <c r="M92" s="32">
        <v>7</v>
      </c>
      <c r="N92" s="36"/>
      <c r="O92" s="36"/>
      <c r="P92" s="32"/>
      <c r="Q92" s="32"/>
      <c r="R92" s="32"/>
      <c r="S92" s="32">
        <v>8</v>
      </c>
      <c r="T92" s="32"/>
      <c r="U92" s="36"/>
      <c r="V92" s="36"/>
      <c r="W92" s="32">
        <v>8</v>
      </c>
      <c r="X92" s="32">
        <v>8</v>
      </c>
      <c r="Y92" s="32">
        <v>8</v>
      </c>
      <c r="Z92" s="32">
        <v>8</v>
      </c>
      <c r="AA92" s="32">
        <v>8</v>
      </c>
      <c r="AB92" s="36"/>
      <c r="AC92" s="36"/>
      <c r="AD92" s="297"/>
      <c r="AE92" s="297" t="s">
        <v>153</v>
      </c>
      <c r="AF92" s="297" t="s">
        <v>154</v>
      </c>
      <c r="AG92" s="297" t="s">
        <v>154</v>
      </c>
      <c r="AH92" s="297" t="s">
        <v>153</v>
      </c>
      <c r="AI92" s="205"/>
      <c r="AJ92" s="26" t="e">
        <f>_xlfn.CONCAT(#REF!,#REF!)</f>
        <v>#REF!</v>
      </c>
      <c r="AK92" s="27" t="e">
        <f t="shared" si="18"/>
        <v>#REF!</v>
      </c>
      <c r="AL92" s="28">
        <f t="shared" si="21"/>
        <v>0</v>
      </c>
      <c r="AM92">
        <f t="shared" si="22"/>
        <v>72</v>
      </c>
      <c r="AN92" s="29">
        <f t="shared" si="17"/>
        <v>55</v>
      </c>
      <c r="AO92" s="1">
        <f t="shared" si="23"/>
        <v>0</v>
      </c>
    </row>
    <row r="93" spans="3:42" ht="15.9">
      <c r="C93" s="291" t="s">
        <v>44</v>
      </c>
      <c r="D93" s="289" t="e">
        <f>#REF!</f>
        <v>#REF!</v>
      </c>
      <c r="E93" s="336"/>
      <c r="F93" s="297"/>
      <c r="G93" s="36"/>
      <c r="H93" s="36"/>
      <c r="I93" s="36"/>
      <c r="J93" s="32"/>
      <c r="K93" s="32"/>
      <c r="L93" s="32"/>
      <c r="M93" s="32"/>
      <c r="N93" s="36"/>
      <c r="O93" s="36"/>
      <c r="P93" s="32">
        <v>5</v>
      </c>
      <c r="Q93" s="32">
        <v>7</v>
      </c>
      <c r="R93" s="32"/>
      <c r="S93" s="32"/>
      <c r="T93" s="32">
        <v>6.5</v>
      </c>
      <c r="U93" s="36">
        <v>13.5</v>
      </c>
      <c r="V93" s="36" t="s">
        <v>98</v>
      </c>
      <c r="W93" s="32">
        <v>23.5</v>
      </c>
      <c r="X93" s="32"/>
      <c r="Y93" s="32">
        <v>8</v>
      </c>
      <c r="Z93" s="32">
        <v>8</v>
      </c>
      <c r="AA93" s="32">
        <v>8</v>
      </c>
      <c r="AB93" s="36"/>
      <c r="AC93" s="36"/>
      <c r="AD93" s="297">
        <v>8</v>
      </c>
      <c r="AE93" s="297">
        <v>6</v>
      </c>
      <c r="AF93" s="297" t="s">
        <v>98</v>
      </c>
      <c r="AG93" s="297" t="s">
        <v>98</v>
      </c>
      <c r="AH93" s="297">
        <v>11</v>
      </c>
      <c r="AI93" s="205"/>
      <c r="AJ93" s="26" t="e">
        <f>_xlfn.CONCAT(#REF!,#REF!)</f>
        <v>#REF!</v>
      </c>
      <c r="AK93" s="27" t="e">
        <f t="shared" si="18"/>
        <v>#REF!</v>
      </c>
      <c r="AL93" s="28">
        <f t="shared" si="21"/>
        <v>0</v>
      </c>
      <c r="AM93">
        <f t="shared" si="22"/>
        <v>72</v>
      </c>
      <c r="AN93" s="29">
        <f t="shared" si="17"/>
        <v>104.5</v>
      </c>
      <c r="AO93" s="1">
        <f t="shared" si="23"/>
        <v>0</v>
      </c>
    </row>
    <row r="94" spans="3:42" ht="15.9">
      <c r="C94" s="291" t="s">
        <v>163</v>
      </c>
      <c r="D94" s="289" t="e">
        <f>#REF!</f>
        <v>#REF!</v>
      </c>
      <c r="E94" s="336" t="s">
        <v>101</v>
      </c>
      <c r="F94" s="297" t="s">
        <v>101</v>
      </c>
      <c r="G94" s="36"/>
      <c r="H94" s="36"/>
      <c r="I94" s="36"/>
      <c r="J94" s="32"/>
      <c r="K94" s="32"/>
      <c r="L94" s="32">
        <v>7</v>
      </c>
      <c r="M94" s="32">
        <v>11</v>
      </c>
      <c r="N94" s="36" t="s">
        <v>98</v>
      </c>
      <c r="O94" s="36">
        <v>19</v>
      </c>
      <c r="P94" s="32"/>
      <c r="Q94" s="32"/>
      <c r="R94" s="32" t="s">
        <v>303</v>
      </c>
      <c r="S94" s="32"/>
      <c r="T94" s="32">
        <v>7</v>
      </c>
      <c r="U94" s="36"/>
      <c r="V94" s="36"/>
      <c r="W94" s="32"/>
      <c r="X94" s="32" t="s">
        <v>303</v>
      </c>
      <c r="Y94" s="32"/>
      <c r="Z94" s="32">
        <v>8</v>
      </c>
      <c r="AA94" s="32">
        <v>8</v>
      </c>
      <c r="AB94" s="36"/>
      <c r="AC94" s="36" t="s">
        <v>113</v>
      </c>
      <c r="AD94" s="297"/>
      <c r="AE94" s="297">
        <v>6</v>
      </c>
      <c r="AF94" s="297" t="s">
        <v>98</v>
      </c>
      <c r="AG94" s="297" t="s">
        <v>98</v>
      </c>
      <c r="AH94" s="297">
        <v>11</v>
      </c>
      <c r="AI94" s="205"/>
      <c r="AJ94" s="26" t="e">
        <f>_xlfn.CONCAT(#REF!,#REF!)</f>
        <v>#REF!</v>
      </c>
      <c r="AK94" s="27" t="e">
        <f t="shared" si="18"/>
        <v>#REF!</v>
      </c>
      <c r="AL94" s="28">
        <f t="shared" si="21"/>
        <v>72</v>
      </c>
      <c r="AM94">
        <f t="shared" si="22"/>
        <v>72</v>
      </c>
      <c r="AN94" s="29">
        <f t="shared" si="17"/>
        <v>77</v>
      </c>
      <c r="AO94" s="1">
        <f t="shared" si="23"/>
        <v>0</v>
      </c>
    </row>
    <row r="95" spans="3:42" ht="15.9">
      <c r="C95" s="291" t="s">
        <v>45</v>
      </c>
      <c r="D95" s="289" t="e">
        <f>#REF!</f>
        <v>#REF!</v>
      </c>
      <c r="E95" s="336"/>
      <c r="F95" s="297"/>
      <c r="G95" s="36"/>
      <c r="H95" s="36"/>
      <c r="I95" s="36"/>
      <c r="J95" s="32"/>
      <c r="K95" s="32"/>
      <c r="L95" s="32"/>
      <c r="M95" s="32" t="s">
        <v>303</v>
      </c>
      <c r="N95" s="36"/>
      <c r="O95" s="36"/>
      <c r="P95" s="32"/>
      <c r="Q95" s="32" t="s">
        <v>59</v>
      </c>
      <c r="R95" s="32"/>
      <c r="S95" s="32"/>
      <c r="T95" s="32" t="s">
        <v>59</v>
      </c>
      <c r="U95" s="36"/>
      <c r="V95" s="36"/>
      <c r="W95" s="32"/>
      <c r="X95" s="32"/>
      <c r="Y95" s="32">
        <v>8</v>
      </c>
      <c r="Z95" s="32">
        <v>8</v>
      </c>
      <c r="AA95" s="32" t="s">
        <v>303</v>
      </c>
      <c r="AB95" s="36"/>
      <c r="AC95" s="36"/>
      <c r="AD95" s="297"/>
      <c r="AE95" s="297"/>
      <c r="AF95" s="297"/>
      <c r="AG95" s="297" t="s">
        <v>301</v>
      </c>
      <c r="AH95" s="297"/>
      <c r="AI95" s="205"/>
      <c r="AJ95" s="26" t="e">
        <f>_xlfn.CONCAT(#REF!,#REF!)</f>
        <v>#REF!</v>
      </c>
      <c r="AK95" s="27" t="e">
        <f t="shared" si="18"/>
        <v>#REF!</v>
      </c>
      <c r="AL95" s="28">
        <f t="shared" si="21"/>
        <v>120</v>
      </c>
      <c r="AM95">
        <f t="shared" si="22"/>
        <v>0</v>
      </c>
      <c r="AN95" s="29">
        <f t="shared" si="17"/>
        <v>16</v>
      </c>
      <c r="AO95" s="1">
        <f t="shared" si="23"/>
        <v>0</v>
      </c>
    </row>
    <row r="96" spans="3:42" ht="15.9">
      <c r="C96" s="291" t="s">
        <v>46</v>
      </c>
      <c r="D96" s="289" t="e">
        <f>#REF!</f>
        <v>#REF!</v>
      </c>
      <c r="E96" s="336" t="s">
        <v>101</v>
      </c>
      <c r="F96" s="297" t="s">
        <v>101</v>
      </c>
      <c r="G96" s="36" t="s">
        <v>101</v>
      </c>
      <c r="H96" s="36" t="s">
        <v>101</v>
      </c>
      <c r="I96" s="36" t="s">
        <v>101</v>
      </c>
      <c r="J96" s="32" t="s">
        <v>169</v>
      </c>
      <c r="K96" s="32" t="s">
        <v>169</v>
      </c>
      <c r="L96" s="32" t="s">
        <v>169</v>
      </c>
      <c r="M96" s="32" t="s">
        <v>169</v>
      </c>
      <c r="N96" s="36" t="s">
        <v>169</v>
      </c>
      <c r="O96" s="36" t="s">
        <v>169</v>
      </c>
      <c r="P96" s="32" t="s">
        <v>169</v>
      </c>
      <c r="Q96" s="32"/>
      <c r="R96" s="32" t="s">
        <v>88</v>
      </c>
      <c r="S96" s="32" t="s">
        <v>88</v>
      </c>
      <c r="T96" s="32" t="s">
        <v>88</v>
      </c>
      <c r="U96" s="36" t="s">
        <v>66</v>
      </c>
      <c r="V96" s="36" t="s">
        <v>66</v>
      </c>
      <c r="W96" s="32" t="s">
        <v>88</v>
      </c>
      <c r="X96" s="32" t="s">
        <v>88</v>
      </c>
      <c r="Y96" s="32" t="s">
        <v>75</v>
      </c>
      <c r="Z96" s="32" t="s">
        <v>75</v>
      </c>
      <c r="AA96" s="32" t="s">
        <v>75</v>
      </c>
      <c r="AB96" s="36"/>
      <c r="AC96" s="36"/>
      <c r="AD96" s="297" t="s">
        <v>303</v>
      </c>
      <c r="AE96" s="297"/>
      <c r="AF96" s="297"/>
      <c r="AG96" s="297"/>
      <c r="AH96" s="297">
        <v>16</v>
      </c>
      <c r="AI96" s="205"/>
      <c r="AJ96" s="26" t="e">
        <f>_xlfn.CONCAT(#REF!,#REF!)</f>
        <v>#REF!</v>
      </c>
      <c r="AK96" s="27" t="e">
        <f t="shared" si="18"/>
        <v>#REF!</v>
      </c>
      <c r="AL96" s="28">
        <f t="shared" si="21"/>
        <v>24</v>
      </c>
      <c r="AM96">
        <f t="shared" si="22"/>
        <v>0</v>
      </c>
      <c r="AN96" s="29">
        <f t="shared" si="17"/>
        <v>80</v>
      </c>
      <c r="AO96" s="1">
        <f t="shared" si="23"/>
        <v>0</v>
      </c>
      <c r="AP96" s="1">
        <v>144</v>
      </c>
    </row>
    <row r="97" spans="2:42" ht="15.9">
      <c r="C97" s="291" t="s">
        <v>47</v>
      </c>
      <c r="D97" s="289" t="e">
        <f>#REF!</f>
        <v>#REF!</v>
      </c>
      <c r="E97" s="336"/>
      <c r="F97" s="297"/>
      <c r="G97" s="36"/>
      <c r="H97" s="36"/>
      <c r="I97" s="36"/>
      <c r="J97" s="32"/>
      <c r="K97" s="32"/>
      <c r="L97" s="32"/>
      <c r="M97" s="32">
        <v>14</v>
      </c>
      <c r="N97" s="36" t="s">
        <v>98</v>
      </c>
      <c r="O97" s="36">
        <v>19</v>
      </c>
      <c r="P97" s="32"/>
      <c r="Q97" s="32">
        <v>8</v>
      </c>
      <c r="R97" s="32">
        <v>8</v>
      </c>
      <c r="S97" s="32">
        <v>8</v>
      </c>
      <c r="T97" s="32" t="s">
        <v>303</v>
      </c>
      <c r="U97" s="36"/>
      <c r="V97" s="36"/>
      <c r="W97" s="32">
        <v>8</v>
      </c>
      <c r="X97" s="32">
        <v>8</v>
      </c>
      <c r="Y97" s="32">
        <v>8</v>
      </c>
      <c r="Z97" s="32">
        <v>8</v>
      </c>
      <c r="AA97" s="32">
        <v>8</v>
      </c>
      <c r="AB97" s="36"/>
      <c r="AC97" s="36"/>
      <c r="AD97" s="297"/>
      <c r="AE97" s="297"/>
      <c r="AF97" s="297"/>
      <c r="AG97" s="297"/>
      <c r="AH97" s="297"/>
      <c r="AI97" s="205"/>
      <c r="AJ97" s="26" t="e">
        <f>_xlfn.CONCAT(#REF!,#REF!)</f>
        <v>#REF!</v>
      </c>
      <c r="AK97" s="27" t="e">
        <f t="shared" si="18"/>
        <v>#REF!</v>
      </c>
      <c r="AL97" s="28">
        <f t="shared" si="21"/>
        <v>24</v>
      </c>
      <c r="AM97">
        <f t="shared" si="22"/>
        <v>24</v>
      </c>
      <c r="AN97" s="29">
        <f t="shared" si="17"/>
        <v>97</v>
      </c>
      <c r="AO97" s="1">
        <f t="shared" si="23"/>
        <v>0</v>
      </c>
    </row>
    <row r="98" spans="2:42" ht="15.9">
      <c r="C98" s="291" t="s">
        <v>48</v>
      </c>
      <c r="D98" s="289" t="e">
        <f>#REF!</f>
        <v>#REF!</v>
      </c>
      <c r="E98" s="336"/>
      <c r="F98" s="297"/>
      <c r="G98" s="36"/>
      <c r="H98" s="36"/>
      <c r="I98" s="36"/>
      <c r="J98" s="32" t="s">
        <v>75</v>
      </c>
      <c r="K98" s="32" t="s">
        <v>75</v>
      </c>
      <c r="L98" s="32" t="s">
        <v>75</v>
      </c>
      <c r="M98" s="32" t="s">
        <v>75</v>
      </c>
      <c r="N98" s="36" t="s">
        <v>66</v>
      </c>
      <c r="O98" s="36" t="s">
        <v>66</v>
      </c>
      <c r="P98" s="32" t="s">
        <v>75</v>
      </c>
      <c r="Q98" s="32" t="s">
        <v>75</v>
      </c>
      <c r="R98" s="32" t="s">
        <v>75</v>
      </c>
      <c r="S98" s="32" t="s">
        <v>75</v>
      </c>
      <c r="T98" s="32" t="s">
        <v>75</v>
      </c>
      <c r="U98" s="36" t="s">
        <v>66</v>
      </c>
      <c r="V98" s="36" t="s">
        <v>66</v>
      </c>
      <c r="W98" s="32" t="s">
        <v>75</v>
      </c>
      <c r="X98" s="32" t="s">
        <v>75</v>
      </c>
      <c r="Y98" s="32" t="s">
        <v>75</v>
      </c>
      <c r="Z98" s="32" t="s">
        <v>113</v>
      </c>
      <c r="AA98" s="32"/>
      <c r="AB98" s="36"/>
      <c r="AC98" s="36"/>
      <c r="AD98" s="297"/>
      <c r="AE98" s="297">
        <v>6</v>
      </c>
      <c r="AF98" s="297" t="s">
        <v>98</v>
      </c>
      <c r="AG98" s="297" t="s">
        <v>98</v>
      </c>
      <c r="AH98" s="297">
        <v>11</v>
      </c>
      <c r="AI98" s="205"/>
      <c r="AJ98" s="26" t="e">
        <f>_xlfn.CONCAT(#REF!,#REF!)</f>
        <v>#REF!</v>
      </c>
      <c r="AK98" s="27" t="e">
        <f t="shared" si="18"/>
        <v>#REF!</v>
      </c>
      <c r="AL98" s="28">
        <f t="shared" si="21"/>
        <v>24</v>
      </c>
      <c r="AM98">
        <f t="shared" si="22"/>
        <v>48</v>
      </c>
      <c r="AN98" s="29">
        <f t="shared" si="17"/>
        <v>113</v>
      </c>
      <c r="AO98" s="1">
        <f t="shared" si="23"/>
        <v>0</v>
      </c>
    </row>
    <row r="99" spans="2:42" ht="15.9">
      <c r="C99" s="290" t="s">
        <v>49</v>
      </c>
      <c r="D99" s="365" t="e">
        <f>#REF!</f>
        <v>#REF!</v>
      </c>
      <c r="E99" s="336"/>
      <c r="F99" s="297"/>
      <c r="G99" s="36"/>
      <c r="H99" s="36"/>
      <c r="I99" s="36"/>
      <c r="J99" s="32"/>
      <c r="K99" s="32"/>
      <c r="L99" s="32" t="s">
        <v>113</v>
      </c>
      <c r="M99" s="32"/>
      <c r="N99" s="36"/>
      <c r="O99" s="36"/>
      <c r="P99" s="32"/>
      <c r="Q99" s="32"/>
      <c r="R99" s="32"/>
      <c r="S99" s="32"/>
      <c r="T99" s="32"/>
      <c r="U99" s="36"/>
      <c r="V99" s="36"/>
      <c r="W99" s="32"/>
      <c r="X99" s="32" t="s">
        <v>113</v>
      </c>
      <c r="Y99" s="32"/>
      <c r="Z99" s="32"/>
      <c r="AA99" s="32"/>
      <c r="AB99" s="36"/>
      <c r="AC99" s="36"/>
      <c r="AD99" s="297"/>
      <c r="AE99" s="297" t="s">
        <v>92</v>
      </c>
      <c r="AF99" s="297" t="s">
        <v>95</v>
      </c>
      <c r="AG99" s="297" t="s">
        <v>95</v>
      </c>
      <c r="AH99" s="297" t="s">
        <v>95</v>
      </c>
      <c r="AI99" s="205"/>
      <c r="AJ99" s="26" t="e">
        <f>_xlfn.CONCAT(#REF!,#REF!)</f>
        <v>#REF!</v>
      </c>
      <c r="AK99" s="27" t="e">
        <f t="shared" si="18"/>
        <v>#REF!</v>
      </c>
      <c r="AL99" s="28">
        <f t="shared" si="21"/>
        <v>48</v>
      </c>
      <c r="AM99">
        <f t="shared" si="22"/>
        <v>84</v>
      </c>
      <c r="AN99" s="29">
        <f t="shared" si="17"/>
        <v>0</v>
      </c>
      <c r="AO99" s="1">
        <f t="shared" si="23"/>
        <v>0</v>
      </c>
    </row>
    <row r="100" spans="2:42" ht="15.9">
      <c r="C100" s="290" t="s">
        <v>50</v>
      </c>
      <c r="D100" s="365" t="e">
        <f>#REF!</f>
        <v>#REF!</v>
      </c>
      <c r="E100" s="336">
        <v>8</v>
      </c>
      <c r="F100" s="297"/>
      <c r="G100" s="36"/>
      <c r="H100" s="36"/>
      <c r="I100" s="36"/>
      <c r="J100" s="32">
        <v>17</v>
      </c>
      <c r="K100" s="32" t="s">
        <v>95</v>
      </c>
      <c r="L100" s="32" t="s">
        <v>95</v>
      </c>
      <c r="M100" s="37" t="s">
        <v>95</v>
      </c>
      <c r="N100" s="207" t="s">
        <v>95</v>
      </c>
      <c r="O100" s="207" t="s">
        <v>95</v>
      </c>
      <c r="P100" s="37" t="s">
        <v>95</v>
      </c>
      <c r="Q100" s="37">
        <v>14</v>
      </c>
      <c r="R100" s="37"/>
      <c r="S100" s="37"/>
      <c r="T100" s="37"/>
      <c r="U100" s="207"/>
      <c r="V100" s="207"/>
      <c r="W100" s="37"/>
      <c r="X100" s="37"/>
      <c r="Y100" s="37"/>
      <c r="Z100" s="37"/>
      <c r="AA100" s="37" t="s">
        <v>59</v>
      </c>
      <c r="AB100" s="207"/>
      <c r="AC100" s="207"/>
      <c r="AD100" s="337"/>
      <c r="AE100" s="337"/>
      <c r="AF100" s="337"/>
      <c r="AG100" s="337"/>
      <c r="AH100" s="337"/>
      <c r="AI100" s="205"/>
      <c r="AJ100" s="26" t="e">
        <f>_xlfn.CONCAT(#REF!,#REF!)</f>
        <v>#REF!</v>
      </c>
      <c r="AK100" s="27" t="e">
        <f t="shared" si="18"/>
        <v>#REF!</v>
      </c>
      <c r="AL100" s="28">
        <f t="shared" si="21"/>
        <v>24</v>
      </c>
      <c r="AM100">
        <f t="shared" si="22"/>
        <v>144</v>
      </c>
      <c r="AN100" s="29">
        <f t="shared" si="17"/>
        <v>39</v>
      </c>
      <c r="AO100" s="1">
        <f t="shared" si="23"/>
        <v>0</v>
      </c>
    </row>
    <row r="101" spans="2:42" ht="15.9">
      <c r="C101" s="304" t="s">
        <v>51</v>
      </c>
      <c r="D101" s="365" t="e">
        <f>#REF!</f>
        <v>#REF!</v>
      </c>
      <c r="E101" s="349"/>
      <c r="F101" s="350"/>
      <c r="G101" s="213"/>
      <c r="H101" s="213"/>
      <c r="I101" s="213"/>
      <c r="J101" s="371"/>
      <c r="K101" s="371">
        <v>4</v>
      </c>
      <c r="L101" s="372"/>
      <c r="M101" s="704"/>
      <c r="N101" s="704"/>
      <c r="O101" s="704"/>
      <c r="P101" s="704"/>
      <c r="Q101" s="704"/>
      <c r="R101" s="704"/>
      <c r="S101" s="704"/>
      <c r="T101" s="704"/>
      <c r="U101" s="704"/>
      <c r="V101" s="704"/>
      <c r="W101" s="704"/>
      <c r="X101" s="704"/>
      <c r="Y101" s="704"/>
      <c r="Z101" s="704"/>
      <c r="AA101" s="704"/>
      <c r="AB101" s="704"/>
      <c r="AC101" s="704"/>
      <c r="AD101" s="704"/>
      <c r="AE101" s="704"/>
      <c r="AF101" s="704"/>
      <c r="AG101" s="704"/>
      <c r="AH101" s="704"/>
      <c r="AI101" s="373"/>
      <c r="AJ101" s="305" t="e">
        <f>_xlfn.CONCAT(#REF!,#REF!)</f>
        <v>#REF!</v>
      </c>
      <c r="AK101" s="27" t="e">
        <f t="shared" si="18"/>
        <v>#REF!</v>
      </c>
      <c r="AL101" s="28">
        <f t="shared" si="21"/>
        <v>0</v>
      </c>
      <c r="AM101">
        <f t="shared" si="22"/>
        <v>0</v>
      </c>
      <c r="AN101" s="29">
        <f t="shared" si="17"/>
        <v>4</v>
      </c>
      <c r="AO101" s="1">
        <v>133.5</v>
      </c>
    </row>
    <row r="102" spans="2:42" ht="15.9">
      <c r="C102" s="56"/>
      <c r="D102" s="57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9"/>
      <c r="AH102" s="27" t="e">
        <f>AK102/51</f>
        <v>#REF!</v>
      </c>
      <c r="AI102" s="27"/>
      <c r="AJ102" s="60"/>
      <c r="AK102" s="27" t="e">
        <f>SUM(AK51:AK101)+(24*30*2)</f>
        <v>#REF!</v>
      </c>
      <c r="AL102" s="27">
        <f>SUM(AL51:AL101)+(24*30*2)</f>
        <v>2784</v>
      </c>
      <c r="AM102" s="27">
        <f>SUM(AM51:AM101)+(24*30*2)</f>
        <v>5172</v>
      </c>
      <c r="AN102" s="27">
        <f>SUM(AN51:AN101)+(24*30*2)</f>
        <v>4240</v>
      </c>
      <c r="AO102" s="27">
        <f>SUM(AO2:AO101)+(24*30*2)</f>
        <v>2396</v>
      </c>
      <c r="AP102" s="27">
        <f>SUM(AP51:AP101)+(24*30*2)</f>
        <v>1755</v>
      </c>
    </row>
    <row r="103" spans="2:42" ht="15.9">
      <c r="B103" s="61"/>
      <c r="C103" s="62" t="s">
        <v>120</v>
      </c>
      <c r="D103" s="63"/>
      <c r="E103" s="64">
        <f t="shared" ref="E103:AI103" si="24">E34</f>
        <v>1</v>
      </c>
      <c r="F103" s="64">
        <f t="shared" si="24"/>
        <v>1</v>
      </c>
      <c r="G103" s="64">
        <f t="shared" si="24"/>
        <v>1</v>
      </c>
      <c r="H103" s="64">
        <f t="shared" si="24"/>
        <v>1</v>
      </c>
      <c r="I103" s="64">
        <f t="shared" si="24"/>
        <v>1</v>
      </c>
      <c r="J103" s="64">
        <f t="shared" si="24"/>
        <v>1</v>
      </c>
      <c r="K103" s="64">
        <f t="shared" si="24"/>
        <v>1</v>
      </c>
      <c r="L103" s="64">
        <f t="shared" si="24"/>
        <v>1</v>
      </c>
      <c r="M103" s="64">
        <f t="shared" si="24"/>
        <v>1</v>
      </c>
      <c r="N103" s="64">
        <f t="shared" si="24"/>
        <v>1</v>
      </c>
      <c r="O103" s="64">
        <f t="shared" si="24"/>
        <v>1</v>
      </c>
      <c r="P103" s="64">
        <f t="shared" si="24"/>
        <v>1</v>
      </c>
      <c r="Q103" s="64">
        <f t="shared" si="24"/>
        <v>1</v>
      </c>
      <c r="R103" s="64">
        <f t="shared" si="24"/>
        <v>1</v>
      </c>
      <c r="S103" s="64">
        <f t="shared" si="24"/>
        <v>1</v>
      </c>
      <c r="T103" s="64">
        <f t="shared" si="24"/>
        <v>1</v>
      </c>
      <c r="U103" s="64">
        <f t="shared" si="24"/>
        <v>1</v>
      </c>
      <c r="V103" s="64">
        <f t="shared" si="24"/>
        <v>1</v>
      </c>
      <c r="W103" s="64">
        <f t="shared" si="24"/>
        <v>1</v>
      </c>
      <c r="X103" s="64">
        <f t="shared" si="24"/>
        <v>1</v>
      </c>
      <c r="Y103" s="64">
        <f t="shared" si="24"/>
        <v>1</v>
      </c>
      <c r="Z103" s="64">
        <f t="shared" si="24"/>
        <v>1</v>
      </c>
      <c r="AA103" s="64">
        <f t="shared" si="24"/>
        <v>1</v>
      </c>
      <c r="AB103" s="64">
        <f t="shared" si="24"/>
        <v>1</v>
      </c>
      <c r="AC103" s="64">
        <f t="shared" si="24"/>
        <v>1</v>
      </c>
      <c r="AD103" s="64">
        <f t="shared" si="24"/>
        <v>1</v>
      </c>
      <c r="AE103" s="64">
        <f t="shared" si="24"/>
        <v>1</v>
      </c>
      <c r="AF103" s="64">
        <f t="shared" si="24"/>
        <v>1</v>
      </c>
      <c r="AG103" s="64">
        <f t="shared" si="24"/>
        <v>1</v>
      </c>
      <c r="AH103" s="64">
        <f t="shared" si="24"/>
        <v>0</v>
      </c>
      <c r="AI103" s="64">
        <f t="shared" si="24"/>
        <v>0</v>
      </c>
      <c r="AJ103"/>
      <c r="AK103" s="27"/>
      <c r="AL103" s="28"/>
      <c r="AM103"/>
      <c r="AN103" s="29"/>
    </row>
    <row r="104" spans="2:42" ht="15.9">
      <c r="B104" s="61"/>
      <c r="C104" s="65" t="s">
        <v>121</v>
      </c>
      <c r="D104" s="66"/>
      <c r="E104" s="64">
        <f t="shared" ref="E104:AI104" si="25">E35</f>
        <v>2</v>
      </c>
      <c r="F104" s="64">
        <f t="shared" si="25"/>
        <v>2</v>
      </c>
      <c r="G104" s="64">
        <f t="shared" si="25"/>
        <v>2</v>
      </c>
      <c r="H104" s="64">
        <f t="shared" si="25"/>
        <v>2</v>
      </c>
      <c r="I104" s="64">
        <f t="shared" si="25"/>
        <v>2</v>
      </c>
      <c r="J104" s="64">
        <f t="shared" si="25"/>
        <v>1</v>
      </c>
      <c r="K104" s="64">
        <f t="shared" si="25"/>
        <v>2</v>
      </c>
      <c r="L104" s="64">
        <f t="shared" si="25"/>
        <v>2</v>
      </c>
      <c r="M104" s="64">
        <f t="shared" si="25"/>
        <v>2</v>
      </c>
      <c r="N104" s="64">
        <f t="shared" si="25"/>
        <v>2</v>
      </c>
      <c r="O104" s="64">
        <f t="shared" si="25"/>
        <v>2</v>
      </c>
      <c r="P104" s="64">
        <f t="shared" si="25"/>
        <v>1</v>
      </c>
      <c r="Q104" s="64">
        <f t="shared" si="25"/>
        <v>2</v>
      </c>
      <c r="R104" s="64">
        <f t="shared" si="25"/>
        <v>2</v>
      </c>
      <c r="S104" s="64">
        <f t="shared" si="25"/>
        <v>1</v>
      </c>
      <c r="T104" s="64">
        <f t="shared" si="25"/>
        <v>2</v>
      </c>
      <c r="U104" s="64">
        <f t="shared" si="25"/>
        <v>2</v>
      </c>
      <c r="V104" s="64">
        <f t="shared" si="25"/>
        <v>2</v>
      </c>
      <c r="W104" s="64">
        <f t="shared" si="25"/>
        <v>2</v>
      </c>
      <c r="X104" s="64">
        <f t="shared" si="25"/>
        <v>2</v>
      </c>
      <c r="Y104" s="64">
        <f t="shared" si="25"/>
        <v>2</v>
      </c>
      <c r="Z104" s="64">
        <f t="shared" si="25"/>
        <v>2</v>
      </c>
      <c r="AA104" s="64">
        <f t="shared" si="25"/>
        <v>2</v>
      </c>
      <c r="AB104" s="64">
        <f t="shared" si="25"/>
        <v>2</v>
      </c>
      <c r="AC104" s="64">
        <f t="shared" si="25"/>
        <v>2</v>
      </c>
      <c r="AD104" s="64">
        <f t="shared" si="25"/>
        <v>2</v>
      </c>
      <c r="AE104" s="64">
        <f t="shared" si="25"/>
        <v>2</v>
      </c>
      <c r="AF104" s="64">
        <f t="shared" si="25"/>
        <v>2</v>
      </c>
      <c r="AG104" s="64">
        <f t="shared" si="25"/>
        <v>2</v>
      </c>
      <c r="AH104" s="64">
        <f t="shared" si="25"/>
        <v>0</v>
      </c>
      <c r="AI104" s="64">
        <f t="shared" si="25"/>
        <v>0</v>
      </c>
      <c r="AJ104"/>
      <c r="AK104" s="27"/>
      <c r="AL104" s="28"/>
      <c r="AM104"/>
      <c r="AN104" s="29"/>
    </row>
    <row r="105" spans="2:42">
      <c r="C105" s="67" t="s">
        <v>122</v>
      </c>
      <c r="D105" s="68"/>
      <c r="E105" s="64">
        <f t="shared" ref="E105:AI105" si="26">E36</f>
        <v>4</v>
      </c>
      <c r="F105" s="64">
        <f t="shared" si="26"/>
        <v>2</v>
      </c>
      <c r="G105" s="64">
        <f t="shared" si="26"/>
        <v>4</v>
      </c>
      <c r="H105" s="64">
        <f t="shared" si="26"/>
        <v>4</v>
      </c>
      <c r="I105" s="64">
        <f t="shared" si="26"/>
        <v>4</v>
      </c>
      <c r="J105" s="64">
        <f t="shared" si="26"/>
        <v>0</v>
      </c>
      <c r="K105" s="64">
        <f t="shared" si="26"/>
        <v>4</v>
      </c>
      <c r="L105" s="64">
        <f t="shared" si="26"/>
        <v>4</v>
      </c>
      <c r="M105" s="64">
        <f t="shared" si="26"/>
        <v>2</v>
      </c>
      <c r="N105" s="64">
        <f t="shared" si="26"/>
        <v>4</v>
      </c>
      <c r="O105" s="64">
        <f t="shared" si="26"/>
        <v>4</v>
      </c>
      <c r="P105" s="64">
        <f t="shared" si="26"/>
        <v>0</v>
      </c>
      <c r="Q105" s="64">
        <f t="shared" si="26"/>
        <v>4</v>
      </c>
      <c r="R105" s="64">
        <f t="shared" si="26"/>
        <v>4</v>
      </c>
      <c r="S105" s="64">
        <f t="shared" si="26"/>
        <v>4</v>
      </c>
      <c r="T105" s="64">
        <f t="shared" si="26"/>
        <v>3</v>
      </c>
      <c r="U105" s="64">
        <f t="shared" si="26"/>
        <v>4</v>
      </c>
      <c r="V105" s="64">
        <f t="shared" si="26"/>
        <v>4</v>
      </c>
      <c r="W105" s="64">
        <f t="shared" si="26"/>
        <v>0</v>
      </c>
      <c r="X105" s="64">
        <f t="shared" si="26"/>
        <v>4</v>
      </c>
      <c r="Y105" s="64">
        <f t="shared" si="26"/>
        <v>4</v>
      </c>
      <c r="Z105" s="64">
        <f t="shared" si="26"/>
        <v>4</v>
      </c>
      <c r="AA105" s="64">
        <f t="shared" si="26"/>
        <v>2</v>
      </c>
      <c r="AB105" s="64">
        <f t="shared" si="26"/>
        <v>4</v>
      </c>
      <c r="AC105" s="64">
        <f t="shared" si="26"/>
        <v>4</v>
      </c>
      <c r="AD105" s="64">
        <f t="shared" si="26"/>
        <v>0</v>
      </c>
      <c r="AE105" s="64">
        <f t="shared" si="26"/>
        <v>4</v>
      </c>
      <c r="AF105" s="64">
        <f t="shared" si="26"/>
        <v>4</v>
      </c>
      <c r="AG105" s="64">
        <f t="shared" si="26"/>
        <v>4</v>
      </c>
      <c r="AH105" s="64">
        <f t="shared" si="26"/>
        <v>3</v>
      </c>
      <c r="AI105" s="64">
        <f t="shared" si="26"/>
        <v>3</v>
      </c>
      <c r="AJ105"/>
      <c r="AK105" s="27"/>
      <c r="AL105" s="28"/>
      <c r="AM105"/>
      <c r="AN105" s="29"/>
    </row>
    <row r="106" spans="2:42">
      <c r="C106" s="69" t="s">
        <v>123</v>
      </c>
      <c r="D106" s="70"/>
      <c r="E106" s="64">
        <f t="shared" ref="E106:AI106" si="27">E37</f>
        <v>4</v>
      </c>
      <c r="F106" s="64">
        <f t="shared" si="27"/>
        <v>4</v>
      </c>
      <c r="G106" s="64">
        <f t="shared" si="27"/>
        <v>3</v>
      </c>
      <c r="H106" s="64">
        <f t="shared" si="27"/>
        <v>4</v>
      </c>
      <c r="I106" s="64">
        <f t="shared" si="27"/>
        <v>4</v>
      </c>
      <c r="J106" s="64">
        <f t="shared" si="27"/>
        <v>0</v>
      </c>
      <c r="K106" s="64">
        <f t="shared" si="27"/>
        <v>4</v>
      </c>
      <c r="L106" s="64">
        <f t="shared" si="27"/>
        <v>4</v>
      </c>
      <c r="M106" s="64">
        <f t="shared" si="27"/>
        <v>4</v>
      </c>
      <c r="N106" s="64">
        <f t="shared" si="27"/>
        <v>4</v>
      </c>
      <c r="O106" s="64">
        <f t="shared" si="27"/>
        <v>4</v>
      </c>
      <c r="P106" s="64">
        <f t="shared" si="27"/>
        <v>4</v>
      </c>
      <c r="Q106" s="64">
        <f t="shared" si="27"/>
        <v>0</v>
      </c>
      <c r="R106" s="64">
        <f t="shared" si="27"/>
        <v>4</v>
      </c>
      <c r="S106" s="64">
        <f t="shared" si="27"/>
        <v>4</v>
      </c>
      <c r="T106" s="64">
        <f t="shared" si="27"/>
        <v>1</v>
      </c>
      <c r="U106" s="64">
        <f t="shared" si="27"/>
        <v>4</v>
      </c>
      <c r="V106" s="64">
        <f t="shared" si="27"/>
        <v>4</v>
      </c>
      <c r="W106" s="64">
        <f t="shared" si="27"/>
        <v>4</v>
      </c>
      <c r="X106" s="64">
        <f t="shared" si="27"/>
        <v>0</v>
      </c>
      <c r="Y106" s="64">
        <f t="shared" si="27"/>
        <v>3</v>
      </c>
      <c r="Z106" s="64">
        <f t="shared" si="27"/>
        <v>3</v>
      </c>
      <c r="AA106" s="64">
        <f t="shared" si="27"/>
        <v>3</v>
      </c>
      <c r="AB106" s="64">
        <f t="shared" si="27"/>
        <v>3</v>
      </c>
      <c r="AC106" s="64">
        <f t="shared" si="27"/>
        <v>3</v>
      </c>
      <c r="AD106" s="64">
        <f t="shared" si="27"/>
        <v>3</v>
      </c>
      <c r="AE106" s="64">
        <f t="shared" si="27"/>
        <v>0</v>
      </c>
      <c r="AF106" s="64">
        <f t="shared" si="27"/>
        <v>4</v>
      </c>
      <c r="AG106" s="64">
        <f t="shared" si="27"/>
        <v>4</v>
      </c>
      <c r="AH106" s="64">
        <f t="shared" si="27"/>
        <v>1</v>
      </c>
      <c r="AI106" s="64">
        <f t="shared" si="27"/>
        <v>0</v>
      </c>
      <c r="AJ106"/>
      <c r="AK106" s="27"/>
      <c r="AL106" s="28"/>
      <c r="AM106"/>
      <c r="AN106" s="29"/>
    </row>
    <row r="107" spans="2:42" ht="15.9">
      <c r="C107" s="56"/>
      <c r="D107" s="57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97"/>
      <c r="AH107" s="98"/>
      <c r="AI107" s="27"/>
      <c r="AJ107"/>
      <c r="AK107" s="27"/>
      <c r="AL107" s="28"/>
      <c r="AM107"/>
      <c r="AN107" s="29"/>
    </row>
    <row r="108" spans="2:42" s="73" customFormat="1">
      <c r="C108" s="660" t="s">
        <v>122</v>
      </c>
      <c r="D108" s="660"/>
      <c r="E108" s="99"/>
      <c r="F108" s="661"/>
      <c r="G108" s="661"/>
      <c r="H108" s="661"/>
      <c r="I108" s="100"/>
      <c r="J108" s="661"/>
      <c r="K108" s="661"/>
      <c r="L108" s="100"/>
      <c r="M108" s="661"/>
      <c r="N108" s="661"/>
      <c r="O108" s="661"/>
      <c r="P108" s="100"/>
      <c r="Q108" s="661"/>
      <c r="R108" s="661"/>
      <c r="S108" s="100"/>
      <c r="T108" s="661"/>
      <c r="U108" s="661"/>
      <c r="V108" s="661"/>
      <c r="W108" s="100"/>
      <c r="X108" s="661"/>
      <c r="Y108" s="661"/>
      <c r="Z108" s="100"/>
      <c r="AA108" s="661"/>
      <c r="AB108" s="661"/>
      <c r="AC108" s="661"/>
      <c r="AD108" s="100"/>
      <c r="AE108" s="658"/>
      <c r="AF108" s="658"/>
      <c r="AG108" s="101"/>
      <c r="AH108" s="658"/>
      <c r="AI108" s="658"/>
      <c r="AJ108" s="80"/>
      <c r="AK108" s="27"/>
      <c r="AL108" s="28"/>
      <c r="AM108"/>
      <c r="AN108" s="29"/>
      <c r="AO108" s="1"/>
      <c r="AP108" s="1"/>
    </row>
    <row r="109" spans="2:42" s="73" customFormat="1">
      <c r="C109" s="660"/>
      <c r="D109" s="660"/>
      <c r="E109" s="102"/>
      <c r="F109" s="653"/>
      <c r="G109" s="653"/>
      <c r="H109" s="653"/>
      <c r="I109" s="103"/>
      <c r="J109" s="653"/>
      <c r="K109" s="653"/>
      <c r="L109" s="103"/>
      <c r="M109" s="653"/>
      <c r="N109" s="653"/>
      <c r="O109" s="653"/>
      <c r="P109" s="103"/>
      <c r="Q109" s="653"/>
      <c r="R109" s="653"/>
      <c r="S109" s="103"/>
      <c r="T109" s="653"/>
      <c r="U109" s="653"/>
      <c r="V109" s="653"/>
      <c r="W109" s="103"/>
      <c r="X109" s="653"/>
      <c r="Y109" s="653"/>
      <c r="Z109" s="103"/>
      <c r="AA109" s="653"/>
      <c r="AB109" s="653"/>
      <c r="AC109" s="653"/>
      <c r="AD109" s="103"/>
      <c r="AE109" s="648"/>
      <c r="AF109" s="648"/>
      <c r="AG109" s="104"/>
      <c r="AH109" s="648"/>
      <c r="AI109" s="648"/>
      <c r="AJ109" s="80"/>
      <c r="AK109" s="27"/>
      <c r="AL109" s="28"/>
      <c r="AM109"/>
      <c r="AN109" s="29"/>
      <c r="AO109" s="1"/>
      <c r="AP109" s="1"/>
    </row>
    <row r="110" spans="2:42" s="73" customFormat="1">
      <c r="C110" s="660"/>
      <c r="D110" s="660"/>
      <c r="E110" s="102"/>
      <c r="F110" s="653"/>
      <c r="G110" s="653"/>
      <c r="H110" s="653"/>
      <c r="I110" s="103"/>
      <c r="J110" s="653"/>
      <c r="K110" s="653"/>
      <c r="L110" s="103"/>
      <c r="M110" s="653"/>
      <c r="N110" s="653"/>
      <c r="O110" s="653"/>
      <c r="P110" s="103"/>
      <c r="Q110" s="653"/>
      <c r="R110" s="653"/>
      <c r="S110" s="103"/>
      <c r="T110" s="653"/>
      <c r="U110" s="653"/>
      <c r="V110" s="653"/>
      <c r="W110" s="103"/>
      <c r="X110" s="653"/>
      <c r="Y110" s="653"/>
      <c r="Z110" s="103"/>
      <c r="AA110" s="653"/>
      <c r="AB110" s="653"/>
      <c r="AC110" s="653"/>
      <c r="AD110" s="103"/>
      <c r="AE110" s="648"/>
      <c r="AF110" s="648"/>
      <c r="AG110" s="105"/>
      <c r="AH110" s="648"/>
      <c r="AI110" s="648"/>
      <c r="AJ110" s="80"/>
      <c r="AK110" s="27"/>
      <c r="AL110" s="28"/>
      <c r="AM110"/>
      <c r="AN110" s="29"/>
      <c r="AO110" s="1"/>
      <c r="AP110" s="1"/>
    </row>
    <row r="111" spans="2:42" s="73" customFormat="1">
      <c r="C111" s="660"/>
      <c r="D111" s="660"/>
      <c r="E111" s="106"/>
      <c r="F111" s="649"/>
      <c r="G111" s="649"/>
      <c r="H111" s="649"/>
      <c r="I111" s="107"/>
      <c r="J111" s="649"/>
      <c r="K111" s="649"/>
      <c r="L111" s="107"/>
      <c r="M111" s="649"/>
      <c r="N111" s="649"/>
      <c r="O111" s="649"/>
      <c r="P111" s="107"/>
      <c r="Q111" s="649"/>
      <c r="R111" s="649"/>
      <c r="S111" s="107"/>
      <c r="T111" s="649"/>
      <c r="U111" s="649"/>
      <c r="V111" s="649"/>
      <c r="W111" s="107"/>
      <c r="X111" s="649"/>
      <c r="Y111" s="649"/>
      <c r="Z111" s="107"/>
      <c r="AA111" s="649"/>
      <c r="AB111" s="649"/>
      <c r="AC111" s="649"/>
      <c r="AD111" s="107"/>
      <c r="AE111" s="651"/>
      <c r="AF111" s="651"/>
      <c r="AG111" s="108"/>
      <c r="AH111" s="651"/>
      <c r="AI111" s="651"/>
      <c r="AJ111" s="80"/>
      <c r="AK111" s="27"/>
      <c r="AL111" s="28"/>
      <c r="AM111"/>
      <c r="AN111" s="29"/>
      <c r="AO111" s="1"/>
      <c r="AP111" s="1"/>
    </row>
    <row r="112" spans="2:42" s="73" customFormat="1">
      <c r="C112" s="77"/>
      <c r="D112" s="77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109"/>
      <c r="AH112" s="110"/>
      <c r="AI112" s="79"/>
      <c r="AJ112" s="80"/>
      <c r="AK112" s="27"/>
      <c r="AL112" s="28"/>
      <c r="AM112"/>
      <c r="AN112" s="29"/>
      <c r="AO112" s="1"/>
      <c r="AP112" s="1"/>
    </row>
    <row r="113" spans="3:42" s="73" customFormat="1" ht="11.25" customHeight="1">
      <c r="C113" s="655" t="s">
        <v>123</v>
      </c>
      <c r="D113" s="655"/>
      <c r="E113" s="99"/>
      <c r="F113" s="656"/>
      <c r="G113" s="656"/>
      <c r="H113" s="656"/>
      <c r="I113" s="100"/>
      <c r="J113" s="657"/>
      <c r="K113" s="657"/>
      <c r="L113" s="100"/>
      <c r="M113" s="656"/>
      <c r="N113" s="656"/>
      <c r="O113" s="656"/>
      <c r="P113" s="100"/>
      <c r="Q113" s="657"/>
      <c r="R113" s="657"/>
      <c r="S113" s="100"/>
      <c r="T113" s="656"/>
      <c r="U113" s="656"/>
      <c r="V113" s="656"/>
      <c r="W113" s="100"/>
      <c r="X113" s="656"/>
      <c r="Y113" s="656"/>
      <c r="Z113" s="100"/>
      <c r="AA113" s="656"/>
      <c r="AB113" s="656"/>
      <c r="AC113" s="656"/>
      <c r="AD113" s="100"/>
      <c r="AE113" s="652"/>
      <c r="AF113" s="652"/>
      <c r="AG113" s="113"/>
      <c r="AH113" s="652"/>
      <c r="AI113" s="652"/>
      <c r="AJ113" s="80"/>
      <c r="AK113" s="27"/>
      <c r="AL113" s="28"/>
      <c r="AM113"/>
      <c r="AN113" s="29"/>
      <c r="AO113" s="1"/>
      <c r="AP113" s="1"/>
    </row>
    <row r="114" spans="3:42" s="73" customFormat="1" ht="11.25" customHeight="1">
      <c r="C114" s="655"/>
      <c r="D114" s="655"/>
      <c r="E114" s="102"/>
      <c r="F114" s="653"/>
      <c r="G114" s="653"/>
      <c r="H114" s="653"/>
      <c r="I114" s="103"/>
      <c r="J114" s="654"/>
      <c r="K114" s="654"/>
      <c r="L114" s="103"/>
      <c r="M114" s="653"/>
      <c r="N114" s="653"/>
      <c r="O114" s="653"/>
      <c r="P114" s="103"/>
      <c r="Q114" s="654"/>
      <c r="R114" s="654"/>
      <c r="S114" s="103"/>
      <c r="T114" s="653"/>
      <c r="U114" s="653"/>
      <c r="V114" s="653"/>
      <c r="W114" s="103"/>
      <c r="X114" s="653"/>
      <c r="Y114" s="653"/>
      <c r="Z114" s="103"/>
      <c r="AA114" s="653"/>
      <c r="AB114" s="653"/>
      <c r="AC114" s="653"/>
      <c r="AD114" s="103"/>
      <c r="AE114" s="648"/>
      <c r="AF114" s="648"/>
      <c r="AG114" s="104"/>
      <c r="AH114" s="648"/>
      <c r="AI114" s="648"/>
      <c r="AJ114" s="80"/>
      <c r="AK114" s="27"/>
      <c r="AL114" s="28"/>
      <c r="AM114"/>
      <c r="AN114" s="29"/>
      <c r="AO114" s="1"/>
      <c r="AP114" s="1"/>
    </row>
    <row r="115" spans="3:42" s="73" customFormat="1" ht="11.25" customHeight="1">
      <c r="C115" s="655"/>
      <c r="D115" s="655"/>
      <c r="E115" s="102"/>
      <c r="F115" s="653"/>
      <c r="G115" s="653"/>
      <c r="H115" s="653"/>
      <c r="I115" s="103"/>
      <c r="J115" s="654"/>
      <c r="K115" s="654"/>
      <c r="L115" s="103"/>
      <c r="M115" s="653"/>
      <c r="N115" s="653"/>
      <c r="O115" s="653"/>
      <c r="P115" s="103"/>
      <c r="Q115" s="654"/>
      <c r="R115" s="654"/>
      <c r="S115" s="103"/>
      <c r="T115" s="653"/>
      <c r="U115" s="653"/>
      <c r="V115" s="653"/>
      <c r="W115" s="103"/>
      <c r="X115" s="653"/>
      <c r="Y115" s="653"/>
      <c r="Z115" s="103"/>
      <c r="AA115" s="653"/>
      <c r="AB115" s="653"/>
      <c r="AC115" s="653"/>
      <c r="AD115" s="103"/>
      <c r="AE115" s="648"/>
      <c r="AF115" s="648"/>
      <c r="AG115" s="104"/>
      <c r="AH115" s="648"/>
      <c r="AI115" s="648"/>
      <c r="AJ115" s="80"/>
      <c r="AK115" s="27"/>
      <c r="AL115" s="28"/>
      <c r="AM115"/>
      <c r="AN115" s="29"/>
      <c r="AO115" s="1"/>
      <c r="AP115" s="1"/>
    </row>
    <row r="116" spans="3:42" s="73" customFormat="1" ht="11.25" customHeight="1">
      <c r="C116" s="655"/>
      <c r="D116" s="655"/>
      <c r="E116" s="106"/>
      <c r="F116" s="649"/>
      <c r="G116" s="649"/>
      <c r="H116" s="649"/>
      <c r="I116" s="107"/>
      <c r="J116" s="650"/>
      <c r="K116" s="650"/>
      <c r="L116" s="107"/>
      <c r="M116" s="649"/>
      <c r="N116" s="649"/>
      <c r="O116" s="649"/>
      <c r="P116" s="107"/>
      <c r="Q116" s="650"/>
      <c r="R116" s="650"/>
      <c r="S116" s="107"/>
      <c r="T116" s="649"/>
      <c r="U116" s="649"/>
      <c r="V116" s="649"/>
      <c r="W116" s="107"/>
      <c r="X116" s="649"/>
      <c r="Y116" s="649"/>
      <c r="Z116" s="107"/>
      <c r="AA116" s="649"/>
      <c r="AB116" s="649"/>
      <c r="AC116" s="649"/>
      <c r="AD116" s="107"/>
      <c r="AE116" s="651"/>
      <c r="AF116" s="651"/>
      <c r="AG116" s="108"/>
      <c r="AH116" s="651"/>
      <c r="AI116" s="651"/>
      <c r="AJ116" s="80"/>
      <c r="AK116" s="27"/>
      <c r="AL116" s="28"/>
      <c r="AM116"/>
      <c r="AN116" s="29"/>
      <c r="AO116" s="1"/>
      <c r="AP116" s="1"/>
    </row>
    <row r="117" spans="3:42" ht="15.9">
      <c r="C117" s="61"/>
      <c r="D117" s="81"/>
      <c r="AK117" s="27"/>
      <c r="AL117" s="28"/>
      <c r="AM117"/>
      <c r="AN117" s="29"/>
    </row>
  </sheetData>
  <mergeCells count="152">
    <mergeCell ref="M5:AH5"/>
    <mergeCell ref="E18:M18"/>
    <mergeCell ref="E25:M25"/>
    <mergeCell ref="C39:D42"/>
    <mergeCell ref="E39:H39"/>
    <mergeCell ref="J39:L39"/>
    <mergeCell ref="N39:O39"/>
    <mergeCell ref="Q39:S39"/>
    <mergeCell ref="U39:V39"/>
    <mergeCell ref="X39:Z39"/>
    <mergeCell ref="AB39:AC39"/>
    <mergeCell ref="AE39:AH39"/>
    <mergeCell ref="E40:H40"/>
    <mergeCell ref="J40:L40"/>
    <mergeCell ref="N40:O40"/>
    <mergeCell ref="Q40:S40"/>
    <mergeCell ref="U40:V40"/>
    <mergeCell ref="X40:Z40"/>
    <mergeCell ref="AB40:AC40"/>
    <mergeCell ref="AE40:AH40"/>
    <mergeCell ref="E41:H41"/>
    <mergeCell ref="J41:L41"/>
    <mergeCell ref="N41:O41"/>
    <mergeCell ref="Q41:S41"/>
    <mergeCell ref="U41:V41"/>
    <mergeCell ref="X41:Z41"/>
    <mergeCell ref="AB41:AC41"/>
    <mergeCell ref="AE41:AH41"/>
    <mergeCell ref="E42:H42"/>
    <mergeCell ref="J42:L42"/>
    <mergeCell ref="N42:O42"/>
    <mergeCell ref="Q42:S42"/>
    <mergeCell ref="U42:V42"/>
    <mergeCell ref="X42:Z42"/>
    <mergeCell ref="AB42:AC42"/>
    <mergeCell ref="AE42:AH42"/>
    <mergeCell ref="C44:D47"/>
    <mergeCell ref="E44:H44"/>
    <mergeCell ref="J44:L44"/>
    <mergeCell ref="N44:O44"/>
    <mergeCell ref="Q44:S44"/>
    <mergeCell ref="U44:V44"/>
    <mergeCell ref="X44:Z44"/>
    <mergeCell ref="AB44:AC44"/>
    <mergeCell ref="AE44:AH44"/>
    <mergeCell ref="E45:H45"/>
    <mergeCell ref="J45:L45"/>
    <mergeCell ref="N45:O45"/>
    <mergeCell ref="Q45:S45"/>
    <mergeCell ref="U45:V45"/>
    <mergeCell ref="X45:Z45"/>
    <mergeCell ref="AB45:AC45"/>
    <mergeCell ref="AE45:AH45"/>
    <mergeCell ref="E46:H46"/>
    <mergeCell ref="J46:L46"/>
    <mergeCell ref="N46:O46"/>
    <mergeCell ref="Q46:S46"/>
    <mergeCell ref="U46:V46"/>
    <mergeCell ref="X46:Z46"/>
    <mergeCell ref="AB46:AC46"/>
    <mergeCell ref="AE46:AH46"/>
    <mergeCell ref="E47:H47"/>
    <mergeCell ref="J47:L47"/>
    <mergeCell ref="N47:O47"/>
    <mergeCell ref="Q47:S47"/>
    <mergeCell ref="U47:V47"/>
    <mergeCell ref="X47:Z47"/>
    <mergeCell ref="AB47:AC47"/>
    <mergeCell ref="AE47:AH47"/>
    <mergeCell ref="M54:Y54"/>
    <mergeCell ref="AA54:AH54"/>
    <mergeCell ref="M68:Y68"/>
    <mergeCell ref="AA68:AH68"/>
    <mergeCell ref="E75:M75"/>
    <mergeCell ref="M76:AH76"/>
    <mergeCell ref="M83:Z83"/>
    <mergeCell ref="AB83:AH83"/>
    <mergeCell ref="M101:AH101"/>
    <mergeCell ref="C108:D111"/>
    <mergeCell ref="F108:H108"/>
    <mergeCell ref="J108:K108"/>
    <mergeCell ref="M108:O108"/>
    <mergeCell ref="Q108:R108"/>
    <mergeCell ref="T108:V108"/>
    <mergeCell ref="X108:Y108"/>
    <mergeCell ref="AA108:AC108"/>
    <mergeCell ref="AE108:AF108"/>
    <mergeCell ref="F110:H110"/>
    <mergeCell ref="J110:K110"/>
    <mergeCell ref="M110:O110"/>
    <mergeCell ref="Q110:R110"/>
    <mergeCell ref="T110:V110"/>
    <mergeCell ref="X110:Y110"/>
    <mergeCell ref="AA110:AC110"/>
    <mergeCell ref="AE110:AF110"/>
    <mergeCell ref="AH108:AI108"/>
    <mergeCell ref="F109:H109"/>
    <mergeCell ref="J109:K109"/>
    <mergeCell ref="M109:O109"/>
    <mergeCell ref="Q109:R109"/>
    <mergeCell ref="T109:V109"/>
    <mergeCell ref="X109:Y109"/>
    <mergeCell ref="AA109:AC109"/>
    <mergeCell ref="AE109:AF109"/>
    <mergeCell ref="AH109:AI109"/>
    <mergeCell ref="AH110:AI110"/>
    <mergeCell ref="F111:H111"/>
    <mergeCell ref="J111:K111"/>
    <mergeCell ref="M111:O111"/>
    <mergeCell ref="Q111:R111"/>
    <mergeCell ref="T111:V111"/>
    <mergeCell ref="X111:Y111"/>
    <mergeCell ref="AA111:AC111"/>
    <mergeCell ref="AE111:AF111"/>
    <mergeCell ref="AH111:AI111"/>
    <mergeCell ref="C113:D116"/>
    <mergeCell ref="F113:H113"/>
    <mergeCell ref="J113:K113"/>
    <mergeCell ref="M113:O113"/>
    <mergeCell ref="Q113:R113"/>
    <mergeCell ref="T113:V113"/>
    <mergeCell ref="X113:Y113"/>
    <mergeCell ref="AA113:AC113"/>
    <mergeCell ref="AE113:AF113"/>
    <mergeCell ref="F115:H115"/>
    <mergeCell ref="J115:K115"/>
    <mergeCell ref="M115:O115"/>
    <mergeCell ref="Q115:R115"/>
    <mergeCell ref="T115:V115"/>
    <mergeCell ref="X115:Y115"/>
    <mergeCell ref="AA115:AC115"/>
    <mergeCell ref="AE115:AF115"/>
    <mergeCell ref="AH113:AI113"/>
    <mergeCell ref="F114:H114"/>
    <mergeCell ref="J114:K114"/>
    <mergeCell ref="M114:O114"/>
    <mergeCell ref="Q114:R114"/>
    <mergeCell ref="T114:V114"/>
    <mergeCell ref="X114:Y114"/>
    <mergeCell ref="AA114:AC114"/>
    <mergeCell ref="AE114:AF114"/>
    <mergeCell ref="AH114:AI114"/>
    <mergeCell ref="AH115:AI115"/>
    <mergeCell ref="F116:H116"/>
    <mergeCell ref="J116:K116"/>
    <mergeCell ref="M116:O116"/>
    <mergeCell ref="Q116:R116"/>
    <mergeCell ref="T116:V116"/>
    <mergeCell ref="X116:Y116"/>
    <mergeCell ref="AA116:AC116"/>
    <mergeCell ref="AE116:AF116"/>
    <mergeCell ref="AH116:AI116"/>
  </mergeCells>
  <conditionalFormatting sqref="A2:A33">
    <cfRule type="containsText" dxfId="1087" priority="2" operator="containsText" text="SG007">
      <formula>NOT(ISERROR(SEARCH("SG007",A2)))</formula>
    </cfRule>
    <cfRule type="containsText" dxfId="1086" priority="3" operator="containsText" text="SG068">
      <formula>NOT(ISERROR(SEARCH("SG068",A2)))</formula>
    </cfRule>
    <cfRule type="containsText" dxfId="1085" priority="4" operator="containsText" text="SG214">
      <formula>NOT(ISERROR(SEARCH("SG214",A2)))</formula>
    </cfRule>
    <cfRule type="containsText" dxfId="1084" priority="5" operator="containsText" text="SG212">
      <formula>NOT(ISERROR(SEARCH("SG212",A2)))</formula>
    </cfRule>
  </conditionalFormatting>
  <conditionalFormatting sqref="A5:A33">
    <cfRule type="containsText" dxfId="1083" priority="6" operator="containsText" text="SG070">
      <formula>NOT(ISERROR(SEARCH("SG070",A5)))</formula>
    </cfRule>
  </conditionalFormatting>
  <conditionalFormatting sqref="A102">
    <cfRule type="containsText" dxfId="1082" priority="80" operator="containsText" text="SG070">
      <formula>NOT(ISERROR(SEARCH("SG070",A102)))</formula>
    </cfRule>
    <cfRule type="containsText" dxfId="1081" priority="79" operator="containsText" text="SG212">
      <formula>NOT(ISERROR(SEARCH("SG212",A102)))</formula>
    </cfRule>
    <cfRule type="containsText" dxfId="1080" priority="78" operator="containsText" text="SG214">
      <formula>NOT(ISERROR(SEARCH("SG214",A102)))</formula>
    </cfRule>
    <cfRule type="containsText" dxfId="1079" priority="77" operator="containsText" text="SG068">
      <formula>NOT(ISERROR(SEARCH("SG068",A102)))</formula>
    </cfRule>
    <cfRule type="containsText" dxfId="1078" priority="76" operator="containsText" text="SG007">
      <formula>NOT(ISERROR(SEARCH("SG007",A102)))</formula>
    </cfRule>
  </conditionalFormatting>
  <conditionalFormatting sqref="E2:I17 E18 E19:M24 E25 E26:M32">
    <cfRule type="containsText" dxfId="1077" priority="128" operator="containsText" text="l4">
      <formula>NOT(ISERROR(SEARCH("l4",E2)))</formula>
    </cfRule>
    <cfRule type="containsText" dxfId="1076" priority="129" operator="containsText" text="12g">
      <formula>NOT(ISERROR(SEARCH("12g",E2)))</formula>
    </cfRule>
    <cfRule type="containsText" dxfId="1074" priority="131" operator="containsText" text="wse">
      <formula>NOT(ISERROR(SEARCH("wse",E2)))</formula>
    </cfRule>
    <cfRule type="containsText" dxfId="1073" priority="132" operator="containsText" text="k">
      <formula>NOT(ISERROR(SEARCH("k",E2)))</formula>
    </cfRule>
    <cfRule type="containsText" dxfId="1072" priority="133" operator="containsText" text="u">
      <formula>NOT(ISERROR(SEARCH("u",E2)))</formula>
    </cfRule>
    <cfRule type="containsText" dxfId="1071" priority="134" operator="containsText" text="s">
      <formula>NOT(ISERROR(SEARCH("s",E2)))</formula>
    </cfRule>
    <cfRule type="containsText" dxfId="1070" priority="135" operator="containsText" text="d">
      <formula>NOT(ISERROR(SEARCH("d",E2)))</formula>
    </cfRule>
    <cfRule type="cellIs" dxfId="1069" priority="136" operator="greaterThan">
      <formula>0</formula>
    </cfRule>
  </conditionalFormatting>
  <conditionalFormatting sqref="E33:I33 L33:P33 S33:W33 Z33:AD33">
    <cfRule type="cellIs" dxfId="1068" priority="68" operator="greaterThan">
      <formula>0</formula>
    </cfRule>
  </conditionalFormatting>
  <conditionalFormatting sqref="E52:I74 J53:M74 E75">
    <cfRule type="containsText" dxfId="1067" priority="273" operator="containsText" text="s">
      <formula>NOT(ISERROR(SEARCH("s",E52)))</formula>
    </cfRule>
    <cfRule type="containsText" dxfId="1066" priority="272" operator="containsText" text="u">
      <formula>NOT(ISERROR(SEARCH("u",E52)))</formula>
    </cfRule>
    <cfRule type="containsText" dxfId="1065" priority="271" operator="containsText" text="k">
      <formula>NOT(ISERROR(SEARCH("k",E52)))</formula>
    </cfRule>
    <cfRule type="containsText" dxfId="1064" priority="270" operator="containsText" text="wse">
      <formula>NOT(ISERROR(SEARCH("wse",E52)))</formula>
    </cfRule>
    <cfRule type="containsText" dxfId="1063" priority="274" operator="containsText" text="d">
      <formula>NOT(ISERROR(SEARCH("d",E52)))</formula>
    </cfRule>
    <cfRule type="cellIs" dxfId="1062" priority="275" operator="greaterThan">
      <formula>0</formula>
    </cfRule>
  </conditionalFormatting>
  <conditionalFormatting sqref="E76:I102 S102:W102 Z102:AD102 L102:P102">
    <cfRule type="cellIs" dxfId="1061" priority="121" operator="greaterThan">
      <formula>0</formula>
    </cfRule>
  </conditionalFormatting>
  <conditionalFormatting sqref="E76:I102 S102:W102">
    <cfRule type="containsText" dxfId="1059" priority="116" operator="containsText" text="wse">
      <formula>NOT(ISERROR(SEARCH("wse",E76)))</formula>
    </cfRule>
    <cfRule type="containsText" dxfId="1058" priority="117" operator="containsText" text="k">
      <formula>NOT(ISERROR(SEARCH("k",E76)))</formula>
    </cfRule>
    <cfRule type="containsText" dxfId="1057" priority="118" operator="containsText" text="u">
      <formula>NOT(ISERROR(SEARCH("u",E76)))</formula>
    </cfRule>
    <cfRule type="containsText" dxfId="1056" priority="119" operator="containsText" text="s">
      <formula>NOT(ISERROR(SEARCH("s",E76)))</formula>
    </cfRule>
    <cfRule type="containsText" dxfId="1055" priority="120" operator="containsText" text="d">
      <formula>NOT(ISERROR(SEARCH("d",E76)))</formula>
    </cfRule>
  </conditionalFormatting>
  <conditionalFormatting sqref="E76:I102">
    <cfRule type="containsText" dxfId="1054" priority="113" operator="containsText" text="l4">
      <formula>NOT(ISERROR(SEARCH("l4",E76)))</formula>
    </cfRule>
    <cfRule type="containsText" dxfId="1053" priority="114" operator="containsText" text="12g">
      <formula>NOT(ISERROR(SEARCH("12g",E76)))</formula>
    </cfRule>
  </conditionalFormatting>
  <conditionalFormatting sqref="E52:M74 E75">
    <cfRule type="containsText" dxfId="1051" priority="268" operator="containsText" text="12g">
      <formula>NOT(ISERROR(SEARCH("12g",E52)))</formula>
    </cfRule>
    <cfRule type="containsText" dxfId="1050" priority="267" operator="containsText" text="l4">
      <formula>NOT(ISERROR(SEARCH("l4",E52)))</formula>
    </cfRule>
  </conditionalFormatting>
  <conditionalFormatting sqref="E51:P51">
    <cfRule type="cellIs" dxfId="1049" priority="205" operator="greaterThan">
      <formula>0</formula>
    </cfRule>
  </conditionalFormatting>
  <conditionalFormatting sqref="E33:AF33">
    <cfRule type="containsText" dxfId="1048" priority="35" operator="containsText" text="d">
      <formula>NOT(ISERROR(SEARCH("d",E33)))</formula>
    </cfRule>
    <cfRule type="containsText" dxfId="1047" priority="32" operator="containsText" text="k">
      <formula>NOT(ISERROR(SEARCH("k",E33)))</formula>
    </cfRule>
    <cfRule type="containsText" dxfId="1046" priority="31" operator="containsText" text="wse">
      <formula>NOT(ISERROR(SEARCH("wse",E33)))</formula>
    </cfRule>
    <cfRule type="containsText" dxfId="1044" priority="29" operator="containsText" text="12g">
      <formula>NOT(ISERROR(SEARCH("12g",E33)))</formula>
    </cfRule>
    <cfRule type="containsText" dxfId="1043" priority="28" operator="containsText" text="l4">
      <formula>NOT(ISERROR(SEARCH("l4",E33)))</formula>
    </cfRule>
    <cfRule type="containsText" dxfId="1042" priority="33" operator="containsText" text="u">
      <formula>NOT(ISERROR(SEARCH("u",E33)))</formula>
    </cfRule>
    <cfRule type="containsText" dxfId="1041" priority="34" operator="containsText" text="s">
      <formula>NOT(ISERROR(SEARCH("s",E33)))</formula>
    </cfRule>
  </conditionalFormatting>
  <conditionalFormatting sqref="E34:AI34">
    <cfRule type="cellIs" dxfId="1040" priority="72" operator="greaterThan">
      <formula>1.5</formula>
    </cfRule>
  </conditionalFormatting>
  <conditionalFormatting sqref="E34:AI35">
    <cfRule type="cellIs" dxfId="1039" priority="69" operator="between">
      <formula>0.5</formula>
      <formula>1.5</formula>
    </cfRule>
  </conditionalFormatting>
  <conditionalFormatting sqref="E34:AI37">
    <cfRule type="cellIs" dxfId="1038" priority="70" operator="equal">
      <formula>0</formula>
    </cfRule>
  </conditionalFormatting>
  <conditionalFormatting sqref="E35:AI35">
    <cfRule type="cellIs" dxfId="1037" priority="73" operator="greaterThan">
      <formula>1.5</formula>
    </cfRule>
  </conditionalFormatting>
  <conditionalFormatting sqref="E36:AI36">
    <cfRule type="cellIs" dxfId="1036" priority="74" operator="greaterThan">
      <formula>3.5</formula>
    </cfRule>
  </conditionalFormatting>
  <conditionalFormatting sqref="E37:AI37">
    <cfRule type="cellIs" dxfId="1035" priority="22" operator="greaterThan">
      <formula>3.5</formula>
    </cfRule>
  </conditionalFormatting>
  <conditionalFormatting sqref="E51:AI51">
    <cfRule type="containsText" dxfId="1033" priority="200" operator="containsText" text="wse">
      <formula>NOT(ISERROR(SEARCH("wse",E51)))</formula>
    </cfRule>
    <cfRule type="containsText" dxfId="1032" priority="202" operator="containsText" text="u">
      <formula>NOT(ISERROR(SEARCH("u",E51)))</formula>
    </cfRule>
    <cfRule type="containsText" dxfId="1031" priority="203" operator="containsText" text="s">
      <formula>NOT(ISERROR(SEARCH("s",E51)))</formula>
    </cfRule>
    <cfRule type="containsText" dxfId="1030" priority="204" operator="containsText" text="d">
      <formula>NOT(ISERROR(SEARCH("d",E51)))</formula>
    </cfRule>
    <cfRule type="containsText" dxfId="1029" priority="201" operator="containsText" text="k">
      <formula>NOT(ISERROR(SEARCH("k",E51)))</formula>
    </cfRule>
    <cfRule type="containsText" dxfId="1028" priority="197" operator="containsText" text="l4">
      <formula>NOT(ISERROR(SEARCH("l4",E51)))</formula>
    </cfRule>
    <cfRule type="containsText" dxfId="1027" priority="198" operator="containsText" text="12g">
      <formula>NOT(ISERROR(SEARCH("12g",E51)))</formula>
    </cfRule>
  </conditionalFormatting>
  <conditionalFormatting sqref="E103:AI103">
    <cfRule type="cellIs" dxfId="1026" priority="125" operator="greaterThan">
      <formula>1.5</formula>
    </cfRule>
  </conditionalFormatting>
  <conditionalFormatting sqref="E103:AI104">
    <cfRule type="cellIs" dxfId="1025" priority="122" operator="between">
      <formula>0.5</formula>
      <formula>1.5</formula>
    </cfRule>
  </conditionalFormatting>
  <conditionalFormatting sqref="E103:AI106">
    <cfRule type="cellIs" dxfId="1024" priority="123" operator="equal">
      <formula>0</formula>
    </cfRule>
  </conditionalFormatting>
  <conditionalFormatting sqref="E104:AI104">
    <cfRule type="cellIs" dxfId="1023" priority="126" operator="greaterThan">
      <formula>1.5</formula>
    </cfRule>
  </conditionalFormatting>
  <conditionalFormatting sqref="E105:AI105">
    <cfRule type="cellIs" dxfId="1022" priority="127" operator="greaterThan">
      <formula>3.5</formula>
    </cfRule>
  </conditionalFormatting>
  <conditionalFormatting sqref="E106:AI106">
    <cfRule type="cellIs" dxfId="1021" priority="75" operator="greaterThan">
      <formula>3.5</formula>
    </cfRule>
  </conditionalFormatting>
  <conditionalFormatting sqref="J101:K101">
    <cfRule type="containsText" dxfId="1020" priority="266" operator="containsText" text="D">
      <formula>NOT(ISERROR(SEARCH("D",J101)))</formula>
    </cfRule>
  </conditionalFormatting>
  <conditionalFormatting sqref="J102:K102">
    <cfRule type="containsText" dxfId="1019" priority="85" operator="containsText" text="k">
      <formula>NOT(ISERROR(SEARCH("k",J102)))</formula>
    </cfRule>
    <cfRule type="containsText" dxfId="1018" priority="88" operator="containsText" text="d">
      <formula>NOT(ISERROR(SEARCH("d",J102)))</formula>
    </cfRule>
    <cfRule type="containsText" dxfId="1017" priority="84" operator="containsText" text="wse">
      <formula>NOT(ISERROR(SEARCH("wse",J102)))</formula>
    </cfRule>
    <cfRule type="containsText" dxfId="1016" priority="86" operator="containsText" text="u">
      <formula>NOT(ISERROR(SEARCH("u",J102)))</formula>
    </cfRule>
    <cfRule type="containsText" dxfId="1015" priority="87" operator="containsText" text="s">
      <formula>NOT(ISERROR(SEARCH("s",J102)))</formula>
    </cfRule>
  </conditionalFormatting>
  <conditionalFormatting sqref="J4:M17">
    <cfRule type="containsText" dxfId="1014" priority="435" operator="containsText" text="12g">
      <formula>NOT(ISERROR(SEARCH("12g",J4)))</formula>
    </cfRule>
    <cfRule type="containsText" dxfId="1013" priority="441" operator="containsText" text="d">
      <formula>NOT(ISERROR(SEARCH("d",J4)))</formula>
    </cfRule>
    <cfRule type="containsText" dxfId="1012" priority="434" operator="containsText" text="l4">
      <formula>NOT(ISERROR(SEARCH("l4",J4)))</formula>
    </cfRule>
    <cfRule type="cellIs" dxfId="1010" priority="442" operator="greaterThan">
      <formula>0</formula>
    </cfRule>
    <cfRule type="containsText" dxfId="1009" priority="437" operator="containsText" text="wse">
      <formula>NOT(ISERROR(SEARCH("wse",J4)))</formula>
    </cfRule>
    <cfRule type="containsText" dxfId="1008" priority="438" operator="containsText" text="k">
      <formula>NOT(ISERROR(SEARCH("k",J4)))</formula>
    </cfRule>
    <cfRule type="containsText" dxfId="1007" priority="439" operator="containsText" text="u">
      <formula>NOT(ISERROR(SEARCH("u",J4)))</formula>
    </cfRule>
    <cfRule type="containsText" dxfId="1006" priority="440" operator="containsText" text="s">
      <formula>NOT(ISERROR(SEARCH("s",J4)))</formula>
    </cfRule>
  </conditionalFormatting>
  <conditionalFormatting sqref="J76:M100">
    <cfRule type="containsText" dxfId="1005" priority="398" operator="containsText" text="l4">
      <formula>NOT(ISERROR(SEARCH("l4",J76)))</formula>
    </cfRule>
    <cfRule type="containsText" dxfId="1004" priority="401" operator="containsText" text="wse">
      <formula>NOT(ISERROR(SEARCH("wse",J76)))</formula>
    </cfRule>
    <cfRule type="containsText" dxfId="1003" priority="402" operator="containsText" text="k">
      <formula>NOT(ISERROR(SEARCH("k",J76)))</formula>
    </cfRule>
    <cfRule type="cellIs" dxfId="1002" priority="406" operator="greaterThan">
      <formula>0</formula>
    </cfRule>
    <cfRule type="containsText" dxfId="1001" priority="405" operator="containsText" text="d">
      <formula>NOT(ISERROR(SEARCH("d",J76)))</formula>
    </cfRule>
    <cfRule type="containsText" dxfId="1000" priority="404" operator="containsText" text="s">
      <formula>NOT(ISERROR(SEARCH("s",J76)))</formula>
    </cfRule>
    <cfRule type="containsText" dxfId="999" priority="403" operator="containsText" text="u">
      <formula>NOT(ISERROR(SEARCH("u",J76)))</formula>
    </cfRule>
    <cfRule type="containsText" dxfId="997" priority="399" operator="containsText" text="12g">
      <formula>NOT(ISERROR(SEARCH("12g",J76)))</formula>
    </cfRule>
  </conditionalFormatting>
  <conditionalFormatting sqref="J2:P3 N4:P4 N6:P32">
    <cfRule type="cellIs" dxfId="996" priority="145" operator="greaterThan">
      <formula>0</formula>
    </cfRule>
  </conditionalFormatting>
  <conditionalFormatting sqref="J2:P3 N4:P4 N6:AI32">
    <cfRule type="containsText" dxfId="995" priority="141" operator="containsText" text="k">
      <formula>NOT(ISERROR(SEARCH("k",J2)))</formula>
    </cfRule>
    <cfRule type="containsText" dxfId="994" priority="140" operator="containsText" text="wse">
      <formula>NOT(ISERROR(SEARCH("wse",J2)))</formula>
    </cfRule>
    <cfRule type="containsText" dxfId="992" priority="137" operator="containsText" text="l4">
      <formula>NOT(ISERROR(SEARCH("l4",J2)))</formula>
    </cfRule>
    <cfRule type="containsText" dxfId="991" priority="144" operator="containsText" text="d">
      <formula>NOT(ISERROR(SEARCH("d",J2)))</formula>
    </cfRule>
    <cfRule type="containsText" dxfId="990" priority="143" operator="containsText" text="s">
      <formula>NOT(ISERROR(SEARCH("s",J2)))</formula>
    </cfRule>
    <cfRule type="containsText" dxfId="989" priority="142" operator="containsText" text="u">
      <formula>NOT(ISERROR(SEARCH("u",J2)))</formula>
    </cfRule>
    <cfRule type="containsText" dxfId="988" priority="138" operator="containsText" text="12g">
      <formula>NOT(ISERROR(SEARCH("12g",J2)))</formula>
    </cfRule>
  </conditionalFormatting>
  <conditionalFormatting sqref="J52:P52 N53:AD53 N55:AD67 N69:AD75 N77:AD82 N84:AD100 L101:M101">
    <cfRule type="cellIs" dxfId="987" priority="284" operator="greaterThan">
      <formula>0</formula>
    </cfRule>
  </conditionalFormatting>
  <conditionalFormatting sqref="J52:AD52 N53:AD53 N55:AI67 N69:AI75 N77:AI82 N84:AI100 L101:M101">
    <cfRule type="containsText" dxfId="985" priority="281" operator="containsText" text="u">
      <formula>NOT(ISERROR(SEARCH("u",J52)))</formula>
    </cfRule>
    <cfRule type="containsText" dxfId="984" priority="280" operator="containsText" text="k">
      <formula>NOT(ISERROR(SEARCH("k",J52)))</formula>
    </cfRule>
    <cfRule type="containsText" dxfId="983" priority="283" operator="containsText" text="d">
      <formula>NOT(ISERROR(SEARCH("d",J52)))</formula>
    </cfRule>
    <cfRule type="containsText" dxfId="982" priority="279" operator="containsText" text="wse">
      <formula>NOT(ISERROR(SEARCH("wse",J52)))</formula>
    </cfRule>
    <cfRule type="containsText" dxfId="981" priority="282" operator="containsText" text="s">
      <formula>NOT(ISERROR(SEARCH("s",J52)))</formula>
    </cfRule>
  </conditionalFormatting>
  <conditionalFormatting sqref="J102:AF102">
    <cfRule type="containsText" dxfId="980" priority="81" operator="containsText" text="l4">
      <formula>NOT(ISERROR(SEARCH("l4",J102)))</formula>
    </cfRule>
    <cfRule type="containsText" dxfId="979" priority="82" operator="containsText" text="12g">
      <formula>NOT(ISERROR(SEARCH("12g",J102)))</formula>
    </cfRule>
  </conditionalFormatting>
  <conditionalFormatting sqref="L102:R102">
    <cfRule type="containsText" dxfId="978" priority="96" operator="containsText" text="d">
      <formula>NOT(ISERROR(SEARCH("d",L102)))</formula>
    </cfRule>
    <cfRule type="containsText" dxfId="977" priority="95" operator="containsText" text="s">
      <formula>NOT(ISERROR(SEARCH("s",L102)))</formula>
    </cfRule>
    <cfRule type="containsText" dxfId="976" priority="94" operator="containsText" text="u">
      <formula>NOT(ISERROR(SEARCH("u",L102)))</formula>
    </cfRule>
    <cfRule type="containsText" dxfId="975" priority="93" operator="containsText" text="k">
      <formula>NOT(ISERROR(SEARCH("k",L102)))</formula>
    </cfRule>
    <cfRule type="containsText" dxfId="974" priority="92" operator="containsText" text="wse">
      <formula>NOT(ISERROR(SEARCH("wse",L102)))</formula>
    </cfRule>
  </conditionalFormatting>
  <conditionalFormatting sqref="N52:AI53 N55:AI67 N69:AI75 N77:AI82 N84:AI100 L101:M101">
    <cfRule type="containsText" dxfId="972" priority="277" operator="containsText" text="12g">
      <formula>NOT(ISERROR(SEARCH("12g",L52)))</formula>
    </cfRule>
    <cfRule type="containsText" dxfId="971" priority="276" operator="containsText" text="l4">
      <formula>NOT(ISERROR(SEARCH("l4",L52)))</formula>
    </cfRule>
  </conditionalFormatting>
  <conditionalFormatting sqref="Q2:AI4">
    <cfRule type="containsText" dxfId="969" priority="153" operator="containsText" text="d">
      <formula>NOT(ISERROR(SEARCH("d",Q2)))</formula>
    </cfRule>
    <cfRule type="containsText" dxfId="968" priority="151" operator="containsText" text="u">
      <formula>NOT(ISERROR(SEARCH("u",Q2)))</formula>
    </cfRule>
    <cfRule type="containsText" dxfId="967" priority="146" operator="containsText" text="l4">
      <formula>NOT(ISERROR(SEARCH("l4",Q2)))</formula>
    </cfRule>
    <cfRule type="containsText" dxfId="966" priority="147" operator="containsText" text="12g">
      <formula>NOT(ISERROR(SEARCH("12g",Q2)))</formula>
    </cfRule>
    <cfRule type="containsText" dxfId="964" priority="149" operator="containsText" text="wse">
      <formula>NOT(ISERROR(SEARCH("wse",Q2)))</formula>
    </cfRule>
    <cfRule type="containsText" dxfId="963" priority="150" operator="containsText" text="k">
      <formula>NOT(ISERROR(SEARCH("k",Q2)))</formula>
    </cfRule>
    <cfRule type="containsText" dxfId="962" priority="152" operator="containsText" text="s">
      <formula>NOT(ISERROR(SEARCH("s",Q2)))</formula>
    </cfRule>
  </conditionalFormatting>
  <conditionalFormatting sqref="S2:W4 S6:W32">
    <cfRule type="cellIs" dxfId="961" priority="154" operator="greaterThan">
      <formula>0</formula>
    </cfRule>
  </conditionalFormatting>
  <conditionalFormatting sqref="S51:W51">
    <cfRule type="cellIs" dxfId="960" priority="223" operator="greaterThan">
      <formula>0</formula>
    </cfRule>
  </conditionalFormatting>
  <conditionalFormatting sqref="S52:W52">
    <cfRule type="cellIs" dxfId="959" priority="293" operator="greaterThan">
      <formula>0</formula>
    </cfRule>
  </conditionalFormatting>
  <conditionalFormatting sqref="X102:Y102">
    <cfRule type="containsText" dxfId="957" priority="101" operator="containsText" text="k">
      <formula>NOT(ISERROR(SEARCH("k",X102)))</formula>
    </cfRule>
    <cfRule type="containsText" dxfId="956" priority="100" operator="containsText" text="wse">
      <formula>NOT(ISERROR(SEARCH("wse",X102)))</formula>
    </cfRule>
    <cfRule type="containsText" dxfId="955" priority="102" operator="containsText" text="u">
      <formula>NOT(ISERROR(SEARCH("u",X102)))</formula>
    </cfRule>
    <cfRule type="containsText" dxfId="954" priority="103" operator="containsText" text="s">
      <formula>NOT(ISERROR(SEARCH("s",X102)))</formula>
    </cfRule>
    <cfRule type="containsText" dxfId="953" priority="104" operator="containsText" text="d">
      <formula>NOT(ISERROR(SEARCH("d",X102)))</formula>
    </cfRule>
  </conditionalFormatting>
  <conditionalFormatting sqref="Z54:AA54 AA68">
    <cfRule type="containsText" dxfId="952" priority="416" operator="containsText" text="l4">
      <formula>NOT(ISERROR(SEARCH("l4",Z54)))</formula>
    </cfRule>
    <cfRule type="containsText" dxfId="951" priority="417" operator="containsText" text="12g">
      <formula>NOT(ISERROR(SEARCH("12g",Z54)))</formula>
    </cfRule>
    <cfRule type="containsText" dxfId="950" priority="419" operator="containsText" text="wse">
      <formula>NOT(ISERROR(SEARCH("wse",Z54)))</formula>
    </cfRule>
    <cfRule type="containsText" dxfId="949" priority="420" operator="containsText" text="k">
      <formula>NOT(ISERROR(SEARCH("k",Z54)))</formula>
    </cfRule>
    <cfRule type="containsText" dxfId="948" priority="421" operator="containsText" text="u">
      <formula>NOT(ISERROR(SEARCH("u",Z54)))</formula>
    </cfRule>
    <cfRule type="containsText" dxfId="947" priority="422" operator="containsText" text="s">
      <formula>NOT(ISERROR(SEARCH("s",Z54)))</formula>
    </cfRule>
    <cfRule type="cellIs" dxfId="946" priority="424" operator="greaterThan">
      <formula>0</formula>
    </cfRule>
    <cfRule type="containsText" dxfId="944" priority="423" operator="containsText" text="d">
      <formula>NOT(ISERROR(SEARCH("d",Z54)))</formula>
    </cfRule>
  </conditionalFormatting>
  <conditionalFormatting sqref="Z2:AD4 X6:AD31 Z32:AD32">
    <cfRule type="cellIs" dxfId="943" priority="163" operator="greaterThan">
      <formula>0</formula>
    </cfRule>
  </conditionalFormatting>
  <conditionalFormatting sqref="Z51:AD51">
    <cfRule type="cellIs" dxfId="942" priority="232" operator="greaterThan">
      <formula>0</formula>
    </cfRule>
  </conditionalFormatting>
  <conditionalFormatting sqref="Z102:AF102">
    <cfRule type="containsText" dxfId="941" priority="108" operator="containsText" text="wse">
      <formula>NOT(ISERROR(SEARCH("wse",Z102)))</formula>
    </cfRule>
    <cfRule type="containsText" dxfId="940" priority="109" operator="containsText" text="k">
      <formula>NOT(ISERROR(SEARCH("k",Z102)))</formula>
    </cfRule>
    <cfRule type="containsText" dxfId="939" priority="112" operator="containsText" text="d">
      <formula>NOT(ISERROR(SEARCH("d",Z102)))</formula>
    </cfRule>
    <cfRule type="containsText" dxfId="938" priority="110" operator="containsText" text="u">
      <formula>NOT(ISERROR(SEARCH("u",Z102)))</formula>
    </cfRule>
    <cfRule type="containsText" dxfId="937" priority="111" operator="containsText" text="s">
      <formula>NOT(ISERROR(SEARCH("s",Z102)))</formula>
    </cfRule>
  </conditionalFormatting>
  <conditionalFormatting sqref="AA83:AB83 Z52:AD52">
    <cfRule type="cellIs" dxfId="935" priority="302" operator="greaterThan">
      <formula>0</formula>
    </cfRule>
  </conditionalFormatting>
  <conditionalFormatting sqref="AA83:AB83">
    <cfRule type="containsText" dxfId="934" priority="294" operator="containsText" text="l4">
      <formula>NOT(ISERROR(SEARCH("l4",AA83)))</formula>
    </cfRule>
    <cfRule type="containsText" dxfId="933" priority="295" operator="containsText" text="12g">
      <formula>NOT(ISERROR(SEARCH("12g",AA83)))</formula>
    </cfRule>
    <cfRule type="containsText" dxfId="931" priority="297" operator="containsText" text="wse">
      <formula>NOT(ISERROR(SEARCH("wse",AA83)))</formula>
    </cfRule>
    <cfRule type="containsText" dxfId="930" priority="298" operator="containsText" text="k">
      <formula>NOT(ISERROR(SEARCH("k",AA83)))</formula>
    </cfRule>
    <cfRule type="containsText" dxfId="929" priority="299" operator="containsText" text="u">
      <formula>NOT(ISERROR(SEARCH("u",AA83)))</formula>
    </cfRule>
    <cfRule type="containsText" dxfId="928" priority="300" operator="containsText" text="s">
      <formula>NOT(ISERROR(SEARCH("s",AA83)))</formula>
    </cfRule>
    <cfRule type="containsText" dxfId="927" priority="301" operator="containsText" text="d">
      <formula>NOT(ISERROR(SEARCH("d",AA83)))</formula>
    </cfRule>
  </conditionalFormatting>
  <conditionalFormatting sqref="AE56">
    <cfRule type="cellIs" dxfId="926" priority="487" operator="greaterThan">
      <formula>0</formula>
    </cfRule>
  </conditionalFormatting>
  <conditionalFormatting sqref="AE52:AI53 AI54 AI68 AI76 AI83 AI101">
    <cfRule type="containsText" dxfId="925" priority="310" operator="containsText" text="d">
      <formula>NOT(ISERROR(SEARCH("d",AE52)))</formula>
    </cfRule>
    <cfRule type="containsText" dxfId="924" priority="307" operator="containsText" text="k">
      <formula>NOT(ISERROR(SEARCH("k",AE52)))</formula>
    </cfRule>
    <cfRule type="containsText" dxfId="923" priority="308" operator="containsText" text="u">
      <formula>NOT(ISERROR(SEARCH("u",AE52)))</formula>
    </cfRule>
    <cfRule type="containsText" dxfId="922" priority="309" operator="containsText" text="s">
      <formula>NOT(ISERROR(SEARCH("s",AE52)))</formula>
    </cfRule>
  </conditionalFormatting>
  <conditionalFormatting sqref="AG51:AI51">
    <cfRule type="cellIs" dxfId="921" priority="241" operator="greaterThan">
      <formula>0</formula>
    </cfRule>
  </conditionalFormatting>
  <conditionalFormatting sqref="AG52:AI53 AI54 AI68 AI76 AI83 AI101 AG55:AI67 AG69:AI75 AG77:AI82 AG84:AI100">
    <cfRule type="cellIs" dxfId="920" priority="311" operator="greaterThan">
      <formula>0</formula>
    </cfRule>
  </conditionalFormatting>
  <conditionalFormatting sqref="AI5 AG2:AI4 AG6:AI32">
    <cfRule type="cellIs" dxfId="919" priority="172" operator="greaterThan">
      <formula>0</formula>
    </cfRule>
  </conditionalFormatting>
  <conditionalFormatting sqref="AI5">
    <cfRule type="containsText" dxfId="918" priority="171" operator="containsText" text="d">
      <formula>NOT(ISERROR(SEARCH("d",AI5)))</formula>
    </cfRule>
    <cfRule type="containsText" dxfId="917" priority="170" operator="containsText" text="s">
      <formula>NOT(ISERROR(SEARCH("s",AI5)))</formula>
    </cfRule>
    <cfRule type="containsText" dxfId="916" priority="169" operator="containsText" text="u">
      <formula>NOT(ISERROR(SEARCH("u",AI5)))</formula>
    </cfRule>
    <cfRule type="containsText" dxfId="914" priority="165" operator="containsText" text="12g">
      <formula>NOT(ISERROR(SEARCH("12g",AI5)))</formula>
    </cfRule>
    <cfRule type="containsText" dxfId="913" priority="164" operator="containsText" text="l4">
      <formula>NOT(ISERROR(SEARCH("l4",AI5)))</formula>
    </cfRule>
    <cfRule type="containsText" dxfId="912" priority="167" operator="containsText" text="wse">
      <formula>NOT(ISERROR(SEARCH("wse",AI5)))</formula>
    </cfRule>
    <cfRule type="containsText" dxfId="911" priority="168" operator="containsText" text="k">
      <formula>NOT(ISERROR(SEARCH("k",AI5)))</formula>
    </cfRule>
  </conditionalFormatting>
  <conditionalFormatting sqref="AI54 AI68 AI76 AI83 AI101 AE52:AI53">
    <cfRule type="containsText" dxfId="910" priority="306" operator="containsText" text="wse">
      <formula>NOT(ISERROR(SEARCH("wse",AE52)))</formula>
    </cfRule>
  </conditionalFormatting>
  <conditionalFormatting sqref="AI54 AI68 AI76 AI83 AI101">
    <cfRule type="containsText" dxfId="909" priority="303" operator="containsText" text="l4">
      <formula>NOT(ISERROR(SEARCH("l4",AI54)))</formula>
    </cfRule>
    <cfRule type="containsText" dxfId="908" priority="304" operator="containsText" text="12g">
      <formula>NOT(ISERROR(SEARCH("12g",AI54)))</formula>
    </cfRule>
  </conditionalFormatting>
  <conditionalFormatting sqref="AQ5:AQ14">
    <cfRule type="containsText" dxfId="906" priority="12" operator="containsText" text="s">
      <formula>NOT(ISERROR(SEARCH("s",AQ5)))</formula>
    </cfRule>
    <cfRule type="containsText" dxfId="905" priority="11" operator="containsText" text="u">
      <formula>NOT(ISERROR(SEARCH("u",AQ5)))</formula>
    </cfRule>
    <cfRule type="containsText" dxfId="904" priority="10" operator="containsText" text="k">
      <formula>NOT(ISERROR(SEARCH("k",AQ5)))</formula>
    </cfRule>
    <cfRule type="containsText" dxfId="903" priority="9" operator="containsText" text="wse">
      <formula>NOT(ISERROR(SEARCH("wse",AQ5)))</formula>
    </cfRule>
    <cfRule type="containsText" dxfId="901" priority="13" operator="containsText" text="d">
      <formula>NOT(ISERROR(SEARCH("d",AQ5)))</formula>
    </cfRule>
    <cfRule type="containsText" dxfId="900" priority="7" operator="containsText" text="12g">
      <formula>NOT(ISERROR(SEARCH("12g",AQ5)))</formula>
    </cfRule>
  </conditionalFormatting>
  <conditionalFormatting sqref="AQ15">
    <cfRule type="containsText" dxfId="899" priority="20" operator="containsText" text="s">
      <formula>NOT(ISERROR(SEARCH("s",AQ15)))</formula>
    </cfRule>
    <cfRule type="containsText" dxfId="898" priority="19" operator="containsText" text="u">
      <formula>NOT(ISERROR(SEARCH("u",AQ15)))</formula>
    </cfRule>
    <cfRule type="containsText" dxfId="897" priority="18" operator="containsText" text="k">
      <formula>NOT(ISERROR(SEARCH("k",AQ15)))</formula>
    </cfRule>
    <cfRule type="containsText" dxfId="896" priority="21" operator="containsText" text="d">
      <formula>NOT(ISERROR(SEARCH("d",AQ15)))</formula>
    </cfRule>
    <cfRule type="containsText" dxfId="895" priority="14" operator="containsText" text="l4">
      <formula>NOT(ISERROR(SEARCH("l4",AQ15)))</formula>
    </cfRule>
    <cfRule type="containsText" dxfId="894" priority="15" operator="containsText" text="12g">
      <formula>NOT(ISERROR(SEARCH("12g",AQ15)))</formula>
    </cfRule>
    <cfRule type="containsText" dxfId="892" priority="17" operator="containsText" text="wse">
      <formula>NOT(ISERROR(SEARCH("wse",AQ15)))</formula>
    </cfRule>
  </conditionalFormatting>
  <pageMargins left="0.118055555555556" right="0.118055555555556" top="0.15763888888888899" bottom="0.15763888888888899" header="0.51180555555555496" footer="0.51180555555555496"/>
  <pageSetup paperSize="9" orientation="landscape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0" operator="containsText" id="{3B5315DB-30C0-4FC6-A3CF-CE70A9E27043}">
            <xm:f>NOT(ISERROR(SEARCH("-",E2)))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E2:I17 E18 E19:M24 E25 E26:M32</xm:sqref>
        </x14:conditionalFormatting>
        <x14:conditionalFormatting xmlns:xm="http://schemas.microsoft.com/office/excel/2006/main">
          <x14:cfRule type="containsText" priority="115" operator="containsText" id="{F125F0D7-1C74-4E7C-B0CF-97E64BA75D6B}">
            <xm:f>NOT(ISERROR(SEARCH("-",E76)))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E76:I102 S102:W102</xm:sqref>
        </x14:conditionalFormatting>
        <x14:conditionalFormatting xmlns:xm="http://schemas.microsoft.com/office/excel/2006/main">
          <x14:cfRule type="containsText" priority="269" operator="containsText" id="{39D68B18-A4CC-4789-A741-BC3B4EA79569}">
            <xm:f>NOT(ISERROR(SEARCH("-",E52)))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E52:M74 E75</xm:sqref>
        </x14:conditionalFormatting>
        <x14:conditionalFormatting xmlns:xm="http://schemas.microsoft.com/office/excel/2006/main">
          <x14:cfRule type="containsText" priority="30" operator="containsText" id="{7F9B639F-39E0-4C20-AA46-EBB6E65E7E1E}">
            <xm:f>NOT(ISERROR(SEARCH("-",E33)))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E33:AF33</xm:sqref>
        </x14:conditionalFormatting>
        <x14:conditionalFormatting xmlns:xm="http://schemas.microsoft.com/office/excel/2006/main">
          <x14:cfRule type="containsText" priority="199" operator="containsText" id="{51304961-A120-4C3B-BA32-56832FF8C8AF}">
            <xm:f>NOT(ISERROR(SEARCH("-",E51)))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E51:AI51</xm:sqref>
        </x14:conditionalFormatting>
        <x14:conditionalFormatting xmlns:xm="http://schemas.microsoft.com/office/excel/2006/main">
          <x14:cfRule type="containsText" priority="436" operator="containsText" id="{753022E1-9D85-40D4-A9C3-C240699068F3}">
            <xm:f>NOT(ISERROR(SEARCH("-",J4)))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J4:M17</xm:sqref>
        </x14:conditionalFormatting>
        <x14:conditionalFormatting xmlns:xm="http://schemas.microsoft.com/office/excel/2006/main">
          <x14:cfRule type="containsText" priority="400" operator="containsText" id="{C13AC46A-9018-4B2A-B3CE-D359EE23214B}">
            <xm:f>NOT(ISERROR(SEARCH("-",J76)))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J76:M100</xm:sqref>
        </x14:conditionalFormatting>
        <x14:conditionalFormatting xmlns:xm="http://schemas.microsoft.com/office/excel/2006/main">
          <x14:cfRule type="containsText" priority="139" operator="containsText" id="{5FCF6594-B4E8-4DF0-8450-49B5563D4816}">
            <xm:f>NOT(ISERROR(SEARCH("-",J2)))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J2:P3 N4:P4 N6:AI32</xm:sqref>
        </x14:conditionalFormatting>
        <x14:conditionalFormatting xmlns:xm="http://schemas.microsoft.com/office/excel/2006/main">
          <x14:cfRule type="containsText" priority="83" operator="containsText" id="{C737D98C-AF4D-4C37-9616-1B9D4E809ADF}">
            <xm:f>NOT(ISERROR(SEARCH("-",J102)))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J102:P102</xm:sqref>
        </x14:conditionalFormatting>
        <x14:conditionalFormatting xmlns:xm="http://schemas.microsoft.com/office/excel/2006/main">
          <x14:cfRule type="containsText" priority="278" operator="containsText" id="{F3C69CBB-E682-4B30-AD23-A6D21790E369}">
            <xm:f>NOT(ISERROR(SEARCH("-",L52)))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N52:AI53 N55:AI67 N69:AI75 N77:AI82 N84:AI100 L101:M101</xm:sqref>
        </x14:conditionalFormatting>
        <x14:conditionalFormatting xmlns:xm="http://schemas.microsoft.com/office/excel/2006/main">
          <x14:cfRule type="containsText" priority="91" operator="containsText" id="{11E2BB17-C67D-42B9-A555-44F74282DA1E}">
            <xm:f>NOT(ISERROR(SEARCH("-",Q102)))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Q102:R102</xm:sqref>
        </x14:conditionalFormatting>
        <x14:conditionalFormatting xmlns:xm="http://schemas.microsoft.com/office/excel/2006/main">
          <x14:cfRule type="containsText" priority="148" operator="containsText" id="{3BDD5618-C58C-45F0-B35F-9BD64CC47263}">
            <xm:f>NOT(ISERROR(SEARCH("-",Q2)))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Q2:AI4</xm:sqref>
        </x14:conditionalFormatting>
        <x14:conditionalFormatting xmlns:xm="http://schemas.microsoft.com/office/excel/2006/main">
          <x14:cfRule type="containsText" priority="99" operator="containsText" id="{3651D114-C419-41E0-A7A0-41DA1C45609F}">
            <xm:f>NOT(ISERROR(SEARCH("-",X102)))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X102:Y102</xm:sqref>
        </x14:conditionalFormatting>
        <x14:conditionalFormatting xmlns:xm="http://schemas.microsoft.com/office/excel/2006/main">
          <x14:cfRule type="containsText" priority="418" operator="containsText" id="{4F5C8296-604F-4625-9754-E78D6B535024}">
            <xm:f>NOT(ISERROR(SEARCH("-",Z54)))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Z54:AA54 AA68</xm:sqref>
        </x14:conditionalFormatting>
        <x14:conditionalFormatting xmlns:xm="http://schemas.microsoft.com/office/excel/2006/main">
          <x14:cfRule type="containsText" priority="107" operator="containsText" id="{B0658511-49E1-4275-9092-A7D32261E44C}">
            <xm:f>NOT(ISERROR(SEARCH("-",Z102)))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Z102:AF102</xm:sqref>
        </x14:conditionalFormatting>
        <x14:conditionalFormatting xmlns:xm="http://schemas.microsoft.com/office/excel/2006/main">
          <x14:cfRule type="containsText" priority="296" operator="containsText" id="{F131F59D-2D43-41AB-AC70-931E27E1B3C0}">
            <xm:f>NOT(ISERROR(SEARCH("-",AA83)))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AA83:AB83</xm:sqref>
        </x14:conditionalFormatting>
        <x14:conditionalFormatting xmlns:xm="http://schemas.microsoft.com/office/excel/2006/main">
          <x14:cfRule type="containsText" priority="166" operator="containsText" id="{BBF4CD6A-46A1-4CEB-8B1A-CDEF301BD96B}">
            <xm:f>NOT(ISERROR(SEARCH("-",AI5)))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AI5</xm:sqref>
        </x14:conditionalFormatting>
        <x14:conditionalFormatting xmlns:xm="http://schemas.microsoft.com/office/excel/2006/main">
          <x14:cfRule type="containsText" priority="305" operator="containsText" id="{308932F1-9272-4D97-9A84-6274F69EC385}">
            <xm:f>NOT(ISERROR(SEARCH("-",AI54)))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AI54 AI68 AI76 AI83 AI101</xm:sqref>
        </x14:conditionalFormatting>
        <x14:conditionalFormatting xmlns:xm="http://schemas.microsoft.com/office/excel/2006/main">
          <x14:cfRule type="containsText" priority="8" operator="containsText" id="{CB859447-9F2C-44A0-8BB3-393A70233F3B}">
            <xm:f>NOT(ISERROR(SEARCH("-",AQ5)))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AQ5:AQ14</xm:sqref>
        </x14:conditionalFormatting>
        <x14:conditionalFormatting xmlns:xm="http://schemas.microsoft.com/office/excel/2006/main">
          <x14:cfRule type="containsText" priority="16" operator="containsText" id="{83E0A300-4582-4E3E-9930-D5AB914D8F63}">
            <xm:f>NOT(ISERROR(SEARCH("-",AQ15)))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AQ15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4"/>
  <sheetViews>
    <sheetView topLeftCell="A10" zoomScaleNormal="100" workbookViewId="0">
      <selection activeCell="AE73" sqref="AE73"/>
    </sheetView>
  </sheetViews>
  <sheetFormatPr defaultColWidth="8.69140625" defaultRowHeight="14.6"/>
  <cols>
    <col min="1" max="1" width="3.84375" style="176" customWidth="1"/>
    <col min="2" max="2" width="6" style="177" customWidth="1"/>
    <col min="3" max="3" width="28.84375" style="178" customWidth="1"/>
    <col min="4" max="4" width="23.84375" customWidth="1"/>
    <col min="5" max="5" width="24.53515625" customWidth="1"/>
    <col min="7" max="7" width="20.3046875" customWidth="1"/>
    <col min="8" max="8" width="4" customWidth="1"/>
    <col min="9" max="9" width="20.3046875" customWidth="1"/>
    <col min="10" max="11" width="4" customWidth="1"/>
    <col min="12" max="12" width="20.3046875" customWidth="1"/>
    <col min="13" max="13" width="4" customWidth="1"/>
    <col min="14" max="14" width="20.3046875" customWidth="1"/>
  </cols>
  <sheetData>
    <row r="1" spans="1:14" ht="30.9">
      <c r="B1" s="686" t="s">
        <v>305</v>
      </c>
      <c r="C1" s="686"/>
      <c r="D1" s="686"/>
      <c r="E1" s="686"/>
      <c r="G1" s="694" t="s">
        <v>275</v>
      </c>
      <c r="H1" s="694"/>
      <c r="I1" s="694"/>
      <c r="J1" s="694"/>
      <c r="K1" s="694"/>
      <c r="L1" s="694"/>
      <c r="M1" s="694"/>
      <c r="N1" s="694"/>
    </row>
    <row r="2" spans="1:14" ht="28.3">
      <c r="A2" s="687" t="s">
        <v>178</v>
      </c>
      <c r="B2" s="687"/>
      <c r="C2" s="687"/>
      <c r="D2" s="687"/>
      <c r="E2" s="687"/>
      <c r="G2" s="695" t="s">
        <v>221</v>
      </c>
      <c r="H2" s="695"/>
      <c r="I2" s="695"/>
      <c r="J2" s="234"/>
      <c r="K2" s="235"/>
      <c r="L2" s="696" t="s">
        <v>222</v>
      </c>
      <c r="M2" s="696"/>
      <c r="N2" s="696"/>
    </row>
    <row r="3" spans="1:14" ht="23.15">
      <c r="A3" s="688">
        <v>44287</v>
      </c>
      <c r="B3" s="688"/>
      <c r="C3" s="180" t="s">
        <v>179</v>
      </c>
      <c r="D3" s="181" t="s">
        <v>180</v>
      </c>
      <c r="E3" s="181" t="s">
        <v>180</v>
      </c>
      <c r="G3" s="28"/>
      <c r="J3" s="29"/>
      <c r="K3" s="28"/>
      <c r="N3" s="29"/>
    </row>
    <row r="4" spans="1:14" ht="19.3">
      <c r="A4" s="374">
        <v>1</v>
      </c>
      <c r="B4" s="190" t="s">
        <v>187</v>
      </c>
      <c r="C4" s="191" t="e">
        <f>VLOOKUP("D",KWIECIEŃ!$E$2:$AJ$32,32,0)</f>
        <v>#REF!</v>
      </c>
      <c r="D4" s="237"/>
      <c r="E4" s="237"/>
      <c r="G4" s="238"/>
      <c r="I4" s="238"/>
      <c r="J4" s="29"/>
      <c r="K4" s="28"/>
      <c r="L4" s="238"/>
      <c r="N4" s="238"/>
    </row>
    <row r="5" spans="1:14" ht="19.3">
      <c r="A5" s="189">
        <v>2</v>
      </c>
      <c r="B5" s="190" t="s">
        <v>181</v>
      </c>
      <c r="C5" s="191" t="e">
        <f>VLOOKUP("D",KWIECIEŃ!F$2:$AJ$32,31,0)</f>
        <v>#REF!</v>
      </c>
      <c r="D5" s="240"/>
      <c r="E5" s="192"/>
      <c r="G5" s="307"/>
      <c r="I5" s="308"/>
      <c r="J5" s="29"/>
      <c r="K5" s="28"/>
      <c r="L5" s="309"/>
      <c r="N5" s="310"/>
    </row>
    <row r="6" spans="1:14" ht="21.75" customHeight="1">
      <c r="A6" s="186">
        <v>3</v>
      </c>
      <c r="B6" s="183" t="s">
        <v>182</v>
      </c>
      <c r="C6" s="184" t="e">
        <f>VLOOKUP("D",KWIECIEŃ!G$2:$AJ$32,30,0)</f>
        <v>#REF!</v>
      </c>
      <c r="D6" s="188"/>
      <c r="E6" s="188"/>
      <c r="G6" s="311"/>
      <c r="I6" s="312"/>
      <c r="J6" s="29"/>
      <c r="K6" s="28"/>
      <c r="L6" s="313"/>
      <c r="N6" s="314"/>
    </row>
    <row r="7" spans="1:14" ht="21.75" customHeight="1">
      <c r="A7" s="186">
        <v>4</v>
      </c>
      <c r="B7" s="183" t="s">
        <v>183</v>
      </c>
      <c r="C7" s="184" t="e">
        <f>VLOOKUP("D",KWIECIEŃ!H$2:$AJ$32,29,0)</f>
        <v>#REF!</v>
      </c>
      <c r="D7" s="188"/>
      <c r="E7" s="188"/>
      <c r="G7" s="315"/>
      <c r="I7" s="316"/>
      <c r="J7" s="29"/>
      <c r="K7" s="28"/>
      <c r="L7" s="315"/>
      <c r="N7" s="316"/>
    </row>
    <row r="8" spans="1:14" ht="21.75" customHeight="1">
      <c r="A8" s="186">
        <v>5</v>
      </c>
      <c r="B8" s="183" t="s">
        <v>184</v>
      </c>
      <c r="C8" s="184" t="e">
        <f>VLOOKUP("D",KWIECIEŃ!I$2:$AJ$32,28,0)</f>
        <v>#REF!</v>
      </c>
      <c r="D8" s="188"/>
      <c r="E8" s="188"/>
      <c r="G8" s="317"/>
      <c r="I8" s="318"/>
      <c r="J8" s="29"/>
      <c r="K8" s="28"/>
      <c r="L8" s="317"/>
      <c r="N8" s="318"/>
    </row>
    <row r="9" spans="1:14" ht="21.75" customHeight="1">
      <c r="A9" s="189">
        <v>6</v>
      </c>
      <c r="B9" s="190" t="s">
        <v>185</v>
      </c>
      <c r="C9" s="191" t="e">
        <f>VLOOKUP("D",KWIECIEŃ!J$2:$AJ$32,27,0)</f>
        <v>#REF!</v>
      </c>
      <c r="D9" s="192"/>
      <c r="E9" s="192"/>
      <c r="G9" s="28"/>
      <c r="J9" s="29"/>
      <c r="K9" s="28"/>
      <c r="N9" s="29"/>
    </row>
    <row r="10" spans="1:14" ht="21.75" customHeight="1">
      <c r="A10" s="189">
        <v>7</v>
      </c>
      <c r="B10" s="190" t="s">
        <v>186</v>
      </c>
      <c r="C10" s="191" t="e">
        <f>VLOOKUP("D",KWIECIEŃ!K$2:$AJ$32,26,0)</f>
        <v>#REF!</v>
      </c>
      <c r="D10" s="192"/>
      <c r="E10" s="192"/>
      <c r="G10" s="249"/>
      <c r="I10" s="249"/>
      <c r="J10" s="29"/>
      <c r="K10" s="28"/>
      <c r="L10" s="249"/>
      <c r="N10" s="249"/>
    </row>
    <row r="11" spans="1:14" ht="21.75" customHeight="1">
      <c r="A11" s="189">
        <v>8</v>
      </c>
      <c r="B11" s="190" t="s">
        <v>187</v>
      </c>
      <c r="C11" s="191" t="e">
        <f>VLOOKUP("D",KWIECIEŃ!L$2:$AJ$32,25,0)</f>
        <v>#REF!</v>
      </c>
      <c r="D11" s="193"/>
      <c r="E11" s="192"/>
      <c r="G11" s="307"/>
      <c r="I11" s="308"/>
      <c r="J11" s="29"/>
      <c r="K11" s="28"/>
      <c r="L11" s="310"/>
      <c r="N11" s="310"/>
    </row>
    <row r="12" spans="1:14" ht="21.75" customHeight="1">
      <c r="A12" s="189">
        <v>9</v>
      </c>
      <c r="B12" s="190" t="s">
        <v>181</v>
      </c>
      <c r="C12" s="191" t="e">
        <f>VLOOKUP("D",KWIECIEŃ!M$2:$AJ$32,24,0)</f>
        <v>#REF!</v>
      </c>
      <c r="D12" s="192"/>
      <c r="E12" s="192"/>
      <c r="G12" s="311"/>
      <c r="I12" s="312"/>
      <c r="J12" s="29"/>
      <c r="K12" s="28"/>
      <c r="L12" s="313"/>
      <c r="N12" s="314"/>
    </row>
    <row r="13" spans="1:14" ht="21.75" customHeight="1">
      <c r="A13" s="186">
        <v>10</v>
      </c>
      <c r="B13" s="183" t="s">
        <v>182</v>
      </c>
      <c r="C13" s="184" t="e">
        <f>VLOOKUP("D",KWIECIEŃ!N$2:$AJ$32,23,0)</f>
        <v>#REF!</v>
      </c>
      <c r="D13" s="188"/>
      <c r="E13" s="188"/>
      <c r="G13" s="315"/>
      <c r="I13" s="316"/>
      <c r="J13" s="29"/>
      <c r="K13" s="28"/>
      <c r="L13" s="315"/>
      <c r="N13" s="316"/>
    </row>
    <row r="14" spans="1:14" ht="21.75" customHeight="1">
      <c r="A14" s="186">
        <v>11</v>
      </c>
      <c r="B14" s="183" t="s">
        <v>183</v>
      </c>
      <c r="C14" s="184" t="e">
        <f>VLOOKUP("D",KWIECIEŃ!O$2:$AJ$32,22,0)</f>
        <v>#REF!</v>
      </c>
      <c r="D14" s="188"/>
      <c r="E14" s="188"/>
      <c r="G14" s="317"/>
      <c r="I14" s="318"/>
      <c r="J14" s="29"/>
      <c r="K14" s="28"/>
      <c r="L14" s="317"/>
      <c r="N14" s="318"/>
    </row>
    <row r="15" spans="1:14" ht="21.75" customHeight="1">
      <c r="A15" s="189">
        <v>12</v>
      </c>
      <c r="B15" s="190" t="s">
        <v>184</v>
      </c>
      <c r="C15" s="191" t="e">
        <f>VLOOKUP("D",KWIECIEŃ!P$2:$AJ$32,21,0)</f>
        <v>#REF!</v>
      </c>
      <c r="D15" s="192"/>
      <c r="E15" s="192"/>
      <c r="G15" s="28"/>
      <c r="J15" s="29"/>
      <c r="K15" s="28"/>
      <c r="N15" s="29"/>
    </row>
    <row r="16" spans="1:14" ht="21.75" customHeight="1">
      <c r="A16" s="189">
        <v>13</v>
      </c>
      <c r="B16" s="190" t="s">
        <v>185</v>
      </c>
      <c r="C16" s="191" t="e">
        <f>VLOOKUP("D",KWIECIEŃ!Q$2:$AJ$32,20,0)</f>
        <v>#REF!</v>
      </c>
      <c r="D16" s="192"/>
      <c r="E16" s="192"/>
      <c r="G16" s="249"/>
      <c r="I16" s="249"/>
      <c r="J16" s="29"/>
      <c r="K16" s="28"/>
      <c r="L16" s="249"/>
      <c r="N16" s="249"/>
    </row>
    <row r="17" spans="1:14" ht="21.75" customHeight="1">
      <c r="A17" s="189">
        <v>14</v>
      </c>
      <c r="B17" s="190" t="s">
        <v>186</v>
      </c>
      <c r="C17" s="191" t="e">
        <f>VLOOKUP("D",KWIECIEŃ!R$2:$AJ$32,19,0)</f>
        <v>#REF!</v>
      </c>
      <c r="D17" s="192"/>
      <c r="E17" s="192"/>
      <c r="G17" s="307"/>
      <c r="I17" s="308"/>
      <c r="J17" s="29"/>
      <c r="K17" s="28"/>
      <c r="L17" s="309"/>
      <c r="N17" s="309"/>
    </row>
    <row r="18" spans="1:14" ht="21.75" customHeight="1">
      <c r="A18" s="189">
        <v>15</v>
      </c>
      <c r="B18" s="190" t="s">
        <v>187</v>
      </c>
      <c r="C18" s="191" t="e">
        <f>VLOOKUP("D",KWIECIEŃ!S$2:$AJ$32,18,0)</f>
        <v>#REF!</v>
      </c>
      <c r="D18" s="192"/>
      <c r="E18" s="192"/>
      <c r="G18" s="311"/>
      <c r="I18" s="312"/>
      <c r="J18" s="29"/>
      <c r="K18" s="28"/>
      <c r="L18" s="313"/>
      <c r="N18" s="314"/>
    </row>
    <row r="19" spans="1:14" ht="21.75" customHeight="1">
      <c r="A19" s="189">
        <v>16</v>
      </c>
      <c r="B19" s="190" t="s">
        <v>181</v>
      </c>
      <c r="C19" s="191" t="e">
        <f>VLOOKUP("D",KWIECIEŃ!T$2:$AJ$32,17,0)</f>
        <v>#REF!</v>
      </c>
      <c r="D19" s="192"/>
      <c r="E19" s="192"/>
      <c r="G19" s="315"/>
      <c r="I19" s="316"/>
      <c r="J19" s="29"/>
      <c r="K19" s="28"/>
      <c r="L19" s="315"/>
      <c r="N19" s="316"/>
    </row>
    <row r="20" spans="1:14" ht="21.75" customHeight="1">
      <c r="A20" s="186">
        <v>17</v>
      </c>
      <c r="B20" s="183" t="s">
        <v>182</v>
      </c>
      <c r="C20" s="184" t="e">
        <f>VLOOKUP("D",KWIECIEŃ!U$2:$AJ$32,16,0)</f>
        <v>#REF!</v>
      </c>
      <c r="D20" s="188"/>
      <c r="E20" s="188"/>
      <c r="G20" s="317"/>
      <c r="I20" s="318"/>
      <c r="J20" s="29"/>
      <c r="K20" s="28"/>
      <c r="L20" s="317"/>
      <c r="N20" s="318"/>
    </row>
    <row r="21" spans="1:14" ht="21.75" customHeight="1">
      <c r="A21" s="186">
        <v>18</v>
      </c>
      <c r="B21" s="183" t="s">
        <v>183</v>
      </c>
      <c r="C21" s="184" t="e">
        <f>VLOOKUP("D",KWIECIEŃ!V$2:$AJ$32,15,0)</f>
        <v>#REF!</v>
      </c>
      <c r="D21" s="188"/>
      <c r="E21" s="188"/>
      <c r="G21" s="28"/>
      <c r="J21" s="29"/>
      <c r="K21" s="28"/>
      <c r="N21" s="29"/>
    </row>
    <row r="22" spans="1:14" ht="21.75" customHeight="1">
      <c r="A22" s="189">
        <v>19</v>
      </c>
      <c r="B22" s="190" t="s">
        <v>184</v>
      </c>
      <c r="C22" s="191" t="e">
        <f>VLOOKUP("D",KWIECIEŃ!W$2:$AJ$32,14,0)</f>
        <v>#REF!</v>
      </c>
      <c r="D22" s="192"/>
      <c r="E22" s="192"/>
      <c r="G22" s="249"/>
      <c r="I22" s="249"/>
      <c r="J22" s="29"/>
      <c r="K22" s="28"/>
      <c r="L22" s="249"/>
      <c r="N22" s="249"/>
    </row>
    <row r="23" spans="1:14" ht="21.75" customHeight="1">
      <c r="A23" s="189">
        <v>20</v>
      </c>
      <c r="B23" s="190" t="s">
        <v>185</v>
      </c>
      <c r="C23" s="191" t="e">
        <f>VLOOKUP("D",KWIECIEŃ!X$2:$AJ$32,13,0)</f>
        <v>#REF!</v>
      </c>
      <c r="D23" s="192"/>
      <c r="E23" s="192"/>
      <c r="G23" s="307"/>
      <c r="I23" s="308"/>
      <c r="J23" s="29"/>
      <c r="K23" s="28"/>
      <c r="L23" s="309"/>
      <c r="N23" s="310"/>
    </row>
    <row r="24" spans="1:14" ht="21.75" customHeight="1">
      <c r="A24" s="189">
        <v>21</v>
      </c>
      <c r="B24" s="190" t="s">
        <v>186</v>
      </c>
      <c r="C24" s="191" t="e">
        <f>VLOOKUP("D",KWIECIEŃ!Y$2:$AJ$32,12,0)</f>
        <v>#REF!</v>
      </c>
      <c r="D24" s="192"/>
      <c r="E24" s="192"/>
      <c r="G24" s="311"/>
      <c r="I24" s="312"/>
      <c r="J24" s="29"/>
      <c r="K24" s="28"/>
      <c r="L24" s="313"/>
      <c r="N24" s="314"/>
    </row>
    <row r="25" spans="1:14" ht="21.75" customHeight="1">
      <c r="A25" s="189">
        <v>22</v>
      </c>
      <c r="B25" s="190" t="s">
        <v>187</v>
      </c>
      <c r="C25" s="191" t="e">
        <f>VLOOKUP("D",KWIECIEŃ!Z$2:$AJ$32,11,0)</f>
        <v>#REF!</v>
      </c>
      <c r="D25" s="192"/>
      <c r="E25" s="192"/>
      <c r="G25" s="315"/>
      <c r="I25" s="316"/>
      <c r="J25" s="29"/>
      <c r="K25" s="28"/>
      <c r="L25" s="315"/>
      <c r="N25" s="316"/>
    </row>
    <row r="26" spans="1:14" ht="21.75" customHeight="1">
      <c r="A26" s="189">
        <v>23</v>
      </c>
      <c r="B26" s="190" t="s">
        <v>181</v>
      </c>
      <c r="C26" s="191" t="e">
        <f>VLOOKUP("D",KWIECIEŃ!AA$2:$AJ$32,10,0)</f>
        <v>#REF!</v>
      </c>
      <c r="D26" s="192"/>
      <c r="E26" s="192"/>
      <c r="G26" s="317"/>
      <c r="H26" s="319"/>
      <c r="I26" s="318"/>
      <c r="J26" s="320"/>
      <c r="K26" s="321"/>
      <c r="L26" s="317"/>
      <c r="M26" s="319"/>
      <c r="N26" s="318"/>
    </row>
    <row r="27" spans="1:14" ht="21.75" customHeight="1">
      <c r="A27" s="186">
        <v>24</v>
      </c>
      <c r="B27" s="183" t="s">
        <v>182</v>
      </c>
      <c r="C27" s="184" t="e">
        <f>VLOOKUP("D",KWIECIEŃ!AB$2:$AJ$32,9,0)</f>
        <v>#REF!</v>
      </c>
      <c r="D27" s="188"/>
      <c r="E27" s="188"/>
      <c r="G27" s="322"/>
      <c r="H27" s="323"/>
      <c r="I27" s="323"/>
      <c r="J27" s="324"/>
      <c r="K27" s="322"/>
      <c r="L27" s="323"/>
      <c r="M27" s="323"/>
      <c r="N27" s="324"/>
    </row>
    <row r="28" spans="1:14" ht="21.75" customHeight="1">
      <c r="A28" s="186">
        <v>25</v>
      </c>
      <c r="B28" s="183" t="s">
        <v>183</v>
      </c>
      <c r="C28" s="184" t="e">
        <f>VLOOKUP("D",KWIECIEŃ!AC$2:$AJ$32,8,0)</f>
        <v>#REF!</v>
      </c>
      <c r="D28" s="188"/>
      <c r="E28" s="188"/>
      <c r="G28" s="249"/>
      <c r="I28" s="325"/>
      <c r="J28" s="29"/>
      <c r="K28" s="28"/>
      <c r="L28" s="249"/>
      <c r="N28" s="326"/>
    </row>
    <row r="29" spans="1:14" ht="21.75" customHeight="1">
      <c r="A29" s="189">
        <v>26</v>
      </c>
      <c r="B29" s="190" t="s">
        <v>184</v>
      </c>
      <c r="C29" s="191" t="e">
        <f>VLOOKUP("D",KWIECIEŃ!AD$2:$AJ$32,7,0)</f>
        <v>#REF!</v>
      </c>
      <c r="D29" s="192"/>
      <c r="E29" s="192"/>
      <c r="G29" s="309"/>
      <c r="I29" s="121"/>
      <c r="J29" s="29"/>
      <c r="K29" s="28"/>
      <c r="L29" s="309"/>
      <c r="N29" s="327"/>
    </row>
    <row r="30" spans="1:14" ht="21.75" customHeight="1">
      <c r="A30" s="189">
        <v>27</v>
      </c>
      <c r="B30" s="190" t="s">
        <v>185</v>
      </c>
      <c r="C30" s="191" t="e">
        <f>VLOOKUP("D",KWIECIEŃ!AE$2:$AJ$32,6,0)</f>
        <v>#REF!</v>
      </c>
      <c r="D30" s="192"/>
      <c r="E30" s="192"/>
      <c r="G30" s="328"/>
      <c r="J30" s="29"/>
      <c r="K30" s="28"/>
      <c r="L30" s="328"/>
      <c r="N30" s="29"/>
    </row>
    <row r="31" spans="1:14" ht="21.75" customHeight="1">
      <c r="A31" s="189">
        <v>28</v>
      </c>
      <c r="B31" s="190" t="s">
        <v>186</v>
      </c>
      <c r="C31" s="191" t="e">
        <f>VLOOKUP("D",KWIECIEŃ!AF$2:$AJ$32,5,0)</f>
        <v>#REF!</v>
      </c>
      <c r="D31" s="192"/>
      <c r="E31" s="192"/>
      <c r="G31" s="329"/>
      <c r="J31" s="29"/>
      <c r="K31" s="28"/>
      <c r="L31" s="329"/>
      <c r="N31" s="29"/>
    </row>
    <row r="32" spans="1:14" ht="21.75" customHeight="1">
      <c r="A32" s="189">
        <v>29</v>
      </c>
      <c r="B32" s="190" t="s">
        <v>187</v>
      </c>
      <c r="C32" s="191" t="e">
        <f>VLOOKUP("D",KWIECIEŃ!AG$2:$AJ$32,4,0)</f>
        <v>#REF!</v>
      </c>
      <c r="D32" s="192"/>
      <c r="E32" s="192"/>
      <c r="G32" s="330" t="str">
        <f>MARZEC!AH42</f>
        <v>DRGAS</v>
      </c>
      <c r="H32" s="319"/>
      <c r="I32" s="319"/>
      <c r="J32" s="320"/>
      <c r="K32" s="321"/>
      <c r="L32" s="330">
        <f>MARZEC!AH47</f>
        <v>0</v>
      </c>
      <c r="M32" s="319"/>
      <c r="N32" s="320"/>
    </row>
    <row r="33" spans="1:5" ht="21.75" customHeight="1">
      <c r="A33" s="189">
        <v>30</v>
      </c>
      <c r="B33" s="190" t="s">
        <v>181</v>
      </c>
      <c r="C33" s="191" t="e">
        <f>VLOOKUP("D",KWIECIEŃ!AH$2:$AJ$32,3,0)</f>
        <v>#N/A</v>
      </c>
      <c r="D33" s="192"/>
      <c r="E33" s="192"/>
    </row>
    <row r="34" spans="1:5" ht="19.5" customHeight="1">
      <c r="A34" s="189">
        <v>31</v>
      </c>
      <c r="B34" s="190" t="s">
        <v>182</v>
      </c>
      <c r="C34" s="375" t="e">
        <f>VLOOKUP("D",KWIECIEŃ!AI$2:$AJ$32,2,0)</f>
        <v>#N/A</v>
      </c>
      <c r="D34" s="376"/>
      <c r="E34" s="376"/>
    </row>
  </sheetData>
  <mergeCells count="6">
    <mergeCell ref="A3:B3"/>
    <mergeCell ref="B1:E1"/>
    <mergeCell ref="G1:N1"/>
    <mergeCell ref="A2:E2"/>
    <mergeCell ref="G2:I2"/>
    <mergeCell ref="L2:N2"/>
  </mergeCells>
  <pageMargins left="0.23611111111111099" right="0.23611111111111099" top="0.15763888888888899" bottom="0.15763888888888899" header="0.51180555555555496" footer="0.51180555555555496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AMJ118"/>
  <sheetViews>
    <sheetView zoomScale="110" zoomScaleNormal="110" workbookViewId="0">
      <pane ySplit="1" topLeftCell="A60" activePane="bottomLeft" state="frozen"/>
      <selection pane="bottomLeft" activeCell="AC1" sqref="AC1"/>
    </sheetView>
  </sheetViews>
  <sheetFormatPr defaultColWidth="8.84375" defaultRowHeight="14.6"/>
  <cols>
    <col min="1" max="1" width="6" style="1" customWidth="1"/>
    <col min="2" max="2" width="4.3046875" style="1" customWidth="1"/>
    <col min="3" max="3" width="17.15234375" style="7" customWidth="1"/>
    <col min="4" max="4" width="6.4609375" style="1" customWidth="1"/>
    <col min="5" max="35" width="3.53515625" style="1" customWidth="1"/>
    <col min="36" max="36" width="41.4609375" style="1" hidden="1" customWidth="1"/>
    <col min="37" max="37" width="8.84375" style="8"/>
    <col min="38" max="38" width="4.69140625" style="1" customWidth="1"/>
    <col min="39" max="39" width="5.69140625" style="1" customWidth="1"/>
    <col min="40" max="40" width="4.53515625" style="1" customWidth="1"/>
    <col min="41" max="43" width="8.84375" style="1"/>
    <col min="44" max="44" width="20.3046875" style="1" customWidth="1"/>
    <col min="45" max="1024" width="8.84375" style="1"/>
  </cols>
  <sheetData>
    <row r="1" spans="1:45" ht="43.3">
      <c r="A1" s="1" t="s">
        <v>52</v>
      </c>
      <c r="D1" s="9">
        <v>44317</v>
      </c>
      <c r="E1" s="377">
        <v>44317</v>
      </c>
      <c r="F1" s="378">
        <v>44318</v>
      </c>
      <c r="G1" s="377">
        <v>44319</v>
      </c>
      <c r="H1" s="84">
        <v>44320</v>
      </c>
      <c r="I1" s="84">
        <v>44321</v>
      </c>
      <c r="J1" s="84">
        <v>44322</v>
      </c>
      <c r="K1" s="84">
        <v>44323</v>
      </c>
      <c r="L1" s="377">
        <v>44324</v>
      </c>
      <c r="M1" s="377">
        <v>44325</v>
      </c>
      <c r="N1" s="333">
        <v>44326</v>
      </c>
      <c r="O1" s="333">
        <v>44327</v>
      </c>
      <c r="P1" s="333">
        <v>44328</v>
      </c>
      <c r="Q1" s="333">
        <v>44329</v>
      </c>
      <c r="R1" s="333">
        <v>44330</v>
      </c>
      <c r="S1" s="377">
        <v>44331</v>
      </c>
      <c r="T1" s="377">
        <v>44332</v>
      </c>
      <c r="U1" s="333">
        <v>44333</v>
      </c>
      <c r="V1" s="333">
        <v>44334</v>
      </c>
      <c r="W1" s="333">
        <v>44335</v>
      </c>
      <c r="X1" s="333">
        <v>44336</v>
      </c>
      <c r="Y1" s="333">
        <v>44337</v>
      </c>
      <c r="Z1" s="377">
        <v>44338</v>
      </c>
      <c r="AA1" s="377">
        <v>44339</v>
      </c>
      <c r="AB1" s="333">
        <v>44340</v>
      </c>
      <c r="AC1" s="333">
        <v>44341</v>
      </c>
      <c r="AD1" s="333">
        <v>44342</v>
      </c>
      <c r="AE1" s="333">
        <v>44343</v>
      </c>
      <c r="AF1" s="333">
        <v>44344</v>
      </c>
      <c r="AG1" s="377">
        <v>44345</v>
      </c>
      <c r="AH1" s="377">
        <v>44346</v>
      </c>
      <c r="AI1" s="333">
        <v>44347</v>
      </c>
      <c r="AJ1" s="128"/>
      <c r="AK1" s="15">
        <f>20*8</f>
        <v>160</v>
      </c>
      <c r="AL1" s="16" t="s">
        <v>53</v>
      </c>
      <c r="AM1" s="17" t="s">
        <v>54</v>
      </c>
      <c r="AN1" s="18" t="s">
        <v>55</v>
      </c>
      <c r="AO1" s="1" t="s">
        <v>56</v>
      </c>
      <c r="AP1" s="379" t="s">
        <v>306</v>
      </c>
    </row>
    <row r="2" spans="1:45" ht="15.9">
      <c r="A2" s="1" t="s">
        <v>58</v>
      </c>
      <c r="B2" s="1" t="s">
        <v>59</v>
      </c>
      <c r="C2" s="198" t="s">
        <v>60</v>
      </c>
      <c r="D2" s="266" t="e">
        <f>#REF!</f>
        <v>#REF!</v>
      </c>
      <c r="E2" s="380"/>
      <c r="F2" s="209" t="s">
        <v>113</v>
      </c>
      <c r="G2" s="381"/>
      <c r="H2" s="22"/>
      <c r="I2" s="22"/>
      <c r="J2" s="382"/>
      <c r="K2" s="383">
        <v>17</v>
      </c>
      <c r="L2" s="209" t="s">
        <v>70</v>
      </c>
      <c r="M2" s="381" t="s">
        <v>70</v>
      </c>
      <c r="N2" s="335">
        <v>13</v>
      </c>
      <c r="O2" s="335" t="s">
        <v>66</v>
      </c>
      <c r="P2" s="335">
        <v>7</v>
      </c>
      <c r="Q2" s="335">
        <v>8</v>
      </c>
      <c r="R2" s="384"/>
      <c r="S2" s="209"/>
      <c r="T2" s="381"/>
      <c r="U2" s="335"/>
      <c r="V2" s="335">
        <v>5</v>
      </c>
      <c r="W2" s="335" t="s">
        <v>66</v>
      </c>
      <c r="X2" s="335" t="s">
        <v>66</v>
      </c>
      <c r="Y2" s="335" t="s">
        <v>66</v>
      </c>
      <c r="Z2" s="201" t="s">
        <v>66</v>
      </c>
      <c r="AA2" s="201" t="s">
        <v>66</v>
      </c>
      <c r="AB2" s="335" t="s">
        <v>83</v>
      </c>
      <c r="AC2" s="335" t="s">
        <v>83</v>
      </c>
      <c r="AD2" s="335" t="s">
        <v>83</v>
      </c>
      <c r="AE2" s="335" t="s">
        <v>83</v>
      </c>
      <c r="AF2" s="335" t="s">
        <v>83</v>
      </c>
      <c r="AG2" s="201" t="s">
        <v>66</v>
      </c>
      <c r="AH2" s="201" t="s">
        <v>66</v>
      </c>
      <c r="AI2" s="385" t="s">
        <v>66</v>
      </c>
      <c r="AJ2" s="26" t="e">
        <f>_xlfn.CONCAT(#REF!,Tabela13[[#This Row],[FUNKCJONARIUSZ]])</f>
        <v>#REF!</v>
      </c>
      <c r="AK2" s="27" t="e">
        <f t="shared" ref="AK2:AK32" si="0">D2+AL2+AM2+AN2-$AK$1+AO2+AP2</f>
        <v>#REF!</v>
      </c>
      <c r="AL2" s="28">
        <f t="shared" ref="AL2:AL32" si="1">COUNTIF(E2:AI2,"D")*24+COUNTIF(E2:AI2,"12g")*12</f>
        <v>24</v>
      </c>
      <c r="AM2">
        <f t="shared" ref="AM2:AM32" si="2">SUM(COUNTIF(E2:AI2,"k")+COUNTIF(E2:AI2,"s")+COUNTIF(E2:AI2,"wse"))*24+SUM(COUNTIF(E2:AI2,"Pk")+COUNTIF(E2:AI2,"Ps"))*12</f>
        <v>48</v>
      </c>
      <c r="AN2" s="29">
        <f t="shared" ref="AN2:AN32" si="3">SUM(E2:AI2)+COUNTIF(E2:AI2,"uw")*8+COUNTIF(E2:AI2,"us")*8+COUNTIF(E2:AI2,"uz")*8</f>
        <v>90</v>
      </c>
      <c r="AO2" s="1">
        <f t="shared" ref="AO2:AO32" si="4">COUNTIF(E2:AI2,"DT")*8</f>
        <v>0</v>
      </c>
      <c r="AP2" s="1">
        <v>0</v>
      </c>
    </row>
    <row r="3" spans="1:45" ht="15.9">
      <c r="A3" s="1" t="s">
        <v>63</v>
      </c>
      <c r="B3" s="1" t="s">
        <v>64</v>
      </c>
      <c r="C3" s="203" t="s">
        <v>65</v>
      </c>
      <c r="D3" s="266" t="e">
        <f>#REF!</f>
        <v>#REF!</v>
      </c>
      <c r="E3" s="386" t="s">
        <v>66</v>
      </c>
      <c r="F3" s="208" t="s">
        <v>66</v>
      </c>
      <c r="G3" s="36" t="s">
        <v>66</v>
      </c>
      <c r="H3" s="32" t="s">
        <v>75</v>
      </c>
      <c r="I3" s="32" t="s">
        <v>75</v>
      </c>
      <c r="J3" s="32"/>
      <c r="K3" s="32" t="s">
        <v>103</v>
      </c>
      <c r="L3" s="208"/>
      <c r="M3" s="36"/>
      <c r="N3" s="297">
        <v>18</v>
      </c>
      <c r="O3" s="297" t="s">
        <v>70</v>
      </c>
      <c r="P3" s="297" t="s">
        <v>70</v>
      </c>
      <c r="Q3" s="297" t="s">
        <v>70</v>
      </c>
      <c r="R3" s="297" t="s">
        <v>70</v>
      </c>
      <c r="S3" s="208" t="s">
        <v>70</v>
      </c>
      <c r="T3" s="36" t="s">
        <v>70</v>
      </c>
      <c r="U3" s="297">
        <v>14</v>
      </c>
      <c r="V3" s="297"/>
      <c r="W3" s="297"/>
      <c r="X3" s="297"/>
      <c r="Y3" s="297">
        <v>11</v>
      </c>
      <c r="Z3" s="36"/>
      <c r="AA3" s="36"/>
      <c r="AB3" s="297"/>
      <c r="AC3" s="297"/>
      <c r="AD3" s="297"/>
      <c r="AE3" s="297"/>
      <c r="AF3" s="297" t="s">
        <v>307</v>
      </c>
      <c r="AG3" s="36"/>
      <c r="AH3" s="36"/>
      <c r="AI3" s="387"/>
      <c r="AJ3" s="26" t="e">
        <f>_xlfn.CONCAT(#REF!,Tabela13[[#This Row],[FUNKCJONARIUSZ]])</f>
        <v>#REF!</v>
      </c>
      <c r="AK3" s="27" t="e">
        <f t="shared" si="0"/>
        <v>#REF!</v>
      </c>
      <c r="AL3" s="28">
        <f t="shared" si="1"/>
        <v>0</v>
      </c>
      <c r="AM3">
        <f t="shared" si="2"/>
        <v>144</v>
      </c>
      <c r="AN3" s="29">
        <f t="shared" si="3"/>
        <v>59</v>
      </c>
      <c r="AO3" s="1">
        <f t="shared" si="4"/>
        <v>0</v>
      </c>
      <c r="AP3" s="1">
        <v>0</v>
      </c>
    </row>
    <row r="4" spans="1:45" ht="15.9">
      <c r="A4" s="1" t="s">
        <v>67</v>
      </c>
      <c r="B4" s="1" t="s">
        <v>64</v>
      </c>
      <c r="C4" s="203" t="s">
        <v>68</v>
      </c>
      <c r="D4" s="266" t="e">
        <f>#REF!</f>
        <v>#REF!</v>
      </c>
      <c r="E4" s="388" t="s">
        <v>101</v>
      </c>
      <c r="F4" s="207" t="s">
        <v>101</v>
      </c>
      <c r="G4" s="207" t="s">
        <v>101</v>
      </c>
      <c r="H4" s="207" t="s">
        <v>101</v>
      </c>
      <c r="I4" s="207" t="s">
        <v>101</v>
      </c>
      <c r="J4" s="207" t="s">
        <v>101</v>
      </c>
      <c r="K4" s="207" t="s">
        <v>101</v>
      </c>
      <c r="L4" s="207" t="s">
        <v>101</v>
      </c>
      <c r="M4" s="207" t="s">
        <v>101</v>
      </c>
      <c r="N4" s="207" t="s">
        <v>101</v>
      </c>
      <c r="O4" s="207" t="s">
        <v>101</v>
      </c>
      <c r="P4" s="207" t="s">
        <v>101</v>
      </c>
      <c r="Q4" s="207" t="s">
        <v>101</v>
      </c>
      <c r="R4" s="207" t="s">
        <v>101</v>
      </c>
      <c r="S4" s="207" t="s">
        <v>101</v>
      </c>
      <c r="T4" s="207" t="s">
        <v>101</v>
      </c>
      <c r="U4" s="207" t="s">
        <v>101</v>
      </c>
      <c r="V4" s="207" t="s">
        <v>101</v>
      </c>
      <c r="W4" s="207" t="s">
        <v>101</v>
      </c>
      <c r="X4" s="207" t="s">
        <v>101</v>
      </c>
      <c r="Y4" s="207" t="s">
        <v>101</v>
      </c>
      <c r="Z4" s="207" t="s">
        <v>101</v>
      </c>
      <c r="AA4" s="207" t="s">
        <v>101</v>
      </c>
      <c r="AB4" s="207" t="s">
        <v>101</v>
      </c>
      <c r="AC4" s="207" t="s">
        <v>101</v>
      </c>
      <c r="AD4" s="207" t="s">
        <v>101</v>
      </c>
      <c r="AE4" s="207" t="s">
        <v>101</v>
      </c>
      <c r="AF4" s="207" t="s">
        <v>101</v>
      </c>
      <c r="AG4" s="36"/>
      <c r="AH4" s="36">
        <v>4</v>
      </c>
      <c r="AI4" s="387">
        <v>8</v>
      </c>
      <c r="AJ4" s="26" t="e">
        <f>_xlfn.CONCAT(#REF!,Tabela13[[#This Row],[FUNKCJONARIUSZ]])</f>
        <v>#REF!</v>
      </c>
      <c r="AK4" s="389" t="e">
        <f t="shared" si="0"/>
        <v>#REF!</v>
      </c>
      <c r="AL4" s="28">
        <f t="shared" si="1"/>
        <v>0</v>
      </c>
      <c r="AM4">
        <f t="shared" si="2"/>
        <v>0</v>
      </c>
      <c r="AN4" s="29">
        <f t="shared" si="3"/>
        <v>12</v>
      </c>
      <c r="AO4" s="1">
        <f t="shared" si="4"/>
        <v>0</v>
      </c>
      <c r="AP4" s="390">
        <v>152</v>
      </c>
    </row>
    <row r="5" spans="1:45" ht="15.9">
      <c r="A5" s="1" t="s">
        <v>63</v>
      </c>
      <c r="B5" s="1" t="s">
        <v>64</v>
      </c>
      <c r="C5" s="206" t="s">
        <v>71</v>
      </c>
      <c r="D5" s="266" t="e">
        <f>#REF!</f>
        <v>#REF!</v>
      </c>
      <c r="E5" s="709" t="s">
        <v>66</v>
      </c>
      <c r="F5" s="709"/>
      <c r="G5" s="709"/>
      <c r="H5" s="709"/>
      <c r="I5" s="48"/>
      <c r="J5" s="32"/>
      <c r="K5" s="32" t="s">
        <v>113</v>
      </c>
      <c r="L5" s="36"/>
      <c r="M5" s="36"/>
      <c r="N5" s="297"/>
      <c r="O5" s="297"/>
      <c r="P5" s="297"/>
      <c r="Q5" s="297"/>
      <c r="R5" s="297" t="s">
        <v>59</v>
      </c>
      <c r="S5" s="36"/>
      <c r="T5" s="36">
        <v>14</v>
      </c>
      <c r="U5" s="297"/>
      <c r="V5" s="297"/>
      <c r="W5" s="297"/>
      <c r="X5" s="297">
        <v>2</v>
      </c>
      <c r="Y5" s="297">
        <v>11</v>
      </c>
      <c r="Z5" s="36"/>
      <c r="AA5" s="36"/>
      <c r="AB5" s="297"/>
      <c r="AC5" s="297"/>
      <c r="AD5" s="297"/>
      <c r="AE5" s="297"/>
      <c r="AF5" s="297" t="s">
        <v>307</v>
      </c>
      <c r="AG5" s="36"/>
      <c r="AH5" s="36"/>
      <c r="AI5" s="387" t="s">
        <v>75</v>
      </c>
      <c r="AJ5" s="26" t="e">
        <f>_xlfn.CONCAT(#REF!,Tabela13[[#This Row],[FUNKCJONARIUSZ]])</f>
        <v>#REF!</v>
      </c>
      <c r="AK5" s="391" t="e">
        <f t="shared" si="0"/>
        <v>#REF!</v>
      </c>
      <c r="AL5" s="28">
        <f t="shared" si="1"/>
        <v>48</v>
      </c>
      <c r="AM5">
        <f t="shared" si="2"/>
        <v>0</v>
      </c>
      <c r="AN5" s="29">
        <f t="shared" si="3"/>
        <v>35</v>
      </c>
      <c r="AO5" s="1">
        <f t="shared" si="4"/>
        <v>0</v>
      </c>
      <c r="AP5" s="392">
        <v>15</v>
      </c>
      <c r="AQ5" s="36" t="s">
        <v>59</v>
      </c>
      <c r="AR5" s="1" t="s">
        <v>72</v>
      </c>
      <c r="AS5" s="1">
        <v>24</v>
      </c>
    </row>
    <row r="6" spans="1:45" ht="15.9">
      <c r="A6" s="1" t="s">
        <v>67</v>
      </c>
      <c r="B6" s="1" t="s">
        <v>73</v>
      </c>
      <c r="C6" s="203" t="s">
        <v>74</v>
      </c>
      <c r="D6" s="266" t="e">
        <f>#REF!</f>
        <v>#REF!</v>
      </c>
      <c r="E6" s="393">
        <v>10.5</v>
      </c>
      <c r="F6" s="208"/>
      <c r="G6" s="208"/>
      <c r="H6" s="41">
        <v>3</v>
      </c>
      <c r="I6" s="32">
        <v>4</v>
      </c>
      <c r="J6" s="32">
        <v>8</v>
      </c>
      <c r="K6" s="32">
        <v>16.5</v>
      </c>
      <c r="L6" s="36" t="s">
        <v>62</v>
      </c>
      <c r="M6" s="36" t="s">
        <v>62</v>
      </c>
      <c r="N6" s="297">
        <v>14</v>
      </c>
      <c r="O6" s="297" t="s">
        <v>66</v>
      </c>
      <c r="P6" s="297" t="s">
        <v>66</v>
      </c>
      <c r="Q6" s="297" t="s">
        <v>66</v>
      </c>
      <c r="R6" s="337"/>
      <c r="S6" s="36" t="s">
        <v>113</v>
      </c>
      <c r="T6" s="36"/>
      <c r="U6" s="337" t="s">
        <v>83</v>
      </c>
      <c r="V6" s="297" t="s">
        <v>83</v>
      </c>
      <c r="W6" s="297" t="s">
        <v>83</v>
      </c>
      <c r="X6" s="297" t="s">
        <v>83</v>
      </c>
      <c r="Y6" s="297" t="s">
        <v>83</v>
      </c>
      <c r="Z6" s="36"/>
      <c r="AA6" s="36" t="s">
        <v>113</v>
      </c>
      <c r="AB6" s="297"/>
      <c r="AC6" s="297" t="s">
        <v>66</v>
      </c>
      <c r="AD6" s="297"/>
      <c r="AE6" s="297"/>
      <c r="AF6" s="297" t="s">
        <v>113</v>
      </c>
      <c r="AG6" s="36"/>
      <c r="AH6" s="36"/>
      <c r="AI6" s="387">
        <v>17</v>
      </c>
      <c r="AJ6" s="26" t="e">
        <f>_xlfn.CONCAT(#REF!,Tabela13[[#This Row],[FUNKCJONARIUSZ]])</f>
        <v>#REF!</v>
      </c>
      <c r="AK6" s="27" t="e">
        <f t="shared" si="0"/>
        <v>#REF!</v>
      </c>
      <c r="AL6" s="28">
        <f t="shared" si="1"/>
        <v>72</v>
      </c>
      <c r="AM6">
        <f t="shared" si="2"/>
        <v>48</v>
      </c>
      <c r="AN6" s="29">
        <f t="shared" si="3"/>
        <v>113</v>
      </c>
      <c r="AO6" s="1">
        <f t="shared" si="4"/>
        <v>0</v>
      </c>
      <c r="AP6" s="1">
        <v>0</v>
      </c>
      <c r="AQ6" s="36" t="s">
        <v>76</v>
      </c>
      <c r="AR6" s="1" t="s">
        <v>77</v>
      </c>
      <c r="AS6" s="1">
        <v>12</v>
      </c>
    </row>
    <row r="7" spans="1:45" ht="15.9">
      <c r="A7" s="1" t="s">
        <v>67</v>
      </c>
      <c r="B7" s="1" t="s">
        <v>59</v>
      </c>
      <c r="C7" s="30" t="s">
        <v>78</v>
      </c>
      <c r="D7" s="266" t="e">
        <f>#REF!</f>
        <v>#REF!</v>
      </c>
      <c r="E7" s="386" t="s">
        <v>62</v>
      </c>
      <c r="F7" s="36" t="s">
        <v>62</v>
      </c>
      <c r="G7" s="36" t="s">
        <v>62</v>
      </c>
      <c r="H7" s="37">
        <v>13</v>
      </c>
      <c r="I7" s="37" t="s">
        <v>66</v>
      </c>
      <c r="J7" s="37" t="s">
        <v>66</v>
      </c>
      <c r="K7" s="37" t="s">
        <v>66</v>
      </c>
      <c r="L7" s="207" t="s">
        <v>66</v>
      </c>
      <c r="M7" s="207"/>
      <c r="N7" s="337">
        <v>18.5</v>
      </c>
      <c r="O7" s="337" t="s">
        <v>62</v>
      </c>
      <c r="P7" s="337">
        <v>10</v>
      </c>
      <c r="Q7" s="394"/>
      <c r="R7" s="297"/>
      <c r="S7" s="275"/>
      <c r="T7" s="145"/>
      <c r="U7" s="301"/>
      <c r="V7" s="340">
        <v>4.5</v>
      </c>
      <c r="W7" s="297"/>
      <c r="X7" s="297"/>
      <c r="Y7" s="297">
        <v>17</v>
      </c>
      <c r="Z7" s="36" t="s">
        <v>70</v>
      </c>
      <c r="AA7" s="36" t="s">
        <v>70</v>
      </c>
      <c r="AB7" s="297" t="s">
        <v>69</v>
      </c>
      <c r="AC7" s="297"/>
      <c r="AD7" s="297"/>
      <c r="AE7" s="297"/>
      <c r="AF7" s="297"/>
      <c r="AG7" s="36"/>
      <c r="AH7" s="36"/>
      <c r="AI7" s="387"/>
      <c r="AJ7" s="26" t="e">
        <f>_xlfn.CONCAT(#REF!,Tabela13[[#This Row],[FUNKCJONARIUSZ]])</f>
        <v>#REF!</v>
      </c>
      <c r="AK7" s="27" t="e">
        <f t="shared" si="0"/>
        <v>#REF!</v>
      </c>
      <c r="AL7" s="28">
        <f t="shared" si="1"/>
        <v>0</v>
      </c>
      <c r="AM7">
        <f t="shared" si="2"/>
        <v>156</v>
      </c>
      <c r="AN7" s="29">
        <f t="shared" si="3"/>
        <v>63</v>
      </c>
      <c r="AO7" s="1">
        <f t="shared" si="4"/>
        <v>0</v>
      </c>
      <c r="AP7" s="1">
        <v>0</v>
      </c>
      <c r="AQ7" s="36" t="s">
        <v>69</v>
      </c>
      <c r="AR7" s="1" t="s">
        <v>79</v>
      </c>
      <c r="AS7" s="1">
        <v>12</v>
      </c>
    </row>
    <row r="8" spans="1:45" ht="15.9">
      <c r="A8" s="1" t="s">
        <v>67</v>
      </c>
      <c r="B8" s="1" t="s">
        <v>59</v>
      </c>
      <c r="C8" s="203" t="s">
        <v>80</v>
      </c>
      <c r="D8" s="266" t="e">
        <f>#REF!</f>
        <v>#REF!</v>
      </c>
      <c r="E8" s="386"/>
      <c r="F8" s="36"/>
      <c r="G8" s="145"/>
      <c r="H8" s="707"/>
      <c r="I8" s="707"/>
      <c r="J8" s="707"/>
      <c r="K8" s="707"/>
      <c r="L8" s="707"/>
      <c r="M8" s="707"/>
      <c r="N8" s="707"/>
      <c r="O8" s="707"/>
      <c r="P8" s="707"/>
      <c r="Q8" s="707"/>
      <c r="R8" s="707"/>
      <c r="S8" s="707"/>
      <c r="T8" s="168"/>
      <c r="U8" s="339">
        <v>16</v>
      </c>
      <c r="V8" s="297" t="s">
        <v>70</v>
      </c>
      <c r="W8" s="297" t="s">
        <v>70</v>
      </c>
      <c r="X8" s="297" t="s">
        <v>70</v>
      </c>
      <c r="Y8" s="297">
        <v>14</v>
      </c>
      <c r="Z8" s="36"/>
      <c r="AA8" s="36"/>
      <c r="AB8" s="297" t="s">
        <v>75</v>
      </c>
      <c r="AC8" s="297" t="s">
        <v>75</v>
      </c>
      <c r="AD8" s="297" t="s">
        <v>75</v>
      </c>
      <c r="AE8" s="297" t="s">
        <v>75</v>
      </c>
      <c r="AF8" s="297" t="s">
        <v>75</v>
      </c>
      <c r="AG8" s="36"/>
      <c r="AH8" s="36"/>
      <c r="AI8" s="387" t="s">
        <v>75</v>
      </c>
      <c r="AJ8" s="26" t="e">
        <f>_xlfn.CONCAT(#REF!,Tabela13[[#This Row],[FUNKCJONARIUSZ]])</f>
        <v>#REF!</v>
      </c>
      <c r="AK8" s="391" t="e">
        <f t="shared" si="0"/>
        <v>#REF!</v>
      </c>
      <c r="AL8" s="28">
        <f t="shared" si="1"/>
        <v>0</v>
      </c>
      <c r="AM8">
        <f t="shared" si="2"/>
        <v>72</v>
      </c>
      <c r="AN8" s="29">
        <f t="shared" si="3"/>
        <v>78</v>
      </c>
      <c r="AO8" s="1">
        <f t="shared" si="4"/>
        <v>0</v>
      </c>
      <c r="AP8" s="392">
        <v>65</v>
      </c>
      <c r="AQ8" s="36" t="s">
        <v>70</v>
      </c>
      <c r="AR8" s="1" t="s">
        <v>81</v>
      </c>
      <c r="AS8" s="1">
        <v>24</v>
      </c>
    </row>
    <row r="9" spans="1:45" ht="15.9">
      <c r="A9" s="1" t="s">
        <v>67</v>
      </c>
      <c r="B9" s="1" t="s">
        <v>59</v>
      </c>
      <c r="C9" s="203" t="s">
        <v>82</v>
      </c>
      <c r="D9" s="266" t="e">
        <f>#REF!</f>
        <v>#REF!</v>
      </c>
      <c r="E9" s="386" t="s">
        <v>113</v>
      </c>
      <c r="F9" s="36"/>
      <c r="G9" s="145"/>
      <c r="H9" s="704"/>
      <c r="I9" s="704"/>
      <c r="J9" s="704"/>
      <c r="K9" s="704"/>
      <c r="L9" s="704"/>
      <c r="M9" s="704"/>
      <c r="N9" s="704"/>
      <c r="O9" s="704"/>
      <c r="P9" s="704"/>
      <c r="Q9" s="704"/>
      <c r="R9" s="704"/>
      <c r="S9" s="704"/>
      <c r="T9" s="168" t="s">
        <v>66</v>
      </c>
      <c r="U9" s="297" t="s">
        <v>66</v>
      </c>
      <c r="V9" s="297">
        <v>6</v>
      </c>
      <c r="W9" s="297" t="s">
        <v>66</v>
      </c>
      <c r="X9" s="297" t="s">
        <v>66</v>
      </c>
      <c r="Y9" s="297">
        <v>3</v>
      </c>
      <c r="Z9" s="36" t="s">
        <v>66</v>
      </c>
      <c r="AA9" s="36" t="s">
        <v>66</v>
      </c>
      <c r="AB9" s="297" t="s">
        <v>66</v>
      </c>
      <c r="AC9" s="297" t="s">
        <v>66</v>
      </c>
      <c r="AD9" s="297" t="s">
        <v>66</v>
      </c>
      <c r="AE9" s="297" t="s">
        <v>66</v>
      </c>
      <c r="AF9" s="297" t="s">
        <v>66</v>
      </c>
      <c r="AG9" s="275" t="s">
        <v>66</v>
      </c>
      <c r="AH9" s="207" t="s">
        <v>66</v>
      </c>
      <c r="AI9" s="395">
        <v>16</v>
      </c>
      <c r="AJ9" s="26" t="e">
        <f>_xlfn.CONCAT(#REF!,Tabela13[[#This Row],[FUNKCJONARIUSZ]])</f>
        <v>#REF!</v>
      </c>
      <c r="AK9" s="391" t="e">
        <f t="shared" si="0"/>
        <v>#REF!</v>
      </c>
      <c r="AL9" s="28">
        <f t="shared" si="1"/>
        <v>24</v>
      </c>
      <c r="AM9">
        <f t="shared" si="2"/>
        <v>0</v>
      </c>
      <c r="AN9" s="29">
        <f t="shared" si="3"/>
        <v>25</v>
      </c>
      <c r="AO9" s="1">
        <f t="shared" si="4"/>
        <v>0</v>
      </c>
      <c r="AP9" s="392">
        <v>68</v>
      </c>
      <c r="AQ9" s="36" t="s">
        <v>83</v>
      </c>
      <c r="AR9" s="1" t="s">
        <v>84</v>
      </c>
      <c r="AS9" s="1">
        <v>8</v>
      </c>
    </row>
    <row r="10" spans="1:45" ht="15.9">
      <c r="A10" s="1" t="s">
        <v>58</v>
      </c>
      <c r="B10" s="1" t="s">
        <v>73</v>
      </c>
      <c r="C10" s="203" t="s">
        <v>85</v>
      </c>
      <c r="D10" s="266" t="e">
        <f>#REF!</f>
        <v>#REF!</v>
      </c>
      <c r="E10" s="386"/>
      <c r="F10" s="36"/>
      <c r="G10" s="36"/>
      <c r="H10" s="41"/>
      <c r="I10" s="41">
        <v>4</v>
      </c>
      <c r="J10" s="41">
        <v>6</v>
      </c>
      <c r="K10" s="41"/>
      <c r="L10" s="208"/>
      <c r="M10" s="208"/>
      <c r="N10" s="396">
        <v>18</v>
      </c>
      <c r="O10" s="397" t="s">
        <v>62</v>
      </c>
      <c r="P10" s="351" t="s">
        <v>62</v>
      </c>
      <c r="Q10" s="398" t="s">
        <v>62</v>
      </c>
      <c r="R10" s="399">
        <v>11</v>
      </c>
      <c r="S10" s="208"/>
      <c r="T10" s="145"/>
      <c r="U10" s="297"/>
      <c r="V10" s="297"/>
      <c r="W10" s="297">
        <v>7</v>
      </c>
      <c r="X10" s="297"/>
      <c r="Y10" s="297">
        <v>17</v>
      </c>
      <c r="Z10" s="36" t="s">
        <v>70</v>
      </c>
      <c r="AA10" s="36" t="s">
        <v>70</v>
      </c>
      <c r="AB10" s="400" t="s">
        <v>69</v>
      </c>
      <c r="AC10" s="400"/>
      <c r="AD10" s="400"/>
      <c r="AE10" s="400"/>
      <c r="AF10" s="400"/>
      <c r="AG10" s="401" t="s">
        <v>113</v>
      </c>
      <c r="AH10" s="402"/>
      <c r="AI10" s="403"/>
      <c r="AJ10" s="26" t="e">
        <f>_xlfn.CONCAT(#REF!,Tabela13[[#This Row],[FUNKCJONARIUSZ]])</f>
        <v>#REF!</v>
      </c>
      <c r="AK10" s="27" t="e">
        <f t="shared" si="0"/>
        <v>#REF!</v>
      </c>
      <c r="AL10" s="28">
        <f t="shared" si="1"/>
        <v>24</v>
      </c>
      <c r="AM10">
        <f t="shared" si="2"/>
        <v>132</v>
      </c>
      <c r="AN10" s="29">
        <f t="shared" si="3"/>
        <v>63</v>
      </c>
      <c r="AO10" s="1">
        <f t="shared" si="4"/>
        <v>0</v>
      </c>
      <c r="AP10" s="1">
        <v>0</v>
      </c>
      <c r="AQ10" s="36" t="s">
        <v>75</v>
      </c>
      <c r="AR10" s="1" t="s">
        <v>86</v>
      </c>
      <c r="AS10" s="1">
        <v>8</v>
      </c>
    </row>
    <row r="11" spans="1:45" ht="15.9">
      <c r="A11" s="1" t="s">
        <v>58</v>
      </c>
      <c r="B11" s="1" t="s">
        <v>73</v>
      </c>
      <c r="C11" s="203" t="s">
        <v>87</v>
      </c>
      <c r="D11" s="266" t="e">
        <f>#REF!</f>
        <v>#REF!</v>
      </c>
      <c r="E11" s="386"/>
      <c r="F11" s="36"/>
      <c r="G11" s="36"/>
      <c r="H11" s="32" t="s">
        <v>75</v>
      </c>
      <c r="I11" s="32" t="s">
        <v>75</v>
      </c>
      <c r="J11" s="32" t="s">
        <v>75</v>
      </c>
      <c r="K11" s="32" t="s">
        <v>75</v>
      </c>
      <c r="L11" s="36" t="s">
        <v>66</v>
      </c>
      <c r="M11" s="36" t="s">
        <v>66</v>
      </c>
      <c r="N11" s="297" t="s">
        <v>75</v>
      </c>
      <c r="O11" s="339"/>
      <c r="P11" s="339"/>
      <c r="Q11" s="339"/>
      <c r="R11" s="297"/>
      <c r="S11" s="36"/>
      <c r="T11" s="145"/>
      <c r="U11" s="297">
        <v>15.5</v>
      </c>
      <c r="V11" s="297" t="s">
        <v>70</v>
      </c>
      <c r="W11" s="297" t="s">
        <v>70</v>
      </c>
      <c r="X11" s="297" t="s">
        <v>70</v>
      </c>
      <c r="Y11" s="297">
        <v>14.5</v>
      </c>
      <c r="Z11" s="36" t="s">
        <v>66</v>
      </c>
      <c r="AA11" s="36" t="s">
        <v>66</v>
      </c>
      <c r="AB11" s="297" t="s">
        <v>66</v>
      </c>
      <c r="AC11" s="297"/>
      <c r="AD11" s="297"/>
      <c r="AE11" s="297"/>
      <c r="AF11" s="297"/>
      <c r="AG11" s="404"/>
      <c r="AH11" s="208"/>
      <c r="AI11" s="405"/>
      <c r="AJ11" s="26" t="e">
        <f>_xlfn.CONCAT(#REF!,Tabela13[[#This Row],[FUNKCJONARIUSZ]])</f>
        <v>#REF!</v>
      </c>
      <c r="AK11" s="27" t="e">
        <f t="shared" si="0"/>
        <v>#REF!</v>
      </c>
      <c r="AL11" s="28">
        <f t="shared" si="1"/>
        <v>0</v>
      </c>
      <c r="AM11">
        <f t="shared" si="2"/>
        <v>72</v>
      </c>
      <c r="AN11" s="29">
        <f t="shared" si="3"/>
        <v>70</v>
      </c>
      <c r="AO11" s="1">
        <f t="shared" si="4"/>
        <v>0</v>
      </c>
      <c r="AP11" s="1">
        <v>0</v>
      </c>
      <c r="AQ11" s="36" t="s">
        <v>88</v>
      </c>
      <c r="AR11" s="1" t="s">
        <v>89</v>
      </c>
      <c r="AS11" s="1">
        <v>8</v>
      </c>
    </row>
    <row r="12" spans="1:45" ht="15.9">
      <c r="A12" s="1" t="s">
        <v>90</v>
      </c>
      <c r="B12" s="1" t="s">
        <v>64</v>
      </c>
      <c r="C12" s="203" t="s">
        <v>91</v>
      </c>
      <c r="D12" s="266" t="e">
        <f>#REF!</f>
        <v>#REF!</v>
      </c>
      <c r="E12" s="386">
        <v>11</v>
      </c>
      <c r="F12" s="36"/>
      <c r="G12" s="36"/>
      <c r="H12" s="32" t="s">
        <v>113</v>
      </c>
      <c r="I12" s="32"/>
      <c r="J12" s="32"/>
      <c r="K12" s="32"/>
      <c r="L12" s="36"/>
      <c r="M12" s="36"/>
      <c r="N12" s="297">
        <v>18</v>
      </c>
      <c r="O12" s="297" t="s">
        <v>70</v>
      </c>
      <c r="P12" s="297" t="s">
        <v>70</v>
      </c>
      <c r="Q12" s="297" t="s">
        <v>70</v>
      </c>
      <c r="R12" s="297" t="s">
        <v>70</v>
      </c>
      <c r="S12" s="36" t="s">
        <v>70</v>
      </c>
      <c r="T12" s="145" t="s">
        <v>70</v>
      </c>
      <c r="U12" s="297">
        <v>14</v>
      </c>
      <c r="V12" s="297" t="s">
        <v>66</v>
      </c>
      <c r="W12" s="297" t="s">
        <v>66</v>
      </c>
      <c r="X12" s="297" t="s">
        <v>66</v>
      </c>
      <c r="Y12" s="297" t="s">
        <v>66</v>
      </c>
      <c r="Z12" s="36" t="s">
        <v>66</v>
      </c>
      <c r="AA12" s="36" t="s">
        <v>66</v>
      </c>
      <c r="AB12" s="339" t="s">
        <v>66</v>
      </c>
      <c r="AC12" s="339"/>
      <c r="AD12" s="339"/>
      <c r="AE12" s="339"/>
      <c r="AF12" s="339" t="s">
        <v>307</v>
      </c>
      <c r="AG12" s="36"/>
      <c r="AH12" s="36"/>
      <c r="AI12" s="387"/>
      <c r="AJ12" s="26" t="e">
        <f>_xlfn.CONCAT(#REF!,Tabela13[[#This Row],[FUNKCJONARIUSZ]])</f>
        <v>#REF!</v>
      </c>
      <c r="AK12" s="27" t="e">
        <f t="shared" si="0"/>
        <v>#REF!</v>
      </c>
      <c r="AL12" s="28">
        <f t="shared" si="1"/>
        <v>24</v>
      </c>
      <c r="AM12">
        <f t="shared" si="2"/>
        <v>144</v>
      </c>
      <c r="AN12" s="29">
        <f t="shared" si="3"/>
        <v>43</v>
      </c>
      <c r="AO12" s="1">
        <f t="shared" si="4"/>
        <v>0</v>
      </c>
      <c r="AP12" s="1">
        <v>0</v>
      </c>
      <c r="AQ12" s="36" t="s">
        <v>92</v>
      </c>
      <c r="AR12" s="1" t="s">
        <v>79</v>
      </c>
      <c r="AS12" s="1">
        <v>12</v>
      </c>
    </row>
    <row r="13" spans="1:45" ht="15.9">
      <c r="A13" s="1" t="s">
        <v>58</v>
      </c>
      <c r="B13" s="1" t="s">
        <v>93</v>
      </c>
      <c r="C13" s="203" t="s">
        <v>94</v>
      </c>
      <c r="D13" s="266" t="e">
        <f>#REF!</f>
        <v>#REF!</v>
      </c>
      <c r="E13" s="386"/>
      <c r="F13" s="36"/>
      <c r="G13" s="36"/>
      <c r="H13" s="32">
        <v>17</v>
      </c>
      <c r="I13" s="32" t="s">
        <v>62</v>
      </c>
      <c r="J13" s="32" t="s">
        <v>62</v>
      </c>
      <c r="K13" s="32" t="s">
        <v>62</v>
      </c>
      <c r="L13" s="36" t="s">
        <v>62</v>
      </c>
      <c r="M13" s="36" t="s">
        <v>62</v>
      </c>
      <c r="N13" s="297">
        <v>13</v>
      </c>
      <c r="O13" s="297" t="s">
        <v>66</v>
      </c>
      <c r="P13" s="297" t="s">
        <v>66</v>
      </c>
      <c r="Q13" s="297" t="s">
        <v>66</v>
      </c>
      <c r="R13" s="297" t="s">
        <v>66</v>
      </c>
      <c r="S13" s="36" t="s">
        <v>66</v>
      </c>
      <c r="T13" s="145" t="s">
        <v>66</v>
      </c>
      <c r="U13" s="297" t="s">
        <v>66</v>
      </c>
      <c r="V13" s="297">
        <v>5</v>
      </c>
      <c r="W13" s="297"/>
      <c r="X13" s="297"/>
      <c r="Y13" s="297">
        <v>4</v>
      </c>
      <c r="Z13" s="36">
        <v>16</v>
      </c>
      <c r="AA13" s="36"/>
      <c r="AB13" s="297"/>
      <c r="AC13" s="297" t="s">
        <v>113</v>
      </c>
      <c r="AD13" s="297"/>
      <c r="AE13" s="297"/>
      <c r="AF13" s="297"/>
      <c r="AG13" s="36"/>
      <c r="AH13" s="36"/>
      <c r="AI13" s="387"/>
      <c r="AJ13" s="26" t="e">
        <f>_xlfn.CONCAT(#REF!,Tabela13[[#This Row],[FUNKCJONARIUSZ]])</f>
        <v>#REF!</v>
      </c>
      <c r="AK13" s="27" t="e">
        <f t="shared" si="0"/>
        <v>#REF!</v>
      </c>
      <c r="AL13" s="28">
        <f t="shared" si="1"/>
        <v>24</v>
      </c>
      <c r="AM13">
        <f t="shared" si="2"/>
        <v>120</v>
      </c>
      <c r="AN13" s="29">
        <f t="shared" si="3"/>
        <v>55</v>
      </c>
      <c r="AO13" s="1">
        <f t="shared" si="4"/>
        <v>0</v>
      </c>
      <c r="AP13" s="1">
        <v>0</v>
      </c>
      <c r="AQ13" s="36" t="s">
        <v>95</v>
      </c>
      <c r="AR13" s="1" t="s">
        <v>96</v>
      </c>
      <c r="AS13" s="1">
        <v>24</v>
      </c>
    </row>
    <row r="14" spans="1:45" ht="15.9">
      <c r="A14" s="1" t="s">
        <v>90</v>
      </c>
      <c r="B14" s="1" t="s">
        <v>59</v>
      </c>
      <c r="C14" s="203" t="s">
        <v>97</v>
      </c>
      <c r="D14" s="266" t="e">
        <f>#REF!</f>
        <v>#REF!</v>
      </c>
      <c r="E14" s="386"/>
      <c r="F14" s="36"/>
      <c r="G14" s="36"/>
      <c r="H14" s="37">
        <v>17</v>
      </c>
      <c r="I14" s="37" t="s">
        <v>70</v>
      </c>
      <c r="J14" s="37" t="s">
        <v>70</v>
      </c>
      <c r="K14" s="37">
        <v>13</v>
      </c>
      <c r="L14" s="207"/>
      <c r="M14" s="207"/>
      <c r="N14" s="337"/>
      <c r="O14" s="337">
        <v>13</v>
      </c>
      <c r="P14" s="337"/>
      <c r="Q14" s="337"/>
      <c r="R14" s="337">
        <v>17</v>
      </c>
      <c r="S14" s="207" t="s">
        <v>70</v>
      </c>
      <c r="T14" s="36" t="s">
        <v>70</v>
      </c>
      <c r="U14" s="297">
        <v>15</v>
      </c>
      <c r="V14" s="297">
        <v>4</v>
      </c>
      <c r="W14" s="297"/>
      <c r="X14" s="297"/>
      <c r="Y14" s="337">
        <v>10</v>
      </c>
      <c r="Z14" s="207"/>
      <c r="AA14" s="207"/>
      <c r="AB14" s="337"/>
      <c r="AC14" s="337" t="s">
        <v>75</v>
      </c>
      <c r="AD14" s="337" t="s">
        <v>75</v>
      </c>
      <c r="AE14" s="337" t="s">
        <v>75</v>
      </c>
      <c r="AF14" s="337" t="s">
        <v>75</v>
      </c>
      <c r="AG14" s="207" t="s">
        <v>66</v>
      </c>
      <c r="AH14" s="207" t="s">
        <v>66</v>
      </c>
      <c r="AI14" s="395" t="s">
        <v>75</v>
      </c>
      <c r="AJ14" s="26" t="e">
        <f>_xlfn.CONCAT(#REF!,Tabela13[[#This Row],[FUNKCJONARIUSZ]])</f>
        <v>#REF!</v>
      </c>
      <c r="AK14" s="27" t="e">
        <f t="shared" si="0"/>
        <v>#REF!</v>
      </c>
      <c r="AL14" s="28">
        <f t="shared" si="1"/>
        <v>0</v>
      </c>
      <c r="AM14">
        <f t="shared" si="2"/>
        <v>96</v>
      </c>
      <c r="AN14" s="29">
        <f t="shared" si="3"/>
        <v>129</v>
      </c>
      <c r="AO14" s="1">
        <f t="shared" si="4"/>
        <v>0</v>
      </c>
      <c r="AP14" s="1">
        <v>0</v>
      </c>
      <c r="AQ14" s="36" t="s">
        <v>98</v>
      </c>
      <c r="AR14" s="1" t="s">
        <v>99</v>
      </c>
      <c r="AS14" s="1">
        <v>24</v>
      </c>
    </row>
    <row r="15" spans="1:45" ht="15.9">
      <c r="A15" s="1" t="s">
        <v>58</v>
      </c>
      <c r="B15" s="1" t="s">
        <v>93</v>
      </c>
      <c r="C15" s="203" t="s">
        <v>100</v>
      </c>
      <c r="D15" s="266" t="e">
        <f>#REF!</f>
        <v>#REF!</v>
      </c>
      <c r="E15" s="386"/>
      <c r="F15" s="36"/>
      <c r="G15" s="145"/>
      <c r="H15" s="707"/>
      <c r="I15" s="707"/>
      <c r="J15" s="707"/>
      <c r="K15" s="707"/>
      <c r="L15" s="707"/>
      <c r="M15" s="707"/>
      <c r="N15" s="707"/>
      <c r="O15" s="707"/>
      <c r="P15" s="707"/>
      <c r="Q15" s="707"/>
      <c r="R15" s="707"/>
      <c r="S15" s="707"/>
      <c r="T15" s="168"/>
      <c r="U15" s="297"/>
      <c r="V15" s="297" t="s">
        <v>113</v>
      </c>
      <c r="W15" s="297"/>
      <c r="X15" s="338"/>
      <c r="Y15" s="297" t="s">
        <v>113</v>
      </c>
      <c r="Z15" s="36"/>
      <c r="AA15" s="145"/>
      <c r="AB15" s="297" t="s">
        <v>61</v>
      </c>
      <c r="AC15" s="297" t="s">
        <v>62</v>
      </c>
      <c r="AD15" s="297" t="s">
        <v>62</v>
      </c>
      <c r="AE15" s="297" t="s">
        <v>62</v>
      </c>
      <c r="AF15" s="297" t="s">
        <v>61</v>
      </c>
      <c r="AG15" s="36"/>
      <c r="AH15" s="36"/>
      <c r="AI15" s="387"/>
      <c r="AJ15" s="26" t="e">
        <f>_xlfn.CONCAT(#REF!,Tabela13[[#This Row],[FUNKCJONARIUSZ]])</f>
        <v>#REF!</v>
      </c>
      <c r="AK15" s="391" t="e">
        <f t="shared" si="0"/>
        <v>#REF!</v>
      </c>
      <c r="AL15" s="28">
        <f t="shared" si="1"/>
        <v>48</v>
      </c>
      <c r="AM15">
        <f t="shared" si="2"/>
        <v>96</v>
      </c>
      <c r="AN15" s="29">
        <f t="shared" si="3"/>
        <v>0</v>
      </c>
      <c r="AO15" s="1">
        <f t="shared" si="4"/>
        <v>0</v>
      </c>
      <c r="AP15" s="392">
        <v>66</v>
      </c>
      <c r="AQ15" s="32" t="s">
        <v>101</v>
      </c>
      <c r="AR15" s="1" t="s">
        <v>102</v>
      </c>
      <c r="AS15" s="1" t="s">
        <v>103</v>
      </c>
    </row>
    <row r="16" spans="1:45" ht="15.9">
      <c r="A16" s="1" t="s">
        <v>90</v>
      </c>
      <c r="B16" s="1" t="s">
        <v>64</v>
      </c>
      <c r="C16" s="203" t="s">
        <v>104</v>
      </c>
      <c r="D16" s="266" t="e">
        <f>#REF!</f>
        <v>#REF!</v>
      </c>
      <c r="E16" s="386">
        <v>11</v>
      </c>
      <c r="F16" s="36"/>
      <c r="G16" s="36" t="s">
        <v>113</v>
      </c>
      <c r="H16" s="406"/>
      <c r="I16" s="406"/>
      <c r="J16" s="406"/>
      <c r="K16" s="406"/>
      <c r="L16" s="407"/>
      <c r="M16" s="407"/>
      <c r="N16" s="408"/>
      <c r="O16" s="408">
        <v>13</v>
      </c>
      <c r="P16" s="408" t="s">
        <v>66</v>
      </c>
      <c r="Q16" s="408" t="s">
        <v>66</v>
      </c>
      <c r="R16" s="408" t="s">
        <v>75</v>
      </c>
      <c r="S16" s="407" t="s">
        <v>66</v>
      </c>
      <c r="T16" s="36" t="s">
        <v>66</v>
      </c>
      <c r="U16" s="297" t="s">
        <v>75</v>
      </c>
      <c r="V16" s="297"/>
      <c r="W16" s="297"/>
      <c r="X16" s="297"/>
      <c r="Y16" s="339">
        <v>11</v>
      </c>
      <c r="Z16" s="208"/>
      <c r="AA16" s="409"/>
      <c r="AB16" s="400" t="s">
        <v>69</v>
      </c>
      <c r="AC16" s="400" t="s">
        <v>70</v>
      </c>
      <c r="AD16" s="400" t="s">
        <v>70</v>
      </c>
      <c r="AE16" s="400" t="s">
        <v>70</v>
      </c>
      <c r="AF16" s="400" t="s">
        <v>69</v>
      </c>
      <c r="AG16" s="402"/>
      <c r="AH16" s="402"/>
      <c r="AI16" s="403"/>
      <c r="AJ16" s="26" t="e">
        <f>_xlfn.CONCAT(#REF!,Tabela13[[#This Row],[FUNKCJONARIUSZ]])</f>
        <v>#REF!</v>
      </c>
      <c r="AK16" s="27" t="e">
        <f t="shared" si="0"/>
        <v>#REF!</v>
      </c>
      <c r="AL16" s="28">
        <f t="shared" si="1"/>
        <v>24</v>
      </c>
      <c r="AM16">
        <f t="shared" si="2"/>
        <v>96</v>
      </c>
      <c r="AN16" s="29">
        <f t="shared" si="3"/>
        <v>51</v>
      </c>
      <c r="AO16" s="1">
        <f t="shared" si="4"/>
        <v>0</v>
      </c>
      <c r="AP16" s="1">
        <v>0</v>
      </c>
    </row>
    <row r="17" spans="1:42" ht="15.9">
      <c r="A17" s="1" t="s">
        <v>58</v>
      </c>
      <c r="B17" s="1" t="s">
        <v>64</v>
      </c>
      <c r="C17" s="203" t="s">
        <v>161</v>
      </c>
      <c r="D17" s="266" t="e">
        <f>#REF!</f>
        <v>#REF!</v>
      </c>
      <c r="E17" s="386"/>
      <c r="F17" s="36"/>
      <c r="G17" s="145"/>
      <c r="H17" s="707"/>
      <c r="I17" s="707"/>
      <c r="J17" s="707"/>
      <c r="K17" s="707"/>
      <c r="L17" s="707"/>
      <c r="M17" s="707"/>
      <c r="N17" s="707"/>
      <c r="O17" s="707"/>
      <c r="P17" s="707"/>
      <c r="Q17" s="707"/>
      <c r="R17" s="707"/>
      <c r="S17" s="707"/>
      <c r="T17" s="168"/>
      <c r="U17" s="297"/>
      <c r="V17" s="297">
        <v>17</v>
      </c>
      <c r="W17" s="297" t="s">
        <v>95</v>
      </c>
      <c r="X17" s="297" t="s">
        <v>95</v>
      </c>
      <c r="Y17" s="297" t="s">
        <v>92</v>
      </c>
      <c r="Z17" s="36"/>
      <c r="AA17" s="36"/>
      <c r="AB17" s="339"/>
      <c r="AC17" s="339"/>
      <c r="AD17" s="339"/>
      <c r="AE17" s="396"/>
      <c r="AF17" s="297" t="s">
        <v>307</v>
      </c>
      <c r="AG17" s="36"/>
      <c r="AH17" s="36"/>
      <c r="AI17" s="387"/>
      <c r="AJ17" s="26" t="e">
        <f>_xlfn.CONCAT(#REF!,Tabela13[[#This Row],[FUNKCJONARIUSZ]])</f>
        <v>#REF!</v>
      </c>
      <c r="AK17" s="391" t="e">
        <f t="shared" si="0"/>
        <v>#REF!</v>
      </c>
      <c r="AL17" s="28">
        <f t="shared" si="1"/>
        <v>0</v>
      </c>
      <c r="AM17">
        <f t="shared" si="2"/>
        <v>60</v>
      </c>
      <c r="AN17" s="29">
        <f t="shared" si="3"/>
        <v>17</v>
      </c>
      <c r="AO17" s="1">
        <f t="shared" si="4"/>
        <v>0</v>
      </c>
      <c r="AP17" s="392">
        <v>80</v>
      </c>
    </row>
    <row r="18" spans="1:42" ht="15.9">
      <c r="A18" s="1" t="s">
        <v>105</v>
      </c>
      <c r="B18" s="1" t="s">
        <v>64</v>
      </c>
      <c r="C18" s="203" t="s">
        <v>106</v>
      </c>
      <c r="D18" s="266" t="e">
        <f>#REF!</f>
        <v>#REF!</v>
      </c>
      <c r="E18" s="386" t="s">
        <v>66</v>
      </c>
      <c r="F18" s="36" t="s">
        <v>66</v>
      </c>
      <c r="G18" s="36" t="s">
        <v>66</v>
      </c>
      <c r="H18" s="41" t="s">
        <v>75</v>
      </c>
      <c r="I18" s="41" t="s">
        <v>75</v>
      </c>
      <c r="J18" s="41" t="s">
        <v>75</v>
      </c>
      <c r="K18" s="41" t="s">
        <v>75</v>
      </c>
      <c r="L18" s="208" t="s">
        <v>66</v>
      </c>
      <c r="M18" s="208" t="s">
        <v>66</v>
      </c>
      <c r="N18" s="339" t="s">
        <v>75</v>
      </c>
      <c r="O18" s="339" t="s">
        <v>59</v>
      </c>
      <c r="P18" s="339"/>
      <c r="Q18" s="339">
        <v>8</v>
      </c>
      <c r="R18" s="339"/>
      <c r="S18" s="208"/>
      <c r="T18" s="36">
        <v>14</v>
      </c>
      <c r="U18" s="297"/>
      <c r="V18" s="297"/>
      <c r="W18" s="297">
        <v>8</v>
      </c>
      <c r="X18" s="297">
        <v>7</v>
      </c>
      <c r="Y18" s="297">
        <v>6</v>
      </c>
      <c r="Z18" s="36" t="s">
        <v>113</v>
      </c>
      <c r="AA18" s="36"/>
      <c r="AB18" s="297"/>
      <c r="AC18" s="297"/>
      <c r="AD18" s="297"/>
      <c r="AE18" s="338"/>
      <c r="AF18" s="297" t="s">
        <v>69</v>
      </c>
      <c r="AG18" s="36" t="s">
        <v>70</v>
      </c>
      <c r="AH18" s="36" t="s">
        <v>70</v>
      </c>
      <c r="AI18" s="387" t="s">
        <v>69</v>
      </c>
      <c r="AJ18" s="26" t="e">
        <f>_xlfn.CONCAT(#REF!,Tabela13[[#This Row],[FUNKCJONARIUSZ]])</f>
        <v>#REF!</v>
      </c>
      <c r="AK18" s="27" t="e">
        <f t="shared" si="0"/>
        <v>#REF!</v>
      </c>
      <c r="AL18" s="28">
        <f t="shared" si="1"/>
        <v>48</v>
      </c>
      <c r="AM18">
        <f t="shared" si="2"/>
        <v>72</v>
      </c>
      <c r="AN18" s="29">
        <f t="shared" si="3"/>
        <v>83</v>
      </c>
      <c r="AO18" s="1">
        <f t="shared" si="4"/>
        <v>0</v>
      </c>
      <c r="AP18" s="1">
        <v>0</v>
      </c>
    </row>
    <row r="19" spans="1:42" ht="15.9">
      <c r="A19" s="1" t="s">
        <v>67</v>
      </c>
      <c r="B19" s="1" t="s">
        <v>73</v>
      </c>
      <c r="C19" s="203" t="s">
        <v>107</v>
      </c>
      <c r="D19" s="266" t="e">
        <f>#REF!</f>
        <v>#REF!</v>
      </c>
      <c r="E19" s="386" t="s">
        <v>66</v>
      </c>
      <c r="F19" s="36" t="s">
        <v>66</v>
      </c>
      <c r="G19" s="36" t="s">
        <v>66</v>
      </c>
      <c r="H19" s="32" t="s">
        <v>83</v>
      </c>
      <c r="I19" s="32" t="s">
        <v>83</v>
      </c>
      <c r="J19" s="32" t="s">
        <v>83</v>
      </c>
      <c r="K19" s="32"/>
      <c r="L19" s="36"/>
      <c r="M19" s="36"/>
      <c r="N19" s="297">
        <v>19</v>
      </c>
      <c r="O19" s="297" t="s">
        <v>62</v>
      </c>
      <c r="P19" s="297" t="s">
        <v>62</v>
      </c>
      <c r="Q19" s="297" t="s">
        <v>62</v>
      </c>
      <c r="R19" s="297">
        <v>10</v>
      </c>
      <c r="S19" s="207" t="s">
        <v>66</v>
      </c>
      <c r="T19" s="207"/>
      <c r="U19" s="337"/>
      <c r="V19" s="337"/>
      <c r="W19" s="337"/>
      <c r="X19" s="337"/>
      <c r="Y19" s="337"/>
      <c r="Z19" s="207"/>
      <c r="AA19" s="207"/>
      <c r="AB19" s="337"/>
      <c r="AC19" s="337"/>
      <c r="AD19" s="337"/>
      <c r="AE19" s="337"/>
      <c r="AF19" s="408"/>
      <c r="AG19" s="407"/>
      <c r="AH19" s="407"/>
      <c r="AI19" s="410"/>
      <c r="AJ19" s="26" t="e">
        <f>_xlfn.CONCAT(#REF!,Tabela13[[#This Row],[FUNKCJONARIUSZ]])</f>
        <v>#REF!</v>
      </c>
      <c r="AK19" s="27" t="e">
        <f t="shared" si="0"/>
        <v>#REF!</v>
      </c>
      <c r="AL19" s="28">
        <f t="shared" si="1"/>
        <v>0</v>
      </c>
      <c r="AM19">
        <f t="shared" si="2"/>
        <v>72</v>
      </c>
      <c r="AN19" s="29">
        <f t="shared" si="3"/>
        <v>53</v>
      </c>
      <c r="AO19" s="1">
        <f t="shared" si="4"/>
        <v>0</v>
      </c>
      <c r="AP19" s="1">
        <v>0</v>
      </c>
    </row>
    <row r="20" spans="1:42" ht="15.9">
      <c r="A20" s="1" t="s">
        <v>90</v>
      </c>
      <c r="B20" s="1" t="s">
        <v>59</v>
      </c>
      <c r="C20" s="203" t="s">
        <v>108</v>
      </c>
      <c r="D20" s="266" t="e">
        <f>#REF!</f>
        <v>#REF!</v>
      </c>
      <c r="E20" s="386" t="s">
        <v>66</v>
      </c>
      <c r="F20" s="36" t="s">
        <v>66</v>
      </c>
      <c r="G20" s="36" t="s">
        <v>66</v>
      </c>
      <c r="H20" s="32" t="s">
        <v>75</v>
      </c>
      <c r="I20" s="32" t="s">
        <v>75</v>
      </c>
      <c r="J20" s="32" t="s">
        <v>75</v>
      </c>
      <c r="K20" s="32" t="s">
        <v>75</v>
      </c>
      <c r="L20" s="36"/>
      <c r="M20" s="36"/>
      <c r="N20" s="297">
        <v>18.5</v>
      </c>
      <c r="O20" s="297" t="s">
        <v>62</v>
      </c>
      <c r="P20" s="297" t="s">
        <v>62</v>
      </c>
      <c r="Q20" s="297" t="s">
        <v>62</v>
      </c>
      <c r="R20" s="338" t="s">
        <v>69</v>
      </c>
      <c r="S20" s="707"/>
      <c r="T20" s="707"/>
      <c r="U20" s="707"/>
      <c r="V20" s="707"/>
      <c r="W20" s="707"/>
      <c r="X20" s="707"/>
      <c r="Y20" s="707"/>
      <c r="Z20" s="707"/>
      <c r="AA20" s="707"/>
      <c r="AB20" s="707"/>
      <c r="AC20" s="707"/>
      <c r="AD20" s="707"/>
      <c r="AE20" s="707"/>
      <c r="AF20" s="707"/>
      <c r="AG20" s="707"/>
      <c r="AH20" s="707"/>
      <c r="AI20" s="707"/>
      <c r="AJ20" s="26" t="e">
        <f>_xlfn.CONCAT(#REF!,Tabela13[[#This Row],[FUNKCJONARIUSZ]])</f>
        <v>#REF!</v>
      </c>
      <c r="AK20" s="391" t="e">
        <f t="shared" si="0"/>
        <v>#REF!</v>
      </c>
      <c r="AL20" s="28">
        <f t="shared" si="1"/>
        <v>0</v>
      </c>
      <c r="AM20">
        <f t="shared" si="2"/>
        <v>84</v>
      </c>
      <c r="AN20" s="29">
        <f t="shared" si="3"/>
        <v>50.5</v>
      </c>
      <c r="AO20" s="1">
        <f t="shared" si="4"/>
        <v>0</v>
      </c>
      <c r="AP20" s="392">
        <f>8*13</f>
        <v>104</v>
      </c>
    </row>
    <row r="21" spans="1:42" ht="15.9">
      <c r="A21" s="1" t="s">
        <v>58</v>
      </c>
      <c r="B21" s="1" t="s">
        <v>59</v>
      </c>
      <c r="C21" s="203" t="s">
        <v>109</v>
      </c>
      <c r="D21" s="266" t="e">
        <f>#REF!</f>
        <v>#REF!</v>
      </c>
      <c r="E21" s="386"/>
      <c r="F21" s="36"/>
      <c r="G21" s="36"/>
      <c r="H21" s="32"/>
      <c r="I21" s="32"/>
      <c r="J21" s="32"/>
      <c r="K21" s="32">
        <v>4</v>
      </c>
      <c r="L21" s="36">
        <v>8</v>
      </c>
      <c r="M21" s="36"/>
      <c r="N21" s="297"/>
      <c r="O21" s="297"/>
      <c r="P21" s="297"/>
      <c r="Q21" s="297"/>
      <c r="R21" s="338"/>
      <c r="S21" s="707"/>
      <c r="T21" s="707"/>
      <c r="U21" s="707"/>
      <c r="V21" s="707"/>
      <c r="W21" s="707"/>
      <c r="X21" s="707"/>
      <c r="Y21" s="707"/>
      <c r="Z21" s="707"/>
      <c r="AA21" s="707"/>
      <c r="AB21" s="707"/>
      <c r="AC21" s="707"/>
      <c r="AD21" s="707"/>
      <c r="AE21" s="707"/>
      <c r="AF21" s="707"/>
      <c r="AG21" s="707"/>
      <c r="AH21" s="707"/>
      <c r="AI21" s="707"/>
      <c r="AJ21" s="26" t="e">
        <f>_xlfn.CONCAT(#REF!,Tabela13[[#This Row],[FUNKCJONARIUSZ]])</f>
        <v>#REF!</v>
      </c>
      <c r="AK21" s="391" t="e">
        <f t="shared" si="0"/>
        <v>#REF!</v>
      </c>
      <c r="AL21" s="28">
        <f t="shared" si="1"/>
        <v>0</v>
      </c>
      <c r="AM21">
        <f t="shared" si="2"/>
        <v>0</v>
      </c>
      <c r="AN21" s="29">
        <f t="shared" si="3"/>
        <v>12</v>
      </c>
      <c r="AO21" s="1">
        <f t="shared" si="4"/>
        <v>0</v>
      </c>
      <c r="AP21" s="392">
        <v>95</v>
      </c>
    </row>
    <row r="22" spans="1:42" ht="15.9">
      <c r="A22" s="1" t="s">
        <v>63</v>
      </c>
      <c r="B22" s="1" t="s">
        <v>59</v>
      </c>
      <c r="C22" s="203" t="s">
        <v>162</v>
      </c>
      <c r="D22" s="266" t="e">
        <f>#REF!</f>
        <v>#REF!</v>
      </c>
      <c r="E22" s="386">
        <v>12</v>
      </c>
      <c r="F22" s="36">
        <v>12</v>
      </c>
      <c r="G22" s="36"/>
      <c r="H22" s="32"/>
      <c r="I22" s="32"/>
      <c r="J22" s="32">
        <v>17</v>
      </c>
      <c r="K22" s="32" t="s">
        <v>98</v>
      </c>
      <c r="L22" s="36" t="s">
        <v>99</v>
      </c>
      <c r="M22" s="36">
        <v>18</v>
      </c>
      <c r="N22" s="297"/>
      <c r="O22" s="297"/>
      <c r="P22" s="297"/>
      <c r="Q22" s="297"/>
      <c r="R22" s="297"/>
      <c r="S22" s="208"/>
      <c r="T22" s="208" t="s">
        <v>59</v>
      </c>
      <c r="U22" s="339"/>
      <c r="V22" s="339"/>
      <c r="W22" s="339"/>
      <c r="X22" s="339"/>
      <c r="Y22" s="339" t="s">
        <v>66</v>
      </c>
      <c r="Z22" s="208" t="s">
        <v>66</v>
      </c>
      <c r="AA22" s="208" t="s">
        <v>66</v>
      </c>
      <c r="AB22" s="339" t="s">
        <v>66</v>
      </c>
      <c r="AC22" s="339"/>
      <c r="AD22" s="339"/>
      <c r="AE22" s="339" t="s">
        <v>59</v>
      </c>
      <c r="AF22" s="339"/>
      <c r="AG22" s="208"/>
      <c r="AH22" s="208" t="s">
        <v>113</v>
      </c>
      <c r="AI22" s="405"/>
      <c r="AJ22" s="26" t="e">
        <f>_xlfn.CONCAT(#REF!,Tabela13[[#This Row],[FUNKCJONARIUSZ]])</f>
        <v>#REF!</v>
      </c>
      <c r="AK22" s="27" t="e">
        <f t="shared" si="0"/>
        <v>#REF!</v>
      </c>
      <c r="AL22" s="28">
        <f t="shared" si="1"/>
        <v>72</v>
      </c>
      <c r="AM22">
        <f t="shared" si="2"/>
        <v>48</v>
      </c>
      <c r="AN22" s="29">
        <f t="shared" si="3"/>
        <v>59</v>
      </c>
      <c r="AO22" s="1">
        <f t="shared" si="4"/>
        <v>0</v>
      </c>
      <c r="AP22" s="1">
        <v>0</v>
      </c>
    </row>
    <row r="23" spans="1:42" ht="15.9">
      <c r="A23" s="1" t="s">
        <v>67</v>
      </c>
      <c r="B23" s="1" t="s">
        <v>93</v>
      </c>
      <c r="C23" s="203" t="s">
        <v>110</v>
      </c>
      <c r="D23" s="266" t="e">
        <f>#REF!</f>
        <v>#REF!</v>
      </c>
      <c r="E23" s="386" t="s">
        <v>66</v>
      </c>
      <c r="F23" s="36" t="s">
        <v>66</v>
      </c>
      <c r="G23" s="36" t="s">
        <v>66</v>
      </c>
      <c r="H23" s="32" t="s">
        <v>75</v>
      </c>
      <c r="I23" s="32" t="s">
        <v>75</v>
      </c>
      <c r="J23" s="32" t="s">
        <v>75</v>
      </c>
      <c r="K23" s="32" t="s">
        <v>75</v>
      </c>
      <c r="L23" s="36" t="s">
        <v>66</v>
      </c>
      <c r="M23" s="36" t="s">
        <v>66</v>
      </c>
      <c r="N23" s="297" t="s">
        <v>75</v>
      </c>
      <c r="O23" s="297" t="s">
        <v>75</v>
      </c>
      <c r="P23" s="297" t="s">
        <v>75</v>
      </c>
      <c r="Q23" s="297" t="s">
        <v>75</v>
      </c>
      <c r="R23" s="297" t="s">
        <v>75</v>
      </c>
      <c r="S23" s="36" t="s">
        <v>66</v>
      </c>
      <c r="T23" s="36" t="s">
        <v>66</v>
      </c>
      <c r="U23" s="297" t="s">
        <v>75</v>
      </c>
      <c r="V23" s="297" t="s">
        <v>75</v>
      </c>
      <c r="W23" s="297" t="s">
        <v>66</v>
      </c>
      <c r="X23" s="297" t="s">
        <v>66</v>
      </c>
      <c r="Y23" s="297" t="s">
        <v>66</v>
      </c>
      <c r="Z23" s="36" t="s">
        <v>66</v>
      </c>
      <c r="AA23" s="36" t="s">
        <v>66</v>
      </c>
      <c r="AB23" s="297" t="s">
        <v>66</v>
      </c>
      <c r="AC23" s="297" t="s">
        <v>66</v>
      </c>
      <c r="AD23" s="297" t="s">
        <v>66</v>
      </c>
      <c r="AE23" s="297" t="s">
        <v>66</v>
      </c>
      <c r="AF23" s="297" t="s">
        <v>66</v>
      </c>
      <c r="AG23" s="36"/>
      <c r="AH23" s="36"/>
      <c r="AI23" s="387">
        <v>17</v>
      </c>
      <c r="AJ23" s="26" t="e">
        <f>_xlfn.CONCAT(#REF!,Tabela13[[#This Row],[FUNKCJONARIUSZ]])</f>
        <v>#REF!</v>
      </c>
      <c r="AK23" s="27" t="e">
        <f t="shared" si="0"/>
        <v>#REF!</v>
      </c>
      <c r="AL23" s="28">
        <f t="shared" si="1"/>
        <v>0</v>
      </c>
      <c r="AM23">
        <f t="shared" si="2"/>
        <v>0</v>
      </c>
      <c r="AN23" s="29">
        <f t="shared" si="3"/>
        <v>105</v>
      </c>
      <c r="AO23" s="1">
        <f t="shared" si="4"/>
        <v>0</v>
      </c>
      <c r="AP23" s="1">
        <v>0</v>
      </c>
    </row>
    <row r="24" spans="1:42" ht="15.9">
      <c r="A24" s="1" t="s">
        <v>58</v>
      </c>
      <c r="B24" s="1" t="s">
        <v>59</v>
      </c>
      <c r="C24" s="203" t="s">
        <v>111</v>
      </c>
      <c r="D24" s="266" t="e">
        <f>#REF!</f>
        <v>#REF!</v>
      </c>
      <c r="E24" s="386"/>
      <c r="F24" s="36"/>
      <c r="G24" s="36"/>
      <c r="H24" s="32"/>
      <c r="I24" s="32"/>
      <c r="J24" s="32">
        <v>4</v>
      </c>
      <c r="K24" s="32">
        <v>8</v>
      </c>
      <c r="L24" s="36"/>
      <c r="M24" s="36"/>
      <c r="N24" s="297" t="s">
        <v>66</v>
      </c>
      <c r="O24" s="297" t="s">
        <v>66</v>
      </c>
      <c r="P24" s="297" t="s">
        <v>61</v>
      </c>
      <c r="Q24" s="297" t="s">
        <v>62</v>
      </c>
      <c r="R24" s="297" t="s">
        <v>70</v>
      </c>
      <c r="S24" s="36" t="s">
        <v>70</v>
      </c>
      <c r="T24" s="36" t="s">
        <v>70</v>
      </c>
      <c r="U24" s="297" t="s">
        <v>69</v>
      </c>
      <c r="V24" s="297"/>
      <c r="W24" s="297"/>
      <c r="X24" s="297"/>
      <c r="Y24" s="297"/>
      <c r="Z24" s="36"/>
      <c r="AA24" s="36"/>
      <c r="AB24" s="297" t="s">
        <v>113</v>
      </c>
      <c r="AC24" s="297"/>
      <c r="AD24" s="297"/>
      <c r="AE24" s="297"/>
      <c r="AF24" s="297" t="s">
        <v>69</v>
      </c>
      <c r="AG24" s="36" t="s">
        <v>70</v>
      </c>
      <c r="AH24" s="36" t="s">
        <v>70</v>
      </c>
      <c r="AI24" s="387" t="s">
        <v>69</v>
      </c>
      <c r="AJ24" s="26" t="e">
        <f>_xlfn.CONCAT(#REF!,Tabela13[[#This Row],[FUNKCJONARIUSZ]])</f>
        <v>#REF!</v>
      </c>
      <c r="AK24" s="27" t="e">
        <f t="shared" si="0"/>
        <v>#REF!</v>
      </c>
      <c r="AL24" s="28">
        <f t="shared" si="1"/>
        <v>24</v>
      </c>
      <c r="AM24">
        <f t="shared" si="2"/>
        <v>192</v>
      </c>
      <c r="AN24" s="29">
        <f t="shared" si="3"/>
        <v>12</v>
      </c>
      <c r="AO24" s="1">
        <f t="shared" si="4"/>
        <v>0</v>
      </c>
      <c r="AP24" s="1">
        <v>0</v>
      </c>
    </row>
    <row r="25" spans="1:42" ht="15.9">
      <c r="A25" s="1" t="s">
        <v>63</v>
      </c>
      <c r="B25" s="1" t="s">
        <v>192</v>
      </c>
      <c r="C25" s="210" t="s">
        <v>112</v>
      </c>
      <c r="D25" s="266" t="e">
        <f>#REF!</f>
        <v>#REF!</v>
      </c>
      <c r="E25" s="386"/>
      <c r="F25" s="36"/>
      <c r="G25" s="36"/>
      <c r="H25" s="32"/>
      <c r="I25" s="32" t="s">
        <v>113</v>
      </c>
      <c r="J25" s="32"/>
      <c r="K25" s="32"/>
      <c r="L25" s="36" t="s">
        <v>59</v>
      </c>
      <c r="M25" s="36"/>
      <c r="N25" s="297"/>
      <c r="O25" s="297">
        <v>10</v>
      </c>
      <c r="P25" s="297"/>
      <c r="Q25" s="297"/>
      <c r="R25" s="297">
        <v>4</v>
      </c>
      <c r="S25" s="207">
        <v>8</v>
      </c>
      <c r="T25" s="207">
        <v>10</v>
      </c>
      <c r="U25" s="337"/>
      <c r="V25" s="337"/>
      <c r="W25" s="337"/>
      <c r="X25" s="337" t="s">
        <v>59</v>
      </c>
      <c r="Y25" s="337"/>
      <c r="Z25" s="207"/>
      <c r="AA25" s="207"/>
      <c r="AB25" s="337"/>
      <c r="AC25" s="337"/>
      <c r="AD25" s="337" t="s">
        <v>59</v>
      </c>
      <c r="AE25" s="337"/>
      <c r="AF25" s="337" t="s">
        <v>308</v>
      </c>
      <c r="AG25" s="207" t="s">
        <v>308</v>
      </c>
      <c r="AH25" s="207"/>
      <c r="AI25" s="395" t="s">
        <v>66</v>
      </c>
      <c r="AJ25" s="26" t="e">
        <f>_xlfn.CONCAT(#REF!,Tabela13[[#This Row],[FUNKCJONARIUSZ]])</f>
        <v>#REF!</v>
      </c>
      <c r="AK25" s="27" t="e">
        <f t="shared" si="0"/>
        <v>#REF!</v>
      </c>
      <c r="AL25" s="28">
        <f t="shared" si="1"/>
        <v>96</v>
      </c>
      <c r="AM25">
        <f t="shared" si="2"/>
        <v>0</v>
      </c>
      <c r="AN25" s="29">
        <f t="shared" si="3"/>
        <v>32</v>
      </c>
      <c r="AO25" s="1">
        <f t="shared" si="4"/>
        <v>0</v>
      </c>
      <c r="AP25" s="1">
        <v>0</v>
      </c>
    </row>
    <row r="26" spans="1:42" ht="15.9">
      <c r="A26" s="1" t="s">
        <v>67</v>
      </c>
      <c r="B26" s="1" t="s">
        <v>93</v>
      </c>
      <c r="C26" s="203" t="s">
        <v>114</v>
      </c>
      <c r="D26" s="266" t="e">
        <f>#REF!</f>
        <v>#REF!</v>
      </c>
      <c r="E26" s="386" t="s">
        <v>62</v>
      </c>
      <c r="F26" s="36" t="s">
        <v>62</v>
      </c>
      <c r="G26" s="36" t="s">
        <v>62</v>
      </c>
      <c r="H26" s="32" t="s">
        <v>61</v>
      </c>
      <c r="I26" s="32"/>
      <c r="J26" s="32"/>
      <c r="K26" s="32"/>
      <c r="L26" s="36"/>
      <c r="M26" s="36"/>
      <c r="N26" s="297" t="s">
        <v>113</v>
      </c>
      <c r="O26" s="297"/>
      <c r="P26" s="297"/>
      <c r="Q26" s="297"/>
      <c r="R26" s="338"/>
      <c r="S26" s="707"/>
      <c r="T26" s="707"/>
      <c r="U26" s="707"/>
      <c r="V26" s="707"/>
      <c r="W26" s="707"/>
      <c r="X26" s="707"/>
      <c r="Y26" s="707"/>
      <c r="Z26" s="707"/>
      <c r="AA26" s="707"/>
      <c r="AB26" s="707"/>
      <c r="AC26" s="707"/>
      <c r="AD26" s="707"/>
      <c r="AE26" s="707"/>
      <c r="AF26" s="707"/>
      <c r="AG26" s="707"/>
      <c r="AH26" s="707"/>
      <c r="AI26" s="707"/>
      <c r="AJ26" s="26" t="e">
        <f>_xlfn.CONCAT(#REF!,Tabela13[[#This Row],[FUNKCJONARIUSZ]])</f>
        <v>#REF!</v>
      </c>
      <c r="AK26" s="391" t="e">
        <f t="shared" si="0"/>
        <v>#REF!</v>
      </c>
      <c r="AL26" s="28">
        <f t="shared" si="1"/>
        <v>24</v>
      </c>
      <c r="AM26">
        <f t="shared" si="2"/>
        <v>84</v>
      </c>
      <c r="AN26" s="29">
        <f t="shared" si="3"/>
        <v>0</v>
      </c>
      <c r="AO26" s="1">
        <f t="shared" si="4"/>
        <v>0</v>
      </c>
      <c r="AP26" s="392">
        <v>88</v>
      </c>
    </row>
    <row r="27" spans="1:42" ht="15.9">
      <c r="A27" s="1" t="s">
        <v>63</v>
      </c>
      <c r="B27" s="1" t="s">
        <v>59</v>
      </c>
      <c r="C27" s="203" t="s">
        <v>115</v>
      </c>
      <c r="D27" s="266" t="e">
        <f>#REF!</f>
        <v>#REF!</v>
      </c>
      <c r="E27" s="386" t="s">
        <v>66</v>
      </c>
      <c r="F27" s="36" t="s">
        <v>66</v>
      </c>
      <c r="G27" s="36" t="s">
        <v>66</v>
      </c>
      <c r="H27" s="32" t="s">
        <v>83</v>
      </c>
      <c r="I27" s="32" t="s">
        <v>83</v>
      </c>
      <c r="J27" s="32" t="s">
        <v>83</v>
      </c>
      <c r="K27" s="32" t="s">
        <v>75</v>
      </c>
      <c r="L27" s="36"/>
      <c r="M27" s="36" t="s">
        <v>113</v>
      </c>
      <c r="N27" s="297"/>
      <c r="O27" s="297"/>
      <c r="P27" s="297"/>
      <c r="Q27" s="297" t="s">
        <v>113</v>
      </c>
      <c r="R27" s="297"/>
      <c r="S27" s="208"/>
      <c r="T27" s="208">
        <v>10</v>
      </c>
      <c r="U27" s="339" t="s">
        <v>113</v>
      </c>
      <c r="V27" s="339"/>
      <c r="W27" s="339"/>
      <c r="X27" s="339"/>
      <c r="Y27" s="339">
        <v>8</v>
      </c>
      <c r="Z27" s="208"/>
      <c r="AA27" s="208"/>
      <c r="AB27" s="339" t="s">
        <v>59</v>
      </c>
      <c r="AC27" s="339"/>
      <c r="AD27" s="339"/>
      <c r="AE27" s="339"/>
      <c r="AF27" s="339" t="s">
        <v>113</v>
      </c>
      <c r="AG27" s="208"/>
      <c r="AH27" s="208"/>
      <c r="AI27" s="405" t="s">
        <v>75</v>
      </c>
      <c r="AJ27" s="26" t="e">
        <f>_xlfn.CONCAT(#REF!,Tabela13[[#This Row],[FUNKCJONARIUSZ]])</f>
        <v>#REF!</v>
      </c>
      <c r="AK27" s="27" t="e">
        <f t="shared" si="0"/>
        <v>#REF!</v>
      </c>
      <c r="AL27" s="28">
        <f t="shared" si="1"/>
        <v>120</v>
      </c>
      <c r="AM27">
        <f t="shared" si="2"/>
        <v>0</v>
      </c>
      <c r="AN27" s="29">
        <f t="shared" si="3"/>
        <v>58</v>
      </c>
      <c r="AO27" s="1">
        <f t="shared" si="4"/>
        <v>0</v>
      </c>
      <c r="AP27" s="1">
        <v>0</v>
      </c>
    </row>
    <row r="28" spans="1:42" s="1" customFormat="1" ht="15.9" hidden="1">
      <c r="A28" s="1" t="s">
        <v>58</v>
      </c>
      <c r="B28" s="1" t="s">
        <v>59</v>
      </c>
      <c r="C28" s="203" t="s">
        <v>170</v>
      </c>
      <c r="D28" s="266" t="e">
        <f>#REF!</f>
        <v>#REF!</v>
      </c>
      <c r="E28" s="204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4"/>
      <c r="AJ28" s="26" t="e">
        <f>_xlfn.CONCAT(#REF!,Tabela13[[#This Row],[FUNKCJONARIUSZ]])</f>
        <v>#REF!</v>
      </c>
      <c r="AK28" s="27" t="e">
        <f t="shared" si="0"/>
        <v>#REF!</v>
      </c>
      <c r="AL28" s="28">
        <f t="shared" si="1"/>
        <v>0</v>
      </c>
      <c r="AM28">
        <f t="shared" si="2"/>
        <v>0</v>
      </c>
      <c r="AN28" s="29">
        <f t="shared" si="3"/>
        <v>0</v>
      </c>
      <c r="AO28" s="1">
        <f t="shared" si="4"/>
        <v>0</v>
      </c>
      <c r="AP28" s="1">
        <v>0</v>
      </c>
    </row>
    <row r="29" spans="1:42" ht="15.9">
      <c r="A29" s="1" t="s">
        <v>63</v>
      </c>
      <c r="B29" s="1" t="s">
        <v>73</v>
      </c>
      <c r="C29" s="203" t="s">
        <v>116</v>
      </c>
      <c r="D29" s="266" t="e">
        <f>#REF!</f>
        <v>#REF!</v>
      </c>
      <c r="E29" s="386" t="s">
        <v>66</v>
      </c>
      <c r="F29" s="36" t="s">
        <v>66</v>
      </c>
      <c r="G29" s="36" t="s">
        <v>66</v>
      </c>
      <c r="H29" s="37" t="s">
        <v>75</v>
      </c>
      <c r="I29" s="37" t="s">
        <v>75</v>
      </c>
      <c r="J29" s="37" t="s">
        <v>75</v>
      </c>
      <c r="K29" s="37" t="s">
        <v>75</v>
      </c>
      <c r="L29" s="207"/>
      <c r="M29" s="207"/>
      <c r="N29" s="337"/>
      <c r="O29" s="337"/>
      <c r="P29" s="337" t="s">
        <v>113</v>
      </c>
      <c r="Q29" s="337"/>
      <c r="R29" s="337" t="s">
        <v>66</v>
      </c>
      <c r="S29" s="207" t="s">
        <v>66</v>
      </c>
      <c r="T29" s="36" t="s">
        <v>66</v>
      </c>
      <c r="U29" s="297"/>
      <c r="V29" s="297"/>
      <c r="W29" s="297" t="s">
        <v>113</v>
      </c>
      <c r="X29" s="297"/>
      <c r="Y29" s="297"/>
      <c r="Z29" s="36"/>
      <c r="AA29" s="36"/>
      <c r="AB29" s="337" t="s">
        <v>61</v>
      </c>
      <c r="AC29" s="337" t="s">
        <v>62</v>
      </c>
      <c r="AD29" s="337" t="s">
        <v>62</v>
      </c>
      <c r="AE29" s="337" t="s">
        <v>62</v>
      </c>
      <c r="AF29" s="337" t="s">
        <v>70</v>
      </c>
      <c r="AG29" s="207" t="s">
        <v>70</v>
      </c>
      <c r="AH29" s="207" t="s">
        <v>70</v>
      </c>
      <c r="AI29" s="395" t="s">
        <v>69</v>
      </c>
      <c r="AJ29" s="26" t="e">
        <f>_xlfn.CONCAT(#REF!,Tabela13[[#This Row],[FUNKCJONARIUSZ]])</f>
        <v>#REF!</v>
      </c>
      <c r="AK29" s="27" t="e">
        <f t="shared" si="0"/>
        <v>#REF!</v>
      </c>
      <c r="AL29" s="28">
        <f t="shared" si="1"/>
        <v>48</v>
      </c>
      <c r="AM29">
        <f t="shared" si="2"/>
        <v>168</v>
      </c>
      <c r="AN29" s="29">
        <f t="shared" si="3"/>
        <v>32</v>
      </c>
      <c r="AO29" s="1">
        <f t="shared" si="4"/>
        <v>0</v>
      </c>
      <c r="AP29" s="1">
        <v>0</v>
      </c>
    </row>
    <row r="30" spans="1:42" ht="15.9">
      <c r="A30" s="1" t="s">
        <v>58</v>
      </c>
      <c r="B30" s="1" t="s">
        <v>93</v>
      </c>
      <c r="C30" s="203" t="s">
        <v>117</v>
      </c>
      <c r="D30" s="266" t="e">
        <f>#REF!</f>
        <v>#REF!</v>
      </c>
      <c r="E30" s="386"/>
      <c r="F30" s="36"/>
      <c r="G30" s="145"/>
      <c r="H30" s="707"/>
      <c r="I30" s="707"/>
      <c r="J30" s="707"/>
      <c r="K30" s="707"/>
      <c r="L30" s="707"/>
      <c r="M30" s="707"/>
      <c r="N30" s="707"/>
      <c r="O30" s="707"/>
      <c r="P30" s="707"/>
      <c r="Q30" s="707"/>
      <c r="R30" s="707"/>
      <c r="S30" s="707"/>
      <c r="T30" s="168"/>
      <c r="U30" s="297"/>
      <c r="V30" s="297"/>
      <c r="W30" s="297"/>
      <c r="X30" s="297"/>
      <c r="Y30" s="297"/>
      <c r="Z30" s="36"/>
      <c r="AA30" s="145"/>
      <c r="AB30" s="411" t="s">
        <v>69</v>
      </c>
      <c r="AC30" s="412" t="s">
        <v>70</v>
      </c>
      <c r="AD30" s="412" t="s">
        <v>70</v>
      </c>
      <c r="AE30" s="412" t="s">
        <v>70</v>
      </c>
      <c r="AF30" s="412" t="s">
        <v>70</v>
      </c>
      <c r="AG30" s="413" t="s">
        <v>70</v>
      </c>
      <c r="AH30" s="413" t="s">
        <v>70</v>
      </c>
      <c r="AI30" s="414" t="s">
        <v>69</v>
      </c>
      <c r="AJ30" s="26" t="e">
        <f>_xlfn.CONCAT(#REF!,Tabela13[[#This Row],[FUNKCJONARIUSZ]])</f>
        <v>#REF!</v>
      </c>
      <c r="AK30" s="391" t="e">
        <f t="shared" si="0"/>
        <v>#REF!</v>
      </c>
      <c r="AL30" s="28">
        <f t="shared" si="1"/>
        <v>0</v>
      </c>
      <c r="AM30">
        <f t="shared" si="2"/>
        <v>168</v>
      </c>
      <c r="AN30" s="29">
        <f t="shared" si="3"/>
        <v>0</v>
      </c>
      <c r="AO30" s="1">
        <f t="shared" si="4"/>
        <v>0</v>
      </c>
      <c r="AP30" s="392">
        <v>80</v>
      </c>
    </row>
    <row r="31" spans="1:42" ht="15.9">
      <c r="A31" s="1" t="s">
        <v>105</v>
      </c>
      <c r="B31" s="1" t="s">
        <v>59</v>
      </c>
      <c r="C31" s="203" t="s">
        <v>118</v>
      </c>
      <c r="D31" s="266" t="e">
        <f>#REF!</f>
        <v>#REF!</v>
      </c>
      <c r="E31" s="386" t="s">
        <v>70</v>
      </c>
      <c r="F31" s="36" t="s">
        <v>70</v>
      </c>
      <c r="G31" s="36" t="s">
        <v>70</v>
      </c>
      <c r="H31" s="41">
        <v>14</v>
      </c>
      <c r="I31" s="41" t="s">
        <v>66</v>
      </c>
      <c r="J31" s="41" t="s">
        <v>66</v>
      </c>
      <c r="K31" s="41" t="s">
        <v>66</v>
      </c>
      <c r="L31" s="208" t="s">
        <v>66</v>
      </c>
      <c r="M31" s="208" t="s">
        <v>66</v>
      </c>
      <c r="N31" s="339" t="s">
        <v>66</v>
      </c>
      <c r="O31" s="339"/>
      <c r="P31" s="339"/>
      <c r="Q31" s="339"/>
      <c r="R31" s="339"/>
      <c r="S31" s="208"/>
      <c r="T31" s="36"/>
      <c r="U31" s="297">
        <v>17</v>
      </c>
      <c r="V31" s="297" t="s">
        <v>62</v>
      </c>
      <c r="W31" s="297" t="s">
        <v>62</v>
      </c>
      <c r="X31" s="297" t="s">
        <v>62</v>
      </c>
      <c r="Y31" s="297">
        <v>22</v>
      </c>
      <c r="Z31" s="36">
        <v>17</v>
      </c>
      <c r="AA31" s="36" t="s">
        <v>62</v>
      </c>
      <c r="AB31" s="339" t="s">
        <v>61</v>
      </c>
      <c r="AC31" s="339"/>
      <c r="AD31" s="339"/>
      <c r="AE31" s="339"/>
      <c r="AF31" s="339" t="s">
        <v>308</v>
      </c>
      <c r="AG31" s="208" t="s">
        <v>308</v>
      </c>
      <c r="AH31" s="208"/>
      <c r="AI31" s="405"/>
      <c r="AJ31" s="26" t="e">
        <f>_xlfn.CONCAT(#REF!,Tabela13[[#This Row],[FUNKCJONARIUSZ]])</f>
        <v>#REF!</v>
      </c>
      <c r="AK31" s="27" t="e">
        <f t="shared" si="0"/>
        <v>#REF!</v>
      </c>
      <c r="AL31" s="28">
        <f t="shared" si="1"/>
        <v>0</v>
      </c>
      <c r="AM31">
        <f t="shared" si="2"/>
        <v>180</v>
      </c>
      <c r="AN31" s="29">
        <f t="shared" si="3"/>
        <v>70</v>
      </c>
      <c r="AO31" s="1">
        <f t="shared" si="4"/>
        <v>0</v>
      </c>
      <c r="AP31" s="1">
        <v>0</v>
      </c>
    </row>
    <row r="32" spans="1:42" ht="15.9">
      <c r="A32" s="1" t="s">
        <v>58</v>
      </c>
      <c r="B32" s="1" t="s">
        <v>73</v>
      </c>
      <c r="C32" s="212" t="s">
        <v>119</v>
      </c>
      <c r="D32" s="266" t="e">
        <f>#REF!</f>
        <v>#REF!</v>
      </c>
      <c r="E32" s="415"/>
      <c r="F32" s="213"/>
      <c r="G32" s="213"/>
      <c r="H32" s="51">
        <v>4</v>
      </c>
      <c r="I32" s="51">
        <v>8</v>
      </c>
      <c r="J32" s="51" t="s">
        <v>59</v>
      </c>
      <c r="K32" s="51"/>
      <c r="L32" s="213"/>
      <c r="M32" s="213"/>
      <c r="N32" s="350"/>
      <c r="O32" s="350">
        <v>10</v>
      </c>
      <c r="P32" s="350"/>
      <c r="Q32" s="350"/>
      <c r="R32" s="350" t="s">
        <v>69</v>
      </c>
      <c r="S32" s="213" t="s">
        <v>70</v>
      </c>
      <c r="T32" s="213" t="s">
        <v>70</v>
      </c>
      <c r="U32" s="350" t="s">
        <v>69</v>
      </c>
      <c r="V32" s="350"/>
      <c r="W32" s="350"/>
      <c r="X32" s="350" t="s">
        <v>66</v>
      </c>
      <c r="Y32" s="350" t="s">
        <v>66</v>
      </c>
      <c r="Z32" s="213" t="s">
        <v>66</v>
      </c>
      <c r="AA32" s="213" t="s">
        <v>66</v>
      </c>
      <c r="AB32" s="350" t="s">
        <v>66</v>
      </c>
      <c r="AC32" s="350" t="s">
        <v>66</v>
      </c>
      <c r="AD32" s="350" t="s">
        <v>66</v>
      </c>
      <c r="AE32" s="350" t="s">
        <v>66</v>
      </c>
      <c r="AF32" s="350" t="s">
        <v>66</v>
      </c>
      <c r="AG32" s="213" t="s">
        <v>66</v>
      </c>
      <c r="AH32" s="213" t="s">
        <v>66</v>
      </c>
      <c r="AI32" s="416" t="s">
        <v>66</v>
      </c>
      <c r="AJ32" s="26" t="e">
        <f>_xlfn.CONCAT(#REF!,Tabela13[[#This Row],[FUNKCJONARIUSZ]])</f>
        <v>#REF!</v>
      </c>
      <c r="AK32" s="27" t="e">
        <f t="shared" si="0"/>
        <v>#REF!</v>
      </c>
      <c r="AL32" s="28">
        <f t="shared" si="1"/>
        <v>24</v>
      </c>
      <c r="AM32">
        <f t="shared" si="2"/>
        <v>72</v>
      </c>
      <c r="AN32" s="29">
        <f t="shared" si="3"/>
        <v>22</v>
      </c>
      <c r="AO32" s="1">
        <f t="shared" si="4"/>
        <v>0</v>
      </c>
      <c r="AP32" s="1">
        <v>0</v>
      </c>
    </row>
    <row r="33" spans="1:42" ht="15.9">
      <c r="A33" s="55"/>
      <c r="B33" s="55"/>
      <c r="C33" s="56"/>
      <c r="D33" s="57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9"/>
      <c r="AH33" s="27"/>
      <c r="AI33" s="27"/>
      <c r="AJ33" s="60"/>
      <c r="AK33" s="27" t="e">
        <f>SUM(AK2:AK32)</f>
        <v>#REF!</v>
      </c>
      <c r="AL33" s="28"/>
      <c r="AM33"/>
      <c r="AN33" s="29"/>
    </row>
    <row r="34" spans="1:42" ht="15.9">
      <c r="B34" s="61"/>
      <c r="C34" s="62" t="s">
        <v>120</v>
      </c>
      <c r="D34" s="63"/>
      <c r="E34" s="64">
        <f t="shared" ref="E34:AI34" si="5">COUNTIF(E2:E32,"D")</f>
        <v>1</v>
      </c>
      <c r="F34" s="64">
        <f t="shared" si="5"/>
        <v>1</v>
      </c>
      <c r="G34" s="64">
        <f t="shared" si="5"/>
        <v>1</v>
      </c>
      <c r="H34" s="64">
        <f t="shared" si="5"/>
        <v>1</v>
      </c>
      <c r="I34" s="64">
        <f t="shared" si="5"/>
        <v>1</v>
      </c>
      <c r="J34" s="64">
        <f t="shared" si="5"/>
        <v>1</v>
      </c>
      <c r="K34" s="64">
        <f t="shared" si="5"/>
        <v>1</v>
      </c>
      <c r="L34" s="64">
        <f t="shared" si="5"/>
        <v>1</v>
      </c>
      <c r="M34" s="64">
        <f t="shared" si="5"/>
        <v>1</v>
      </c>
      <c r="N34" s="64">
        <f t="shared" si="5"/>
        <v>1</v>
      </c>
      <c r="O34" s="64">
        <f t="shared" si="5"/>
        <v>1</v>
      </c>
      <c r="P34" s="64">
        <f t="shared" si="5"/>
        <v>1</v>
      </c>
      <c r="Q34" s="64">
        <f t="shared" si="5"/>
        <v>1</v>
      </c>
      <c r="R34" s="64">
        <f t="shared" si="5"/>
        <v>1</v>
      </c>
      <c r="S34" s="64">
        <f t="shared" si="5"/>
        <v>1</v>
      </c>
      <c r="T34" s="64">
        <f t="shared" si="5"/>
        <v>1</v>
      </c>
      <c r="U34" s="64">
        <f t="shared" si="5"/>
        <v>1</v>
      </c>
      <c r="V34" s="64">
        <f t="shared" si="5"/>
        <v>1</v>
      </c>
      <c r="W34" s="64">
        <f t="shared" si="5"/>
        <v>1</v>
      </c>
      <c r="X34" s="64">
        <f t="shared" si="5"/>
        <v>1</v>
      </c>
      <c r="Y34" s="64">
        <f t="shared" si="5"/>
        <v>1</v>
      </c>
      <c r="Z34" s="64">
        <f t="shared" si="5"/>
        <v>1</v>
      </c>
      <c r="AA34" s="64">
        <f t="shared" si="5"/>
        <v>1</v>
      </c>
      <c r="AB34" s="64">
        <f t="shared" si="5"/>
        <v>2</v>
      </c>
      <c r="AC34" s="64">
        <f t="shared" si="5"/>
        <v>1</v>
      </c>
      <c r="AD34" s="64">
        <f t="shared" si="5"/>
        <v>1</v>
      </c>
      <c r="AE34" s="64">
        <f t="shared" si="5"/>
        <v>1</v>
      </c>
      <c r="AF34" s="64">
        <f t="shared" si="5"/>
        <v>2</v>
      </c>
      <c r="AG34" s="64">
        <f t="shared" si="5"/>
        <v>1</v>
      </c>
      <c r="AH34" s="64">
        <f t="shared" si="5"/>
        <v>1</v>
      </c>
      <c r="AI34" s="64">
        <f t="shared" si="5"/>
        <v>0</v>
      </c>
      <c r="AJ34"/>
      <c r="AK34" s="27"/>
      <c r="AL34" s="28"/>
      <c r="AM34"/>
      <c r="AN34" s="29"/>
    </row>
    <row r="35" spans="1:42" ht="15.9">
      <c r="B35" s="61"/>
      <c r="C35" s="65" t="s">
        <v>121</v>
      </c>
      <c r="D35" s="66"/>
      <c r="E35" s="64">
        <f t="shared" ref="E35:AB35" si="6">COUNTIF(E52:E102,"D")</f>
        <v>2</v>
      </c>
      <c r="F35" s="64">
        <f t="shared" si="6"/>
        <v>2</v>
      </c>
      <c r="G35" s="64">
        <f t="shared" si="6"/>
        <v>2</v>
      </c>
      <c r="H35" s="64">
        <f t="shared" si="6"/>
        <v>2</v>
      </c>
      <c r="I35" s="64">
        <f t="shared" si="6"/>
        <v>2</v>
      </c>
      <c r="J35" s="64">
        <f t="shared" si="6"/>
        <v>1</v>
      </c>
      <c r="K35" s="64">
        <f t="shared" si="6"/>
        <v>3</v>
      </c>
      <c r="L35" s="64">
        <f t="shared" si="6"/>
        <v>2</v>
      </c>
      <c r="M35" s="64">
        <f t="shared" si="6"/>
        <v>2</v>
      </c>
      <c r="N35" s="64">
        <f t="shared" si="6"/>
        <v>2</v>
      </c>
      <c r="O35" s="64">
        <f t="shared" si="6"/>
        <v>2</v>
      </c>
      <c r="P35" s="64">
        <f t="shared" si="6"/>
        <v>2</v>
      </c>
      <c r="Q35" s="64">
        <f t="shared" si="6"/>
        <v>2</v>
      </c>
      <c r="R35" s="64">
        <f t="shared" si="6"/>
        <v>2</v>
      </c>
      <c r="S35" s="64">
        <f t="shared" si="6"/>
        <v>2</v>
      </c>
      <c r="T35" s="64">
        <f t="shared" si="6"/>
        <v>2</v>
      </c>
      <c r="U35" s="64">
        <f t="shared" si="6"/>
        <v>1</v>
      </c>
      <c r="V35" s="64">
        <f t="shared" si="6"/>
        <v>2</v>
      </c>
      <c r="W35" s="64">
        <f t="shared" si="6"/>
        <v>2</v>
      </c>
      <c r="X35" s="64">
        <f t="shared" si="6"/>
        <v>2</v>
      </c>
      <c r="Y35" s="64">
        <f t="shared" si="6"/>
        <v>2</v>
      </c>
      <c r="Z35" s="64">
        <f t="shared" si="6"/>
        <v>2</v>
      </c>
      <c r="AA35" s="64">
        <f t="shared" si="6"/>
        <v>2</v>
      </c>
      <c r="AB35" s="64">
        <f t="shared" si="6"/>
        <v>2</v>
      </c>
      <c r="AC35" s="64">
        <f>COUNTIF(AC51:AC102,"D")</f>
        <v>2</v>
      </c>
      <c r="AD35" s="64">
        <f t="shared" ref="AD35:AI35" si="7">COUNTIF(AD52:AD102,"D")</f>
        <v>2</v>
      </c>
      <c r="AE35" s="64">
        <f t="shared" si="7"/>
        <v>2</v>
      </c>
      <c r="AF35" s="287">
        <f t="shared" si="7"/>
        <v>2</v>
      </c>
      <c r="AG35" s="287">
        <f t="shared" si="7"/>
        <v>2</v>
      </c>
      <c r="AH35" s="287">
        <f t="shared" si="7"/>
        <v>2</v>
      </c>
      <c r="AI35" s="287">
        <f t="shared" si="7"/>
        <v>1</v>
      </c>
      <c r="AJ35"/>
      <c r="AK35" s="27"/>
      <c r="AL35" s="28"/>
      <c r="AM35"/>
      <c r="AN35" s="29"/>
    </row>
    <row r="36" spans="1:42">
      <c r="C36" s="67" t="s">
        <v>122</v>
      </c>
      <c r="D36" s="68"/>
      <c r="E36" s="64">
        <f t="shared" ref="E36:AI36" si="8">COUNTIF(E2:E32,"S")+COUNTIF(E52:E102,"S")</f>
        <v>4</v>
      </c>
      <c r="F36" s="64">
        <f t="shared" si="8"/>
        <v>4</v>
      </c>
      <c r="G36" s="64">
        <f t="shared" si="8"/>
        <v>4</v>
      </c>
      <c r="H36" s="64">
        <f t="shared" si="8"/>
        <v>0</v>
      </c>
      <c r="I36" s="64">
        <f t="shared" si="8"/>
        <v>4</v>
      </c>
      <c r="J36" s="64">
        <f t="shared" si="8"/>
        <v>4</v>
      </c>
      <c r="K36" s="64">
        <f t="shared" si="8"/>
        <v>2</v>
      </c>
      <c r="L36" s="64">
        <f t="shared" si="8"/>
        <v>4</v>
      </c>
      <c r="M36" s="64">
        <f t="shared" si="8"/>
        <v>4</v>
      </c>
      <c r="N36" s="64">
        <f t="shared" si="8"/>
        <v>0</v>
      </c>
      <c r="O36" s="64">
        <f t="shared" si="8"/>
        <v>6</v>
      </c>
      <c r="P36" s="64">
        <f t="shared" si="8"/>
        <v>5</v>
      </c>
      <c r="Q36" s="64">
        <f t="shared" si="8"/>
        <v>6</v>
      </c>
      <c r="R36" s="64">
        <f t="shared" si="8"/>
        <v>3</v>
      </c>
      <c r="S36" s="64">
        <f t="shared" si="8"/>
        <v>6</v>
      </c>
      <c r="T36" s="64">
        <f t="shared" si="8"/>
        <v>6</v>
      </c>
      <c r="U36" s="64">
        <f t="shared" si="8"/>
        <v>0</v>
      </c>
      <c r="V36" s="64">
        <f t="shared" si="8"/>
        <v>4</v>
      </c>
      <c r="W36" s="64">
        <f t="shared" si="8"/>
        <v>4</v>
      </c>
      <c r="X36" s="64">
        <f t="shared" si="8"/>
        <v>4</v>
      </c>
      <c r="Y36" s="64">
        <f t="shared" si="8"/>
        <v>0</v>
      </c>
      <c r="Z36" s="64">
        <f t="shared" si="8"/>
        <v>3</v>
      </c>
      <c r="AA36" s="64">
        <f t="shared" si="8"/>
        <v>4</v>
      </c>
      <c r="AB36" s="64">
        <f t="shared" si="8"/>
        <v>0</v>
      </c>
      <c r="AC36" s="64">
        <f t="shared" si="8"/>
        <v>4</v>
      </c>
      <c r="AD36" s="64">
        <f t="shared" si="8"/>
        <v>4</v>
      </c>
      <c r="AE36" s="64">
        <f t="shared" si="8"/>
        <v>4</v>
      </c>
      <c r="AF36" s="64">
        <f t="shared" si="8"/>
        <v>2</v>
      </c>
      <c r="AG36" s="64">
        <f t="shared" si="8"/>
        <v>4</v>
      </c>
      <c r="AH36" s="64">
        <f t="shared" si="8"/>
        <v>4</v>
      </c>
      <c r="AI36" s="64">
        <f t="shared" si="8"/>
        <v>0</v>
      </c>
      <c r="AJ36"/>
      <c r="AK36" s="27"/>
      <c r="AL36" s="28"/>
      <c r="AM36"/>
      <c r="AN36" s="29"/>
    </row>
    <row r="37" spans="1:42">
      <c r="C37" s="69" t="s">
        <v>123</v>
      </c>
      <c r="D37" s="70"/>
      <c r="E37" s="64">
        <f t="shared" ref="E37:AI37" si="9">COUNTIF(E2:E34,"K")+COUNTIF(E53:E103,"K")</f>
        <v>4</v>
      </c>
      <c r="F37" s="64">
        <f t="shared" si="9"/>
        <v>4</v>
      </c>
      <c r="G37" s="64">
        <f t="shared" si="9"/>
        <v>4</v>
      </c>
      <c r="H37" s="64">
        <f t="shared" si="9"/>
        <v>0</v>
      </c>
      <c r="I37" s="64">
        <f t="shared" si="9"/>
        <v>4</v>
      </c>
      <c r="J37" s="64">
        <f t="shared" si="9"/>
        <v>4</v>
      </c>
      <c r="K37" s="64">
        <f t="shared" si="9"/>
        <v>3</v>
      </c>
      <c r="L37" s="64">
        <f t="shared" si="9"/>
        <v>4</v>
      </c>
      <c r="M37" s="64">
        <f t="shared" si="9"/>
        <v>4</v>
      </c>
      <c r="N37" s="64">
        <f t="shared" si="9"/>
        <v>4</v>
      </c>
      <c r="O37" s="64">
        <f t="shared" si="9"/>
        <v>0</v>
      </c>
      <c r="P37" s="64">
        <f t="shared" si="9"/>
        <v>4</v>
      </c>
      <c r="Q37" s="64">
        <f t="shared" si="9"/>
        <v>4</v>
      </c>
      <c r="R37" s="64">
        <f t="shared" si="9"/>
        <v>4</v>
      </c>
      <c r="S37" s="64">
        <f t="shared" si="9"/>
        <v>4</v>
      </c>
      <c r="T37" s="64">
        <f t="shared" si="9"/>
        <v>4</v>
      </c>
      <c r="U37" s="64">
        <f t="shared" si="9"/>
        <v>4</v>
      </c>
      <c r="V37" s="64">
        <f t="shared" si="9"/>
        <v>0</v>
      </c>
      <c r="W37" s="64">
        <f t="shared" si="9"/>
        <v>3</v>
      </c>
      <c r="X37" s="64">
        <f t="shared" si="9"/>
        <v>4</v>
      </c>
      <c r="Y37" s="64">
        <f t="shared" si="9"/>
        <v>0</v>
      </c>
      <c r="Z37" s="64">
        <f t="shared" si="9"/>
        <v>3</v>
      </c>
      <c r="AA37" s="64">
        <f t="shared" si="9"/>
        <v>3</v>
      </c>
      <c r="AB37" s="64">
        <f t="shared" si="9"/>
        <v>3</v>
      </c>
      <c r="AC37" s="64">
        <f t="shared" si="9"/>
        <v>0</v>
      </c>
      <c r="AD37" s="64">
        <f t="shared" si="9"/>
        <v>4</v>
      </c>
      <c r="AE37" s="64">
        <f t="shared" si="9"/>
        <v>4</v>
      </c>
      <c r="AF37" s="64">
        <f t="shared" si="9"/>
        <v>4</v>
      </c>
      <c r="AG37" s="64">
        <f t="shared" si="9"/>
        <v>4</v>
      </c>
      <c r="AH37" s="64">
        <f t="shared" si="9"/>
        <v>4</v>
      </c>
      <c r="AI37" s="64">
        <f t="shared" si="9"/>
        <v>4</v>
      </c>
      <c r="AJ37"/>
      <c r="AK37" s="27"/>
      <c r="AL37" s="28"/>
      <c r="AM37"/>
      <c r="AN37" s="29"/>
    </row>
    <row r="38" spans="1:42" ht="15.9">
      <c r="C38" s="56"/>
      <c r="D38" s="57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97"/>
      <c r="AH38" s="98"/>
      <c r="AI38" s="27"/>
      <c r="AJ38"/>
      <c r="AK38" s="27"/>
      <c r="AL38" s="28"/>
      <c r="AM38"/>
      <c r="AN38" s="29"/>
    </row>
    <row r="39" spans="1:42" s="73" customFormat="1">
      <c r="C39" s="680" t="s">
        <v>122</v>
      </c>
      <c r="D39" s="680"/>
      <c r="E39" s="733" t="s">
        <v>126</v>
      </c>
      <c r="F39" s="733"/>
      <c r="G39" s="733"/>
      <c r="H39" s="732" t="s">
        <v>130</v>
      </c>
      <c r="I39" s="732"/>
      <c r="J39" s="732"/>
      <c r="K39" s="732"/>
      <c r="L39" s="733" t="s">
        <v>130</v>
      </c>
      <c r="M39" s="733"/>
      <c r="N39" s="732" t="s">
        <v>126</v>
      </c>
      <c r="O39" s="732"/>
      <c r="P39" s="732"/>
      <c r="Q39" s="732"/>
      <c r="R39" s="732"/>
      <c r="S39" s="733" t="s">
        <v>125</v>
      </c>
      <c r="T39" s="733"/>
      <c r="U39" s="732" t="s">
        <v>124</v>
      </c>
      <c r="V39" s="732"/>
      <c r="W39" s="732"/>
      <c r="X39" s="732"/>
      <c r="Y39" s="732"/>
      <c r="Z39" s="744" t="s">
        <v>126</v>
      </c>
      <c r="AA39" s="744"/>
      <c r="AB39" s="732" t="s">
        <v>131</v>
      </c>
      <c r="AC39" s="732"/>
      <c r="AD39" s="732"/>
      <c r="AE39" s="732"/>
      <c r="AF39" s="732"/>
      <c r="AG39" s="733" t="s">
        <v>125</v>
      </c>
      <c r="AH39" s="733"/>
      <c r="AI39" s="732" t="s">
        <v>126</v>
      </c>
      <c r="AJ39" s="732"/>
      <c r="AK39" s="732"/>
      <c r="AL39"/>
      <c r="AM39"/>
      <c r="AN39" s="29"/>
      <c r="AO39" s="1"/>
      <c r="AP39" s="1"/>
    </row>
    <row r="40" spans="1:42" s="73" customFormat="1">
      <c r="C40" s="680"/>
      <c r="D40" s="680"/>
      <c r="E40" s="734" t="s">
        <v>174</v>
      </c>
      <c r="F40" s="734"/>
      <c r="G40" s="734"/>
      <c r="H40" s="735" t="s">
        <v>133</v>
      </c>
      <c r="I40" s="735"/>
      <c r="J40" s="735"/>
      <c r="K40" s="735"/>
      <c r="L40" s="734" t="s">
        <v>127</v>
      </c>
      <c r="M40" s="734"/>
      <c r="N40" s="735" t="s">
        <v>134</v>
      </c>
      <c r="O40" s="735"/>
      <c r="P40" s="735"/>
      <c r="Q40" s="735"/>
      <c r="R40" s="735"/>
      <c r="S40" s="742" t="s">
        <v>133</v>
      </c>
      <c r="T40" s="742"/>
      <c r="U40" s="735" t="s">
        <v>132</v>
      </c>
      <c r="V40" s="735"/>
      <c r="W40" s="735"/>
      <c r="X40" s="735"/>
      <c r="Y40" s="735"/>
      <c r="Z40" s="743" t="s">
        <v>132</v>
      </c>
      <c r="AA40" s="743"/>
      <c r="AB40" s="735" t="s">
        <v>194</v>
      </c>
      <c r="AC40" s="735"/>
      <c r="AD40" s="735"/>
      <c r="AE40" s="735"/>
      <c r="AF40" s="735"/>
      <c r="AG40" s="734" t="s">
        <v>194</v>
      </c>
      <c r="AH40" s="734"/>
      <c r="AI40" s="735" t="s">
        <v>132</v>
      </c>
      <c r="AJ40" s="735"/>
      <c r="AK40" s="735"/>
      <c r="AL40"/>
      <c r="AM40"/>
      <c r="AN40" s="29"/>
      <c r="AO40" s="1"/>
      <c r="AP40" s="1"/>
    </row>
    <row r="41" spans="1:42" s="73" customFormat="1">
      <c r="C41" s="680"/>
      <c r="D41" s="680"/>
      <c r="E41" s="745" t="s">
        <v>252</v>
      </c>
      <c r="F41" s="745"/>
      <c r="G41" s="745"/>
      <c r="H41" s="746" t="s">
        <v>246</v>
      </c>
      <c r="I41" s="746"/>
      <c r="J41" s="746"/>
      <c r="K41" s="746"/>
      <c r="L41" s="734" t="s">
        <v>309</v>
      </c>
      <c r="M41" s="734"/>
      <c r="N41" s="747" t="s">
        <v>137</v>
      </c>
      <c r="O41" s="747"/>
      <c r="P41" s="747"/>
      <c r="Q41" s="747"/>
      <c r="R41" s="747"/>
      <c r="S41" s="742" t="s">
        <v>197</v>
      </c>
      <c r="T41" s="742"/>
      <c r="U41" s="735" t="s">
        <v>140</v>
      </c>
      <c r="V41" s="735"/>
      <c r="W41" s="735"/>
      <c r="X41" s="735"/>
      <c r="Y41" s="735"/>
      <c r="Z41" s="748" t="s">
        <v>310</v>
      </c>
      <c r="AA41" s="748"/>
      <c r="AB41" s="735" t="s">
        <v>136</v>
      </c>
      <c r="AC41" s="735"/>
      <c r="AD41" s="735"/>
      <c r="AE41" s="735"/>
      <c r="AF41" s="735"/>
      <c r="AG41" s="734" t="s">
        <v>136</v>
      </c>
      <c r="AH41" s="734"/>
      <c r="AI41" s="735"/>
      <c r="AJ41" s="735"/>
      <c r="AK41" s="735"/>
      <c r="AL41"/>
      <c r="AM41"/>
      <c r="AN41" s="29"/>
      <c r="AO41" s="1"/>
      <c r="AP41" s="1"/>
    </row>
    <row r="42" spans="1:42" s="73" customFormat="1">
      <c r="C42" s="680"/>
      <c r="D42" s="680"/>
      <c r="E42" s="728" t="s">
        <v>132</v>
      </c>
      <c r="F42" s="728"/>
      <c r="G42" s="728"/>
      <c r="H42" s="738" t="s">
        <v>311</v>
      </c>
      <c r="I42" s="738"/>
      <c r="J42" s="738"/>
      <c r="K42" s="738"/>
      <c r="L42" s="739" t="s">
        <v>311</v>
      </c>
      <c r="M42" s="739"/>
      <c r="N42" s="729" t="s">
        <v>147</v>
      </c>
      <c r="O42" s="729"/>
      <c r="P42" s="729"/>
      <c r="Q42" s="729"/>
      <c r="R42" s="729"/>
      <c r="S42" s="740" t="s">
        <v>147</v>
      </c>
      <c r="T42" s="740"/>
      <c r="U42" s="738" t="s">
        <v>271</v>
      </c>
      <c r="V42" s="738"/>
      <c r="W42" s="738"/>
      <c r="X42" s="738"/>
      <c r="Y42" s="738"/>
      <c r="Z42" s="741" t="s">
        <v>312</v>
      </c>
      <c r="AA42" s="741"/>
      <c r="AB42" s="729" t="s">
        <v>149</v>
      </c>
      <c r="AC42" s="729"/>
      <c r="AD42" s="729"/>
      <c r="AE42" s="729"/>
      <c r="AF42" s="729"/>
      <c r="AG42" s="728" t="s">
        <v>218</v>
      </c>
      <c r="AH42" s="728"/>
      <c r="AI42" s="729" t="s">
        <v>151</v>
      </c>
      <c r="AJ42" s="729"/>
      <c r="AK42" s="729"/>
      <c r="AL42"/>
      <c r="AM42"/>
      <c r="AN42" s="29"/>
      <c r="AO42" s="1"/>
      <c r="AP42" s="1"/>
    </row>
    <row r="43" spans="1:42" s="73" customFormat="1">
      <c r="C43" s="77"/>
      <c r="D43" s="77"/>
      <c r="E43" s="417"/>
      <c r="F43" s="418"/>
      <c r="G43" s="418"/>
      <c r="H43" s="418"/>
      <c r="I43" s="418"/>
      <c r="J43" s="418"/>
      <c r="K43" s="418"/>
      <c r="L43" s="418"/>
      <c r="M43" s="418"/>
      <c r="N43" s="736" t="s">
        <v>313</v>
      </c>
      <c r="O43" s="736"/>
      <c r="P43" s="736"/>
      <c r="Q43" s="736"/>
      <c r="R43" s="736"/>
      <c r="S43" s="736"/>
      <c r="T43" s="736"/>
      <c r="U43" s="418"/>
      <c r="V43" s="418"/>
      <c r="W43" s="418"/>
      <c r="X43" s="418"/>
      <c r="Y43" s="418"/>
      <c r="Z43" s="418"/>
      <c r="AA43" s="418"/>
      <c r="AB43" s="418"/>
      <c r="AC43" s="418"/>
      <c r="AD43" s="418"/>
      <c r="AE43" s="418"/>
      <c r="AF43" s="418"/>
      <c r="AG43" s="417"/>
      <c r="AH43" s="419"/>
      <c r="AI43" s="419"/>
      <c r="AJ43" s="80"/>
      <c r="AK43" s="419"/>
      <c r="AL43"/>
      <c r="AM43"/>
      <c r="AN43" s="29"/>
      <c r="AO43" s="1"/>
      <c r="AP43" s="1"/>
    </row>
    <row r="44" spans="1:42" s="73" customFormat="1" ht="16.5" customHeight="1">
      <c r="C44" s="671" t="s">
        <v>123</v>
      </c>
      <c r="D44" s="671"/>
      <c r="E44" s="733" t="s">
        <v>203</v>
      </c>
      <c r="F44" s="733"/>
      <c r="G44" s="733"/>
      <c r="H44" s="733"/>
      <c r="I44" s="732" t="s">
        <v>202</v>
      </c>
      <c r="J44" s="732"/>
      <c r="K44" s="732"/>
      <c r="L44" s="733" t="s">
        <v>314</v>
      </c>
      <c r="M44" s="733"/>
      <c r="N44" s="733"/>
      <c r="O44" s="732" t="s">
        <v>205</v>
      </c>
      <c r="P44" s="732"/>
      <c r="Q44" s="732"/>
      <c r="R44" s="732"/>
      <c r="S44" s="733" t="s">
        <v>205</v>
      </c>
      <c r="T44" s="733"/>
      <c r="U44" s="733"/>
      <c r="V44" s="732" t="s">
        <v>249</v>
      </c>
      <c r="W44" s="732"/>
      <c r="X44" s="732"/>
      <c r="Y44" s="732"/>
      <c r="Z44" s="733" t="s">
        <v>247</v>
      </c>
      <c r="AA44" s="733"/>
      <c r="AB44" s="733"/>
      <c r="AC44" s="732" t="s">
        <v>248</v>
      </c>
      <c r="AD44" s="732"/>
      <c r="AE44" s="732"/>
      <c r="AF44" s="732"/>
      <c r="AG44" s="733" t="s">
        <v>248</v>
      </c>
      <c r="AH44" s="733"/>
      <c r="AI44" s="733"/>
      <c r="AJ44" s="420"/>
      <c r="AK44" s="421" t="s">
        <v>205</v>
      </c>
      <c r="AL44"/>
      <c r="AM44"/>
      <c r="AN44" s="29"/>
      <c r="AO44" s="1"/>
      <c r="AP44" s="1"/>
    </row>
    <row r="45" spans="1:42" s="73" customFormat="1" ht="16.5" customHeight="1">
      <c r="C45" s="671"/>
      <c r="D45" s="671"/>
      <c r="E45" s="734" t="s">
        <v>208</v>
      </c>
      <c r="F45" s="734"/>
      <c r="G45" s="734"/>
      <c r="H45" s="734"/>
      <c r="I45" s="735" t="s">
        <v>250</v>
      </c>
      <c r="J45" s="735"/>
      <c r="K45" s="735"/>
      <c r="L45" s="734" t="s">
        <v>315</v>
      </c>
      <c r="M45" s="734"/>
      <c r="N45" s="734"/>
      <c r="O45" s="726" t="s">
        <v>207</v>
      </c>
      <c r="P45" s="726"/>
      <c r="Q45" s="726"/>
      <c r="R45" s="726"/>
      <c r="S45" s="734" t="s">
        <v>207</v>
      </c>
      <c r="T45" s="734"/>
      <c r="U45" s="734"/>
      <c r="V45" s="726" t="s">
        <v>246</v>
      </c>
      <c r="W45" s="726"/>
      <c r="X45" s="726"/>
      <c r="Y45" s="726"/>
      <c r="Z45" s="727" t="s">
        <v>316</v>
      </c>
      <c r="AA45" s="727"/>
      <c r="AB45" s="727"/>
      <c r="AC45" s="726" t="s">
        <v>251</v>
      </c>
      <c r="AD45" s="726"/>
      <c r="AE45" s="726"/>
      <c r="AF45" s="726"/>
      <c r="AG45" s="727" t="s">
        <v>251</v>
      </c>
      <c r="AH45" s="727"/>
      <c r="AI45" s="727"/>
      <c r="AJ45" s="80"/>
      <c r="AK45" s="422" t="s">
        <v>207</v>
      </c>
      <c r="AL45"/>
      <c r="AM45"/>
      <c r="AN45" s="29"/>
      <c r="AO45" s="1"/>
      <c r="AP45" s="1"/>
    </row>
    <row r="46" spans="1:42" s="73" customFormat="1" ht="16.5" customHeight="1">
      <c r="C46" s="671"/>
      <c r="D46" s="671"/>
      <c r="E46" s="734" t="s">
        <v>210</v>
      </c>
      <c r="F46" s="734"/>
      <c r="G46" s="734"/>
      <c r="H46" s="734"/>
      <c r="I46" s="735" t="s">
        <v>211</v>
      </c>
      <c r="J46" s="735"/>
      <c r="K46" s="735"/>
      <c r="L46" s="734" t="s">
        <v>211</v>
      </c>
      <c r="M46" s="734"/>
      <c r="N46" s="734"/>
      <c r="O46" s="726" t="s">
        <v>212</v>
      </c>
      <c r="P46" s="726"/>
      <c r="Q46" s="726"/>
      <c r="R46" s="726"/>
      <c r="S46" s="734" t="s">
        <v>212</v>
      </c>
      <c r="T46" s="734"/>
      <c r="U46" s="734"/>
      <c r="V46" s="737" t="s">
        <v>175</v>
      </c>
      <c r="W46" s="737"/>
      <c r="X46" s="737"/>
      <c r="Y46" s="737"/>
      <c r="Z46" s="727" t="s">
        <v>196</v>
      </c>
      <c r="AA46" s="727"/>
      <c r="AB46" s="727"/>
      <c r="AC46" s="726" t="s">
        <v>210</v>
      </c>
      <c r="AD46" s="726"/>
      <c r="AE46" s="726"/>
      <c r="AF46" s="726"/>
      <c r="AG46" s="727" t="s">
        <v>210</v>
      </c>
      <c r="AH46" s="727"/>
      <c r="AI46" s="727"/>
      <c r="AJ46" s="80"/>
      <c r="AK46" s="422" t="s">
        <v>252</v>
      </c>
      <c r="AL46"/>
      <c r="AM46"/>
      <c r="AN46" s="29"/>
      <c r="AO46" s="1"/>
      <c r="AP46" s="1"/>
    </row>
    <row r="47" spans="1:42" s="73" customFormat="1" ht="16.5" customHeight="1">
      <c r="C47" s="671"/>
      <c r="D47" s="671"/>
      <c r="E47" s="728" t="s">
        <v>254</v>
      </c>
      <c r="F47" s="728"/>
      <c r="G47" s="728"/>
      <c r="H47" s="728"/>
      <c r="I47" s="729" t="s">
        <v>251</v>
      </c>
      <c r="J47" s="729"/>
      <c r="K47" s="729"/>
      <c r="L47" s="728" t="s">
        <v>251</v>
      </c>
      <c r="M47" s="728"/>
      <c r="N47" s="728"/>
      <c r="O47" s="730" t="s">
        <v>317</v>
      </c>
      <c r="P47" s="730"/>
      <c r="Q47" s="730"/>
      <c r="R47" s="730"/>
      <c r="S47" s="728" t="s">
        <v>317</v>
      </c>
      <c r="T47" s="728"/>
      <c r="U47" s="728"/>
      <c r="V47" s="730" t="s">
        <v>318</v>
      </c>
      <c r="W47" s="730"/>
      <c r="X47" s="730"/>
      <c r="Y47" s="730"/>
      <c r="Z47" s="731" t="s">
        <v>216</v>
      </c>
      <c r="AA47" s="731"/>
      <c r="AB47" s="731"/>
      <c r="AC47" s="730" t="s">
        <v>215</v>
      </c>
      <c r="AD47" s="730"/>
      <c r="AE47" s="730"/>
      <c r="AF47" s="730"/>
      <c r="AG47" s="731" t="s">
        <v>215</v>
      </c>
      <c r="AH47" s="731"/>
      <c r="AI47" s="731"/>
      <c r="AJ47" s="80"/>
      <c r="AK47" s="423" t="s">
        <v>317</v>
      </c>
      <c r="AL47"/>
      <c r="AM47"/>
      <c r="AN47" s="29"/>
      <c r="AO47" s="1"/>
      <c r="AP47" s="1"/>
    </row>
    <row r="48" spans="1:42" ht="15.9">
      <c r="C48" s="61"/>
      <c r="D48" s="8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K48" s="27"/>
      <c r="AL48" s="28"/>
      <c r="AM48"/>
      <c r="AN48" s="29"/>
    </row>
    <row r="49" spans="1:42" ht="15.9">
      <c r="C49" s="61"/>
      <c r="D49" s="81"/>
      <c r="AK49" s="27"/>
      <c r="AL49" s="28"/>
      <c r="AM49"/>
      <c r="AN49" s="29"/>
    </row>
    <row r="50" spans="1:42" ht="43.3">
      <c r="A50" s="1" t="s">
        <v>52</v>
      </c>
      <c r="C50" s="7" t="s">
        <v>319</v>
      </c>
      <c r="E50" s="377">
        <v>44317</v>
      </c>
      <c r="F50" s="377">
        <v>44318</v>
      </c>
      <c r="G50" s="377">
        <v>44319</v>
      </c>
      <c r="H50" s="84">
        <v>44320</v>
      </c>
      <c r="I50" s="84">
        <v>44321</v>
      </c>
      <c r="J50" s="84">
        <v>44322</v>
      </c>
      <c r="K50" s="84">
        <v>44323</v>
      </c>
      <c r="L50" s="377">
        <v>44324</v>
      </c>
      <c r="M50" s="377">
        <v>44325</v>
      </c>
      <c r="N50" s="84">
        <v>44326</v>
      </c>
      <c r="O50" s="84">
        <v>44327</v>
      </c>
      <c r="P50" s="84">
        <v>44328</v>
      </c>
      <c r="Q50" s="84">
        <v>44329</v>
      </c>
      <c r="R50" s="84">
        <v>44330</v>
      </c>
      <c r="S50" s="377">
        <v>44331</v>
      </c>
      <c r="T50" s="377">
        <v>44332</v>
      </c>
      <c r="U50" s="84">
        <v>44333</v>
      </c>
      <c r="V50" s="84">
        <v>44334</v>
      </c>
      <c r="W50" s="84">
        <v>44335</v>
      </c>
      <c r="X50" s="84">
        <v>44336</v>
      </c>
      <c r="Y50" s="84">
        <v>44337</v>
      </c>
      <c r="Z50" s="377">
        <v>44338</v>
      </c>
      <c r="AA50" s="377">
        <v>44339</v>
      </c>
      <c r="AB50" s="84">
        <v>44340</v>
      </c>
      <c r="AC50" s="84">
        <v>44341</v>
      </c>
      <c r="AD50" s="84">
        <v>44342</v>
      </c>
      <c r="AE50" s="84">
        <v>44343</v>
      </c>
      <c r="AF50" s="84">
        <v>44344</v>
      </c>
      <c r="AG50" s="377">
        <v>44345</v>
      </c>
      <c r="AH50" s="377">
        <v>44346</v>
      </c>
      <c r="AI50" s="84">
        <v>44347</v>
      </c>
      <c r="AJ50" s="288"/>
      <c r="AK50" s="15">
        <v>160</v>
      </c>
      <c r="AL50" s="16" t="s">
        <v>53</v>
      </c>
      <c r="AM50" s="17" t="s">
        <v>54</v>
      </c>
      <c r="AN50" s="18" t="s">
        <v>55</v>
      </c>
      <c r="AO50" s="1" t="s">
        <v>56</v>
      </c>
      <c r="AP50" s="1" t="s">
        <v>57</v>
      </c>
    </row>
    <row r="51" spans="1:42" ht="15.9">
      <c r="A51" s="1" t="s">
        <v>152</v>
      </c>
      <c r="B51" s="1" t="s">
        <v>93</v>
      </c>
      <c r="C51" s="289" t="s">
        <v>3</v>
      </c>
      <c r="D51" s="161" t="e">
        <f>#REF!</f>
        <v>#REF!</v>
      </c>
      <c r="E51" s="424"/>
      <c r="F51" s="201"/>
      <c r="G51" s="201"/>
      <c r="H51" s="22"/>
      <c r="I51" s="22">
        <v>7</v>
      </c>
      <c r="J51" s="382">
        <v>17</v>
      </c>
      <c r="K51" s="382" t="s">
        <v>98</v>
      </c>
      <c r="L51" s="201" t="s">
        <v>98</v>
      </c>
      <c r="M51" s="201">
        <v>20</v>
      </c>
      <c r="N51" s="335"/>
      <c r="O51" s="335"/>
      <c r="P51" s="335">
        <v>4</v>
      </c>
      <c r="Q51" s="335"/>
      <c r="R51" s="335"/>
      <c r="S51" s="201"/>
      <c r="T51" s="201"/>
      <c r="U51" s="335">
        <v>15</v>
      </c>
      <c r="V51" s="335" t="s">
        <v>98</v>
      </c>
      <c r="W51" s="335" t="s">
        <v>98</v>
      </c>
      <c r="X51" s="335">
        <v>20</v>
      </c>
      <c r="Y51" s="335"/>
      <c r="Z51" s="201"/>
      <c r="AA51" s="201"/>
      <c r="AB51" s="335">
        <v>8</v>
      </c>
      <c r="AC51" s="335" t="s">
        <v>113</v>
      </c>
      <c r="AD51" s="335" t="s">
        <v>66</v>
      </c>
      <c r="AE51" s="335">
        <v>8</v>
      </c>
      <c r="AF51" s="335">
        <v>8</v>
      </c>
      <c r="AG51" s="201"/>
      <c r="AH51" s="201"/>
      <c r="AI51" s="385" t="s">
        <v>69</v>
      </c>
      <c r="AJ51" s="26" t="e">
        <f>_xlfn.CONCAT(#REF!,#REF!)</f>
        <v>#REF!</v>
      </c>
      <c r="AK51" s="27" t="e">
        <f t="shared" ref="AK51:AK65" si="10">D51+AL51+AM51+AN51-$AK$50+AO51+AP51</f>
        <v>#REF!</v>
      </c>
      <c r="AL51" s="28">
        <f t="shared" ref="AL51:AL82" si="11">COUNTIF(E51:AI51,"D")*24+COUNTIF(E51:AI51,"12g")*12</f>
        <v>24</v>
      </c>
      <c r="AM51">
        <f t="shared" ref="AM51:AM82" si="12">SUM(COUNTIF(E51:AI51,"k")+COUNTIF(E51:AI51,"s")+COUNTIF(E51:AI51,"wse"))*24+SUM(COUNTIF(E51:AI51,"Pk")+COUNTIF(E51:AI51,"Ps"))*12</f>
        <v>108</v>
      </c>
      <c r="AN51" s="29">
        <f t="shared" ref="AN51:AN82" si="13">SUM(E51:AI51)+COUNTIF(E51:AI51,"uw")*8+COUNTIF(E51:AI51,"us")*8+COUNTIF(E51:AI51,"uz")*8</f>
        <v>107</v>
      </c>
      <c r="AO51" s="1">
        <f t="shared" ref="AO51:AO73" si="14">COUNTIF(E51:AI51,"DT")*8</f>
        <v>0</v>
      </c>
    </row>
    <row r="52" spans="1:42" ht="15.9">
      <c r="A52" s="1" t="s">
        <v>155</v>
      </c>
      <c r="B52" s="1" t="s">
        <v>73</v>
      </c>
      <c r="C52" s="290" t="s">
        <v>4</v>
      </c>
      <c r="D52" s="161" t="e">
        <f>#REF!</f>
        <v>#REF!</v>
      </c>
      <c r="E52" s="386"/>
      <c r="F52" s="36"/>
      <c r="G52" s="36"/>
      <c r="H52" s="32" t="s">
        <v>113</v>
      </c>
      <c r="I52" s="32"/>
      <c r="J52" s="231" t="s">
        <v>75</v>
      </c>
      <c r="K52" s="231" t="s">
        <v>75</v>
      </c>
      <c r="L52" s="36" t="s">
        <v>66</v>
      </c>
      <c r="M52" s="36" t="s">
        <v>66</v>
      </c>
      <c r="N52" s="297" t="s">
        <v>75</v>
      </c>
      <c r="O52" s="297" t="s">
        <v>75</v>
      </c>
      <c r="P52" s="297" t="s">
        <v>75</v>
      </c>
      <c r="Q52" s="297" t="s">
        <v>75</v>
      </c>
      <c r="R52" s="297" t="s">
        <v>101</v>
      </c>
      <c r="S52" s="36" t="s">
        <v>66</v>
      </c>
      <c r="T52" s="36" t="s">
        <v>66</v>
      </c>
      <c r="U52" s="297" t="s">
        <v>75</v>
      </c>
      <c r="V52" s="297" t="s">
        <v>75</v>
      </c>
      <c r="W52" s="297" t="s">
        <v>75</v>
      </c>
      <c r="X52" s="297"/>
      <c r="Y52" s="297">
        <v>17</v>
      </c>
      <c r="Z52" s="36" t="s">
        <v>154</v>
      </c>
      <c r="AA52" s="36" t="s">
        <v>154</v>
      </c>
      <c r="AB52" s="297" t="s">
        <v>95</v>
      </c>
      <c r="AC52" s="297">
        <v>15</v>
      </c>
      <c r="AD52" s="297" t="s">
        <v>75</v>
      </c>
      <c r="AE52" s="297" t="s">
        <v>66</v>
      </c>
      <c r="AF52" s="297"/>
      <c r="AG52" s="36"/>
      <c r="AH52" s="36"/>
      <c r="AI52" s="387"/>
      <c r="AJ52" s="26" t="e">
        <f>_xlfn.CONCAT(#REF!,#REF!)</f>
        <v>#REF!</v>
      </c>
      <c r="AK52" s="27" t="e">
        <f t="shared" si="10"/>
        <v>#REF!</v>
      </c>
      <c r="AL52" s="28">
        <f t="shared" si="11"/>
        <v>24</v>
      </c>
      <c r="AM52">
        <f t="shared" si="12"/>
        <v>72</v>
      </c>
      <c r="AN52" s="29">
        <f t="shared" si="13"/>
        <v>112</v>
      </c>
      <c r="AO52" s="1">
        <f t="shared" si="14"/>
        <v>0</v>
      </c>
      <c r="AP52" s="1">
        <f>0+8</f>
        <v>8</v>
      </c>
    </row>
    <row r="53" spans="1:42" ht="15.9">
      <c r="A53" s="1" t="s">
        <v>67</v>
      </c>
      <c r="B53" s="1" t="s">
        <v>73</v>
      </c>
      <c r="C53" s="290" t="s">
        <v>5</v>
      </c>
      <c r="D53" s="161" t="e">
        <f>#REF!</f>
        <v>#REF!</v>
      </c>
      <c r="E53" s="388"/>
      <c r="F53" s="207"/>
      <c r="G53" s="207"/>
      <c r="H53" s="37">
        <v>16</v>
      </c>
      <c r="I53" s="32" t="s">
        <v>95</v>
      </c>
      <c r="J53" s="231" t="s">
        <v>95</v>
      </c>
      <c r="K53" s="231" t="s">
        <v>95</v>
      </c>
      <c r="L53" s="36" t="s">
        <v>154</v>
      </c>
      <c r="M53" s="36" t="s">
        <v>154</v>
      </c>
      <c r="N53" s="297" t="s">
        <v>154</v>
      </c>
      <c r="O53" s="297" t="s">
        <v>153</v>
      </c>
      <c r="P53" s="297"/>
      <c r="Q53" s="297"/>
      <c r="R53" s="297"/>
      <c r="S53" s="36"/>
      <c r="T53" s="36"/>
      <c r="U53" s="297"/>
      <c r="V53" s="297"/>
      <c r="W53" s="297">
        <v>12.5</v>
      </c>
      <c r="X53" s="297" t="s">
        <v>95</v>
      </c>
      <c r="Y53" s="297">
        <v>10</v>
      </c>
      <c r="Z53" s="36"/>
      <c r="AA53" s="36"/>
      <c r="AB53" s="297"/>
      <c r="AC53" s="297"/>
      <c r="AD53" s="297"/>
      <c r="AE53" s="297"/>
      <c r="AF53" s="297"/>
      <c r="AG53" s="36"/>
      <c r="AH53" s="36"/>
      <c r="AI53" s="387"/>
      <c r="AJ53" s="26" t="e">
        <f>_xlfn.CONCAT(#REF!,#REF!)</f>
        <v>#REF!</v>
      </c>
      <c r="AK53" s="27" t="e">
        <f t="shared" si="10"/>
        <v>#REF!</v>
      </c>
      <c r="AL53" s="28">
        <f t="shared" si="11"/>
        <v>0</v>
      </c>
      <c r="AM53">
        <f t="shared" si="12"/>
        <v>180</v>
      </c>
      <c r="AN53" s="29">
        <f t="shared" si="13"/>
        <v>38.5</v>
      </c>
      <c r="AO53" s="1">
        <f t="shared" si="14"/>
        <v>0</v>
      </c>
    </row>
    <row r="54" spans="1:42" ht="15.9">
      <c r="A54" s="1" t="s">
        <v>152</v>
      </c>
      <c r="B54" s="1" t="s">
        <v>64</v>
      </c>
      <c r="C54" s="291" t="s">
        <v>6</v>
      </c>
      <c r="D54" s="161" t="e">
        <f>#REF!</f>
        <v>#REF!</v>
      </c>
      <c r="E54" s="709"/>
      <c r="F54" s="709"/>
      <c r="G54" s="709"/>
      <c r="H54" s="709"/>
      <c r="I54" s="48"/>
      <c r="J54" s="231">
        <v>10.5</v>
      </c>
      <c r="K54" s="231" t="s">
        <v>99</v>
      </c>
      <c r="L54" s="36">
        <v>19</v>
      </c>
      <c r="M54" s="36"/>
      <c r="N54" s="297"/>
      <c r="O54" s="297"/>
      <c r="P54" s="297"/>
      <c r="Q54" s="297"/>
      <c r="R54" s="297"/>
      <c r="S54" s="36"/>
      <c r="T54" s="36"/>
      <c r="U54" s="297">
        <v>9</v>
      </c>
      <c r="V54" s="297" t="s">
        <v>98</v>
      </c>
      <c r="W54" s="297" t="s">
        <v>98</v>
      </c>
      <c r="X54" s="297">
        <v>20</v>
      </c>
      <c r="Y54" s="297"/>
      <c r="Z54" s="36"/>
      <c r="AA54" s="36" t="s">
        <v>113</v>
      </c>
      <c r="AB54" s="297"/>
      <c r="AC54" s="297"/>
      <c r="AD54" s="297"/>
      <c r="AE54" s="297"/>
      <c r="AF54" s="297"/>
      <c r="AG54" s="36"/>
      <c r="AH54" s="36"/>
      <c r="AI54" s="387"/>
      <c r="AJ54" s="26" t="e">
        <f>_xlfn.CONCAT(#REF!,#REF!)</f>
        <v>#REF!</v>
      </c>
      <c r="AK54" s="27" t="e">
        <f t="shared" si="10"/>
        <v>#REF!</v>
      </c>
      <c r="AL54" s="28">
        <f t="shared" si="11"/>
        <v>24</v>
      </c>
      <c r="AM54">
        <f t="shared" si="12"/>
        <v>72</v>
      </c>
      <c r="AN54" s="29">
        <f t="shared" si="13"/>
        <v>58.5</v>
      </c>
      <c r="AO54" s="1">
        <f t="shared" si="14"/>
        <v>0</v>
      </c>
      <c r="AP54" s="1">
        <v>38</v>
      </c>
    </row>
    <row r="55" spans="1:42" ht="15.9">
      <c r="A55" s="1" t="s">
        <v>156</v>
      </c>
      <c r="B55" s="1" t="s">
        <v>59</v>
      </c>
      <c r="C55" s="292" t="s">
        <v>7</v>
      </c>
      <c r="D55" s="161" t="e">
        <f>#REF!</f>
        <v>#REF!</v>
      </c>
      <c r="E55" s="393"/>
      <c r="F55" s="208"/>
      <c r="G55" s="208"/>
      <c r="H55" s="41">
        <v>6</v>
      </c>
      <c r="I55" s="32" t="s">
        <v>113</v>
      </c>
      <c r="J55" s="231"/>
      <c r="K55" s="231">
        <v>13.5</v>
      </c>
      <c r="L55" s="36"/>
      <c r="M55" s="36"/>
      <c r="N55" s="297"/>
      <c r="O55" s="297"/>
      <c r="P55" s="297"/>
      <c r="Q55" s="297">
        <v>13.5</v>
      </c>
      <c r="R55" s="297"/>
      <c r="S55" s="36"/>
      <c r="T55" s="36"/>
      <c r="U55" s="297">
        <v>8</v>
      </c>
      <c r="V55" s="297">
        <v>17</v>
      </c>
      <c r="W55" s="297" t="s">
        <v>95</v>
      </c>
      <c r="X55" s="297" t="s">
        <v>95</v>
      </c>
      <c r="Y55" s="297">
        <v>15</v>
      </c>
      <c r="Z55" s="36"/>
      <c r="AA55" s="36"/>
      <c r="AB55" s="297"/>
      <c r="AC55" s="297"/>
      <c r="AD55" s="297"/>
      <c r="AE55" s="297"/>
      <c r="AF55" s="297"/>
      <c r="AG55" s="36"/>
      <c r="AH55" s="36"/>
      <c r="AI55" s="387"/>
      <c r="AJ55" s="26" t="e">
        <f>_xlfn.CONCAT(#REF!,#REF!)</f>
        <v>#REF!</v>
      </c>
      <c r="AK55" s="27" t="e">
        <f t="shared" si="10"/>
        <v>#REF!</v>
      </c>
      <c r="AL55" s="28">
        <f t="shared" si="11"/>
        <v>24</v>
      </c>
      <c r="AM55">
        <f t="shared" si="12"/>
        <v>48</v>
      </c>
      <c r="AN55" s="29">
        <f t="shared" si="13"/>
        <v>73</v>
      </c>
      <c r="AO55" s="1">
        <f t="shared" si="14"/>
        <v>0</v>
      </c>
    </row>
    <row r="56" spans="1:42" ht="15.9">
      <c r="A56" s="1" t="s">
        <v>58</v>
      </c>
      <c r="B56" s="1" t="s">
        <v>73</v>
      </c>
      <c r="C56" s="290" t="s">
        <v>8</v>
      </c>
      <c r="D56" s="161" t="e">
        <f>#REF!</f>
        <v>#REF!</v>
      </c>
      <c r="E56" s="386" t="s">
        <v>66</v>
      </c>
      <c r="F56" s="36" t="s">
        <v>66</v>
      </c>
      <c r="G56" s="36" t="s">
        <v>66</v>
      </c>
      <c r="H56" s="32" t="s">
        <v>75</v>
      </c>
      <c r="I56" s="32"/>
      <c r="J56" s="231">
        <v>12</v>
      </c>
      <c r="K56" s="231" t="s">
        <v>98</v>
      </c>
      <c r="L56" s="36" t="s">
        <v>98</v>
      </c>
      <c r="M56" s="36">
        <v>20</v>
      </c>
      <c r="N56" s="297"/>
      <c r="O56" s="297"/>
      <c r="P56" s="297"/>
      <c r="Q56" s="297"/>
      <c r="R56" s="297"/>
      <c r="S56" s="36"/>
      <c r="T56" s="36"/>
      <c r="U56" s="297">
        <v>13</v>
      </c>
      <c r="V56" s="297" t="s">
        <v>98</v>
      </c>
      <c r="W56" s="297" t="s">
        <v>98</v>
      </c>
      <c r="X56" s="297">
        <v>20</v>
      </c>
      <c r="Y56" s="297"/>
      <c r="Z56" s="36"/>
      <c r="AA56" s="36"/>
      <c r="AB56" s="297"/>
      <c r="AC56" s="297"/>
      <c r="AD56" s="297"/>
      <c r="AE56" s="297"/>
      <c r="AF56" s="297"/>
      <c r="AG56" s="36"/>
      <c r="AH56" s="36"/>
      <c r="AI56" s="387"/>
      <c r="AJ56" s="26" t="e">
        <f>_xlfn.CONCAT(#REF!,#REF!)</f>
        <v>#REF!</v>
      </c>
      <c r="AK56" s="27" t="e">
        <f t="shared" si="10"/>
        <v>#REF!</v>
      </c>
      <c r="AL56" s="28">
        <f t="shared" si="11"/>
        <v>0</v>
      </c>
      <c r="AM56">
        <f t="shared" si="12"/>
        <v>96</v>
      </c>
      <c r="AN56" s="29">
        <f t="shared" si="13"/>
        <v>73</v>
      </c>
      <c r="AO56" s="1">
        <f t="shared" si="14"/>
        <v>0</v>
      </c>
    </row>
    <row r="57" spans="1:42" ht="15.9">
      <c r="A57" s="1" t="s">
        <v>152</v>
      </c>
      <c r="B57" s="1" t="s">
        <v>59</v>
      </c>
      <c r="C57" s="291" t="s">
        <v>9</v>
      </c>
      <c r="D57" s="161" t="e">
        <f>#REF!</f>
        <v>#REF!</v>
      </c>
      <c r="E57" s="386"/>
      <c r="F57" s="36"/>
      <c r="G57" s="36"/>
      <c r="H57" s="32">
        <v>7.5</v>
      </c>
      <c r="I57" s="32"/>
      <c r="J57" s="231">
        <v>9</v>
      </c>
      <c r="K57" s="231" t="s">
        <v>98</v>
      </c>
      <c r="L57" s="36" t="s">
        <v>98</v>
      </c>
      <c r="M57" s="36">
        <v>19</v>
      </c>
      <c r="N57" s="297"/>
      <c r="O57" s="297"/>
      <c r="P57" s="297">
        <v>8</v>
      </c>
      <c r="Q57" s="297"/>
      <c r="R57" s="297"/>
      <c r="S57" s="36"/>
      <c r="T57" s="36"/>
      <c r="U57" s="297">
        <v>11</v>
      </c>
      <c r="V57" s="297" t="s">
        <v>98</v>
      </c>
      <c r="W57" s="297" t="s">
        <v>98</v>
      </c>
      <c r="X57" s="297">
        <v>21</v>
      </c>
      <c r="Y57" s="297"/>
      <c r="Z57" s="36"/>
      <c r="AA57" s="36"/>
      <c r="AB57" s="297">
        <v>8</v>
      </c>
      <c r="AC57" s="297">
        <v>8</v>
      </c>
      <c r="AD57" s="297">
        <v>8</v>
      </c>
      <c r="AE57" s="297">
        <v>8</v>
      </c>
      <c r="AF57" s="297">
        <v>8</v>
      </c>
      <c r="AG57" s="36"/>
      <c r="AH57" s="36"/>
      <c r="AI57" s="387"/>
      <c r="AJ57" s="26" t="e">
        <f>_xlfn.CONCAT(#REF!,#REF!)</f>
        <v>#REF!</v>
      </c>
      <c r="AK57" s="27" t="e">
        <f t="shared" si="10"/>
        <v>#REF!</v>
      </c>
      <c r="AL57" s="28">
        <f t="shared" si="11"/>
        <v>0</v>
      </c>
      <c r="AM57">
        <f t="shared" si="12"/>
        <v>96</v>
      </c>
      <c r="AN57" s="29">
        <f t="shared" si="13"/>
        <v>115.5</v>
      </c>
      <c r="AO57" s="1">
        <f t="shared" si="14"/>
        <v>0</v>
      </c>
    </row>
    <row r="58" spans="1:42" ht="15.9">
      <c r="A58" s="1" t="s">
        <v>157</v>
      </c>
      <c r="B58" s="1" t="s">
        <v>59</v>
      </c>
      <c r="C58" s="292" t="s">
        <v>10</v>
      </c>
      <c r="D58" s="161" t="e">
        <f>#REF!</f>
        <v>#REF!</v>
      </c>
      <c r="E58" s="386">
        <v>10</v>
      </c>
      <c r="F58" s="36"/>
      <c r="G58" s="36"/>
      <c r="H58" s="32"/>
      <c r="I58" s="32"/>
      <c r="J58" s="231">
        <v>6</v>
      </c>
      <c r="K58" s="231">
        <v>13.5</v>
      </c>
      <c r="L58" s="36"/>
      <c r="M58" s="36"/>
      <c r="N58" s="297" t="s">
        <v>113</v>
      </c>
      <c r="O58" s="297"/>
      <c r="P58" s="297"/>
      <c r="Q58" s="297">
        <v>13.5</v>
      </c>
      <c r="R58" s="297"/>
      <c r="S58" s="36"/>
      <c r="T58" s="36"/>
      <c r="U58" s="297"/>
      <c r="V58" s="297">
        <v>16.5</v>
      </c>
      <c r="W58" s="297" t="s">
        <v>95</v>
      </c>
      <c r="X58" s="297" t="s">
        <v>95</v>
      </c>
      <c r="Y58" s="297">
        <v>10</v>
      </c>
      <c r="Z58" s="36"/>
      <c r="AA58" s="36"/>
      <c r="AB58" s="297">
        <v>8</v>
      </c>
      <c r="AC58" s="297">
        <v>8</v>
      </c>
      <c r="AD58" s="297">
        <v>8</v>
      </c>
      <c r="AE58" s="297">
        <v>8</v>
      </c>
      <c r="AF58" s="297">
        <v>8</v>
      </c>
      <c r="AG58" s="36"/>
      <c r="AH58" s="36"/>
      <c r="AI58" s="387" t="s">
        <v>83</v>
      </c>
      <c r="AJ58" s="26" t="e">
        <f>_xlfn.CONCAT(#REF!,#REF!)</f>
        <v>#REF!</v>
      </c>
      <c r="AK58" s="27" t="e">
        <f t="shared" si="10"/>
        <v>#REF!</v>
      </c>
      <c r="AL58" s="28">
        <f t="shared" si="11"/>
        <v>24</v>
      </c>
      <c r="AM58">
        <f t="shared" si="12"/>
        <v>48</v>
      </c>
      <c r="AN58" s="29">
        <f t="shared" si="13"/>
        <v>117.5</v>
      </c>
      <c r="AO58" s="1">
        <f t="shared" si="14"/>
        <v>0</v>
      </c>
    </row>
    <row r="59" spans="1:42" ht="15.9">
      <c r="A59" s="1" t="s">
        <v>58</v>
      </c>
      <c r="B59" s="1" t="s">
        <v>59</v>
      </c>
      <c r="C59" s="290" t="s">
        <v>11</v>
      </c>
      <c r="D59" s="161" t="e">
        <f>#REF!</f>
        <v>#REF!</v>
      </c>
      <c r="E59" s="386"/>
      <c r="F59" s="36"/>
      <c r="G59" s="36"/>
      <c r="H59" s="32"/>
      <c r="I59" s="32"/>
      <c r="J59" s="231"/>
      <c r="K59" s="231"/>
      <c r="L59" s="36"/>
      <c r="M59" s="36"/>
      <c r="N59" s="297"/>
      <c r="O59" s="297"/>
      <c r="P59" s="297"/>
      <c r="Q59" s="297"/>
      <c r="R59" s="297"/>
      <c r="S59" s="36"/>
      <c r="T59" s="36"/>
      <c r="U59" s="297">
        <v>4</v>
      </c>
      <c r="V59" s="297" t="s">
        <v>113</v>
      </c>
      <c r="W59" s="297"/>
      <c r="X59" s="297"/>
      <c r="Y59" s="297">
        <v>17</v>
      </c>
      <c r="Z59" s="36" t="s">
        <v>95</v>
      </c>
      <c r="AA59" s="36" t="s">
        <v>95</v>
      </c>
      <c r="AB59" s="297" t="s">
        <v>95</v>
      </c>
      <c r="AC59" s="297" t="s">
        <v>92</v>
      </c>
      <c r="AD59" s="297"/>
      <c r="AE59" s="297"/>
      <c r="AF59" s="297"/>
      <c r="AG59" s="36"/>
      <c r="AH59" s="36"/>
      <c r="AI59" s="387"/>
      <c r="AJ59" s="26" t="e">
        <f>_xlfn.CONCAT(#REF!,#REF!)</f>
        <v>#REF!</v>
      </c>
      <c r="AK59" s="27" t="e">
        <f t="shared" si="10"/>
        <v>#REF!</v>
      </c>
      <c r="AL59" s="28">
        <f t="shared" si="11"/>
        <v>24</v>
      </c>
      <c r="AM59">
        <f t="shared" si="12"/>
        <v>84</v>
      </c>
      <c r="AN59" s="29">
        <f t="shared" si="13"/>
        <v>21</v>
      </c>
      <c r="AO59" s="1">
        <f t="shared" si="14"/>
        <v>0</v>
      </c>
    </row>
    <row r="60" spans="1:42" ht="15.9">
      <c r="A60" s="1" t="s">
        <v>152</v>
      </c>
      <c r="B60" s="1" t="s">
        <v>64</v>
      </c>
      <c r="C60" s="291" t="s">
        <v>12</v>
      </c>
      <c r="D60" s="161" t="e">
        <f>#REF!</f>
        <v>#REF!</v>
      </c>
      <c r="E60" s="386"/>
      <c r="F60" s="36" t="s">
        <v>113</v>
      </c>
      <c r="G60" s="36"/>
      <c r="H60" s="32"/>
      <c r="I60" s="32"/>
      <c r="J60" s="231">
        <v>14</v>
      </c>
      <c r="K60" s="231" t="s">
        <v>98</v>
      </c>
      <c r="L60" s="36" t="s">
        <v>98</v>
      </c>
      <c r="M60" s="36">
        <v>19</v>
      </c>
      <c r="N60" s="297" t="s">
        <v>83</v>
      </c>
      <c r="O60" s="297" t="s">
        <v>83</v>
      </c>
      <c r="P60" s="297" t="s">
        <v>83</v>
      </c>
      <c r="Q60" s="297" t="s">
        <v>83</v>
      </c>
      <c r="R60" s="297" t="s">
        <v>83</v>
      </c>
      <c r="S60" s="207" t="s">
        <v>66</v>
      </c>
      <c r="T60" s="207" t="s">
        <v>66</v>
      </c>
      <c r="U60" s="337" t="s">
        <v>83</v>
      </c>
      <c r="V60" s="337" t="s">
        <v>83</v>
      </c>
      <c r="W60" s="337" t="s">
        <v>83</v>
      </c>
      <c r="X60" s="337"/>
      <c r="Y60" s="337"/>
      <c r="Z60" s="207" t="s">
        <v>113</v>
      </c>
      <c r="AA60" s="207"/>
      <c r="AB60" s="337"/>
      <c r="AC60" s="337"/>
      <c r="AD60" s="337"/>
      <c r="AE60" s="337"/>
      <c r="AF60" s="337"/>
      <c r="AG60" s="207"/>
      <c r="AH60" s="207"/>
      <c r="AI60" s="395"/>
      <c r="AJ60" s="26" t="e">
        <f>_xlfn.CONCAT(#REF!,#REF!)</f>
        <v>#REF!</v>
      </c>
      <c r="AK60" s="27" t="e">
        <f t="shared" si="10"/>
        <v>#REF!</v>
      </c>
      <c r="AL60" s="28">
        <f t="shared" si="11"/>
        <v>48</v>
      </c>
      <c r="AM60">
        <f t="shared" si="12"/>
        <v>48</v>
      </c>
      <c r="AN60" s="29">
        <f t="shared" si="13"/>
        <v>97</v>
      </c>
      <c r="AO60" s="1">
        <f t="shared" si="14"/>
        <v>0</v>
      </c>
    </row>
    <row r="61" spans="1:42" ht="15.9">
      <c r="A61" s="1" t="s">
        <v>152</v>
      </c>
      <c r="B61" s="1" t="s">
        <v>93</v>
      </c>
      <c r="C61" s="291" t="s">
        <v>13</v>
      </c>
      <c r="D61" s="161" t="e">
        <f>#REF!</f>
        <v>#REF!</v>
      </c>
      <c r="E61" s="386"/>
      <c r="F61" s="36"/>
      <c r="G61" s="36"/>
      <c r="H61" s="32"/>
      <c r="I61" s="32"/>
      <c r="J61" s="231">
        <v>17</v>
      </c>
      <c r="K61" s="231" t="s">
        <v>98</v>
      </c>
      <c r="L61" s="36" t="s">
        <v>98</v>
      </c>
      <c r="M61" s="36">
        <v>19</v>
      </c>
      <c r="N61" s="297"/>
      <c r="O61" s="297"/>
      <c r="P61" s="297"/>
      <c r="Q61" s="297"/>
      <c r="R61" s="338"/>
      <c r="S61" s="709"/>
      <c r="T61" s="709"/>
      <c r="U61" s="709"/>
      <c r="V61" s="709"/>
      <c r="W61" s="709"/>
      <c r="X61" s="709"/>
      <c r="Y61" s="709"/>
      <c r="Z61" s="709"/>
      <c r="AA61" s="709"/>
      <c r="AB61" s="709"/>
      <c r="AC61" s="709"/>
      <c r="AD61" s="709"/>
      <c r="AE61" s="709"/>
      <c r="AF61" s="709"/>
      <c r="AG61" s="709"/>
      <c r="AH61" s="709"/>
      <c r="AI61" s="709"/>
      <c r="AJ61" s="26" t="e">
        <f>_xlfn.CONCAT(#REF!,#REF!)</f>
        <v>#REF!</v>
      </c>
      <c r="AK61" s="391" t="e">
        <f t="shared" si="10"/>
        <v>#REF!</v>
      </c>
      <c r="AL61" s="28">
        <f t="shared" si="11"/>
        <v>0</v>
      </c>
      <c r="AM61">
        <f t="shared" si="12"/>
        <v>48</v>
      </c>
      <c r="AN61" s="29">
        <f t="shared" si="13"/>
        <v>36</v>
      </c>
      <c r="AO61" s="1">
        <f t="shared" si="14"/>
        <v>0</v>
      </c>
      <c r="AP61" s="392">
        <f>11*8</f>
        <v>88</v>
      </c>
    </row>
    <row r="62" spans="1:42" ht="15.9">
      <c r="A62" s="1" t="s">
        <v>152</v>
      </c>
      <c r="B62" s="1" t="s">
        <v>73</v>
      </c>
      <c r="C62" s="291" t="s">
        <v>14</v>
      </c>
      <c r="D62" s="161" t="e">
        <f>#REF!</f>
        <v>#REF!</v>
      </c>
      <c r="E62" s="386"/>
      <c r="F62" s="36"/>
      <c r="G62" s="36"/>
      <c r="H62" s="32"/>
      <c r="I62" s="32"/>
      <c r="J62" s="231">
        <v>11</v>
      </c>
      <c r="K62" s="231" t="s">
        <v>98</v>
      </c>
      <c r="L62" s="36" t="s">
        <v>98</v>
      </c>
      <c r="M62" s="36">
        <v>20</v>
      </c>
      <c r="N62" s="297"/>
      <c r="O62" s="297"/>
      <c r="P62" s="297"/>
      <c r="Q62" s="297"/>
      <c r="R62" s="297"/>
      <c r="S62" s="208"/>
      <c r="T62" s="208"/>
      <c r="U62" s="339">
        <v>9</v>
      </c>
      <c r="V62" s="339" t="s">
        <v>98</v>
      </c>
      <c r="W62" s="339" t="s">
        <v>98</v>
      </c>
      <c r="X62" s="339">
        <v>21</v>
      </c>
      <c r="Y62" s="339"/>
      <c r="Z62" s="208"/>
      <c r="AA62" s="208"/>
      <c r="AB62" s="339"/>
      <c r="AC62" s="339"/>
      <c r="AD62" s="339"/>
      <c r="AE62" s="339"/>
      <c r="AF62" s="339" t="s">
        <v>113</v>
      </c>
      <c r="AG62" s="208"/>
      <c r="AH62" s="208"/>
      <c r="AI62" s="405" t="s">
        <v>113</v>
      </c>
      <c r="AJ62" s="26" t="e">
        <f>_xlfn.CONCAT(#REF!,#REF!)</f>
        <v>#REF!</v>
      </c>
      <c r="AK62" s="27" t="e">
        <f t="shared" si="10"/>
        <v>#REF!</v>
      </c>
      <c r="AL62" s="28">
        <f t="shared" si="11"/>
        <v>48</v>
      </c>
      <c r="AM62">
        <f t="shared" si="12"/>
        <v>96</v>
      </c>
      <c r="AN62" s="29">
        <f t="shared" si="13"/>
        <v>61</v>
      </c>
      <c r="AO62" s="1">
        <f t="shared" si="14"/>
        <v>0</v>
      </c>
    </row>
    <row r="63" spans="1:42" ht="15.9">
      <c r="A63" s="1" t="s">
        <v>155</v>
      </c>
      <c r="B63" s="1" t="s">
        <v>64</v>
      </c>
      <c r="C63" s="290" t="s">
        <v>15</v>
      </c>
      <c r="D63" s="161" t="e">
        <f>#REF!</f>
        <v>#REF!</v>
      </c>
      <c r="E63" s="386"/>
      <c r="F63" s="36"/>
      <c r="G63" s="36" t="s">
        <v>113</v>
      </c>
      <c r="H63" s="32"/>
      <c r="I63" s="32"/>
      <c r="J63" s="32"/>
      <c r="K63" s="32"/>
      <c r="L63" s="36"/>
      <c r="M63" s="36"/>
      <c r="N63" s="297"/>
      <c r="O63" s="297"/>
      <c r="P63" s="297"/>
      <c r="Q63" s="297"/>
      <c r="R63" s="297"/>
      <c r="S63" s="36" t="s">
        <v>113</v>
      </c>
      <c r="T63" s="36"/>
      <c r="U63" s="297"/>
      <c r="V63" s="297"/>
      <c r="W63" s="297"/>
      <c r="X63" s="297"/>
      <c r="Y63" s="297" t="s">
        <v>113</v>
      </c>
      <c r="Z63" s="36"/>
      <c r="AA63" s="36"/>
      <c r="AB63" s="297" t="s">
        <v>75</v>
      </c>
      <c r="AC63" s="297" t="s">
        <v>75</v>
      </c>
      <c r="AD63" s="297" t="s">
        <v>75</v>
      </c>
      <c r="AE63" s="297" t="s">
        <v>75</v>
      </c>
      <c r="AF63" s="297" t="s">
        <v>75</v>
      </c>
      <c r="AG63" s="36" t="s">
        <v>66</v>
      </c>
      <c r="AH63" s="36" t="s">
        <v>66</v>
      </c>
      <c r="AI63" s="387" t="s">
        <v>75</v>
      </c>
      <c r="AJ63" s="26" t="e">
        <f>_xlfn.CONCAT(#REF!,#REF!)</f>
        <v>#REF!</v>
      </c>
      <c r="AK63" s="27" t="e">
        <f t="shared" si="10"/>
        <v>#REF!</v>
      </c>
      <c r="AL63" s="28">
        <f t="shared" si="11"/>
        <v>72</v>
      </c>
      <c r="AM63">
        <f t="shared" si="12"/>
        <v>0</v>
      </c>
      <c r="AN63" s="29">
        <f t="shared" si="13"/>
        <v>48</v>
      </c>
      <c r="AO63" s="1">
        <f t="shared" si="14"/>
        <v>0</v>
      </c>
    </row>
    <row r="64" spans="1:42" ht="15.9">
      <c r="A64" s="1" t="s">
        <v>67</v>
      </c>
      <c r="B64" s="1" t="s">
        <v>64</v>
      </c>
      <c r="C64" s="290" t="s">
        <v>16</v>
      </c>
      <c r="D64" s="161" t="e">
        <f>#REF!</f>
        <v>#REF!</v>
      </c>
      <c r="E64" s="386"/>
      <c r="F64" s="36"/>
      <c r="G64" s="36"/>
      <c r="H64" s="32"/>
      <c r="I64" s="32"/>
      <c r="J64" s="32"/>
      <c r="K64" s="32"/>
      <c r="L64" s="36"/>
      <c r="M64" s="36"/>
      <c r="N64" s="297"/>
      <c r="O64" s="297">
        <v>16</v>
      </c>
      <c r="P64" s="297" t="s">
        <v>95</v>
      </c>
      <c r="Q64" s="297" t="s">
        <v>95</v>
      </c>
      <c r="R64" s="297" t="s">
        <v>95</v>
      </c>
      <c r="S64" s="36" t="s">
        <v>95</v>
      </c>
      <c r="T64" s="36" t="s">
        <v>95</v>
      </c>
      <c r="U64" s="297" t="s">
        <v>95</v>
      </c>
      <c r="V64" s="297">
        <v>12</v>
      </c>
      <c r="W64" s="297"/>
      <c r="X64" s="297"/>
      <c r="Y64" s="297"/>
      <c r="Z64" s="36"/>
      <c r="AA64" s="36"/>
      <c r="AB64" s="297">
        <v>8</v>
      </c>
      <c r="AC64" s="297">
        <v>8</v>
      </c>
      <c r="AD64" s="297">
        <v>8</v>
      </c>
      <c r="AE64" s="297" t="s">
        <v>113</v>
      </c>
      <c r="AF64" s="297" t="s">
        <v>103</v>
      </c>
      <c r="AG64" s="36"/>
      <c r="AH64" s="36"/>
      <c r="AI64" s="387"/>
      <c r="AJ64" s="26" t="e">
        <f>_xlfn.CONCAT(#REF!,#REF!)</f>
        <v>#REF!</v>
      </c>
      <c r="AK64" s="27" t="e">
        <f t="shared" si="10"/>
        <v>#REF!</v>
      </c>
      <c r="AL64" s="28">
        <f t="shared" si="11"/>
        <v>24</v>
      </c>
      <c r="AM64">
        <f t="shared" si="12"/>
        <v>144</v>
      </c>
      <c r="AN64" s="29">
        <f t="shared" si="13"/>
        <v>52</v>
      </c>
      <c r="AO64" s="1">
        <f t="shared" si="14"/>
        <v>0</v>
      </c>
    </row>
    <row r="65" spans="1:42" ht="15.9">
      <c r="A65" s="1" t="s">
        <v>155</v>
      </c>
      <c r="B65" s="1" t="s">
        <v>93</v>
      </c>
      <c r="C65" s="290" t="s">
        <v>17</v>
      </c>
      <c r="D65" s="161" t="e">
        <f>#REF!</f>
        <v>#REF!</v>
      </c>
      <c r="E65" s="386" t="s">
        <v>66</v>
      </c>
      <c r="F65" s="36" t="s">
        <v>66</v>
      </c>
      <c r="G65" s="36" t="s">
        <v>66</v>
      </c>
      <c r="H65" s="32" t="s">
        <v>75</v>
      </c>
      <c r="I65" s="32"/>
      <c r="J65" s="32" t="s">
        <v>113</v>
      </c>
      <c r="K65" s="32"/>
      <c r="L65" s="36"/>
      <c r="M65" s="36" t="s">
        <v>113</v>
      </c>
      <c r="N65" s="297"/>
      <c r="O65" s="297" t="s">
        <v>75</v>
      </c>
      <c r="P65" s="297" t="s">
        <v>75</v>
      </c>
      <c r="Q65" s="297" t="s">
        <v>75</v>
      </c>
      <c r="R65" s="297"/>
      <c r="S65" s="36"/>
      <c r="T65" s="36"/>
      <c r="U65" s="297"/>
      <c r="V65" s="297"/>
      <c r="W65" s="297" t="s">
        <v>113</v>
      </c>
      <c r="X65" s="297"/>
      <c r="Y65" s="297"/>
      <c r="Z65" s="36"/>
      <c r="AA65" s="36"/>
      <c r="AB65" s="297"/>
      <c r="AC65" s="297"/>
      <c r="AD65" s="297"/>
      <c r="AE65" s="297"/>
      <c r="AF65" s="297"/>
      <c r="AG65" s="36" t="s">
        <v>113</v>
      </c>
      <c r="AH65" s="36"/>
      <c r="AI65" s="387"/>
      <c r="AJ65" s="26" t="e">
        <f>_xlfn.CONCAT(#REF!,#REF!)</f>
        <v>#REF!</v>
      </c>
      <c r="AK65" s="27" t="e">
        <f t="shared" si="10"/>
        <v>#REF!</v>
      </c>
      <c r="AL65" s="28">
        <f t="shared" si="11"/>
        <v>96</v>
      </c>
      <c r="AM65">
        <f t="shared" si="12"/>
        <v>0</v>
      </c>
      <c r="AN65" s="29">
        <f t="shared" si="13"/>
        <v>32</v>
      </c>
      <c r="AO65" s="1">
        <f t="shared" si="14"/>
        <v>0</v>
      </c>
    </row>
    <row r="66" spans="1:42" ht="15.9">
      <c r="A66" s="1" t="s">
        <v>155</v>
      </c>
      <c r="B66" s="1" t="s">
        <v>64</v>
      </c>
      <c r="C66" s="292" t="s">
        <v>18</v>
      </c>
      <c r="D66" s="161" t="e">
        <f>#REF!</f>
        <v>#REF!</v>
      </c>
      <c r="E66" s="386"/>
      <c r="F66" s="36"/>
      <c r="G66" s="36"/>
      <c r="H66" s="32"/>
      <c r="I66" s="32"/>
      <c r="J66" s="32"/>
      <c r="K66" s="32"/>
      <c r="L66" s="36"/>
      <c r="M66" s="36"/>
      <c r="N66" s="297"/>
      <c r="O66" s="297"/>
      <c r="P66" s="297"/>
      <c r="Q66" s="297"/>
      <c r="R66" s="297"/>
      <c r="S66" s="36"/>
      <c r="T66" s="36"/>
      <c r="U66" s="297"/>
      <c r="V66" s="297"/>
      <c r="W66" s="297"/>
      <c r="X66" s="297"/>
      <c r="Y66" s="297"/>
      <c r="Z66" s="36"/>
      <c r="AA66" s="36"/>
      <c r="AB66" s="297"/>
      <c r="AC66" s="297"/>
      <c r="AD66" s="297"/>
      <c r="AE66" s="297"/>
      <c r="AF66" s="297"/>
      <c r="AG66" s="36"/>
      <c r="AH66" s="36"/>
      <c r="AI66" s="387"/>
      <c r="AJ66" s="26" t="e">
        <f>_xlfn.CONCAT(#REF!,#REF!)</f>
        <v>#REF!</v>
      </c>
      <c r="AK66" s="391">
        <v>0</v>
      </c>
      <c r="AL66" s="28">
        <f t="shared" si="11"/>
        <v>0</v>
      </c>
      <c r="AM66">
        <f t="shared" si="12"/>
        <v>0</v>
      </c>
      <c r="AN66" s="29">
        <f t="shared" si="13"/>
        <v>0</v>
      </c>
      <c r="AO66" s="1">
        <f t="shared" si="14"/>
        <v>0</v>
      </c>
    </row>
    <row r="67" spans="1:42" ht="15.9">
      <c r="A67" s="1" t="s">
        <v>157</v>
      </c>
      <c r="B67" s="1" t="s">
        <v>59</v>
      </c>
      <c r="C67" s="291" t="s">
        <v>19</v>
      </c>
      <c r="D67" s="161" t="e">
        <f>#REF!</f>
        <v>#REF!</v>
      </c>
      <c r="E67" s="388">
        <v>11.5</v>
      </c>
      <c r="F67" s="207"/>
      <c r="G67" s="207"/>
      <c r="H67" s="37">
        <v>8</v>
      </c>
      <c r="I67" s="32"/>
      <c r="J67" s="32">
        <v>8</v>
      </c>
      <c r="K67" s="32"/>
      <c r="L67" s="36"/>
      <c r="M67" s="36"/>
      <c r="N67" s="297"/>
      <c r="O67" s="297">
        <v>7</v>
      </c>
      <c r="P67" s="297">
        <v>7</v>
      </c>
      <c r="Q67" s="297">
        <v>13.5</v>
      </c>
      <c r="R67" s="297"/>
      <c r="S67" s="36"/>
      <c r="T67" s="36"/>
      <c r="U67" s="297">
        <v>9</v>
      </c>
      <c r="V67" s="297" t="s">
        <v>99</v>
      </c>
      <c r="W67" s="297" t="s">
        <v>99</v>
      </c>
      <c r="X67" s="297">
        <v>20.5</v>
      </c>
      <c r="Y67" s="297"/>
      <c r="Z67" s="36"/>
      <c r="AA67" s="36"/>
      <c r="AB67" s="297"/>
      <c r="AC67" s="297"/>
      <c r="AD67" s="297"/>
      <c r="AE67" s="297"/>
      <c r="AF67" s="297"/>
      <c r="AG67" s="36"/>
      <c r="AH67" s="36"/>
      <c r="AI67" s="387"/>
      <c r="AJ67" s="26" t="e">
        <f>_xlfn.CONCAT(#REF!,#REF!)</f>
        <v>#REF!</v>
      </c>
      <c r="AK67" s="27" t="e">
        <f t="shared" ref="AK67:AK101" si="15">D67+AL67+AM67+AN67-$AK$50+AO67+AP67</f>
        <v>#REF!</v>
      </c>
      <c r="AL67" s="28">
        <f t="shared" si="11"/>
        <v>0</v>
      </c>
      <c r="AM67">
        <f t="shared" si="12"/>
        <v>48</v>
      </c>
      <c r="AN67" s="29">
        <f t="shared" si="13"/>
        <v>84.5</v>
      </c>
      <c r="AO67" s="1">
        <f t="shared" si="14"/>
        <v>0</v>
      </c>
    </row>
    <row r="68" spans="1:42" ht="15.9">
      <c r="A68" s="1" t="s">
        <v>152</v>
      </c>
      <c r="B68" s="1" t="s">
        <v>64</v>
      </c>
      <c r="C68" s="291" t="s">
        <v>20</v>
      </c>
      <c r="D68" s="161" t="e">
        <f>#REF!</f>
        <v>#REF!</v>
      </c>
      <c r="E68" s="709"/>
      <c r="F68" s="709"/>
      <c r="G68" s="709"/>
      <c r="H68" s="709"/>
      <c r="I68" s="48">
        <v>8</v>
      </c>
      <c r="J68" s="32">
        <v>8</v>
      </c>
      <c r="K68" s="32"/>
      <c r="L68" s="36" t="s">
        <v>113</v>
      </c>
      <c r="M68" s="36"/>
      <c r="N68" s="297">
        <v>8</v>
      </c>
      <c r="O68" s="297">
        <v>8</v>
      </c>
      <c r="P68" s="297">
        <v>8</v>
      </c>
      <c r="Q68" s="297"/>
      <c r="R68" s="297">
        <v>8</v>
      </c>
      <c r="S68" s="36"/>
      <c r="T68" s="36"/>
      <c r="U68" s="297">
        <v>12</v>
      </c>
      <c r="V68" s="297" t="s">
        <v>98</v>
      </c>
      <c r="W68" s="297" t="s">
        <v>98</v>
      </c>
      <c r="X68" s="297">
        <v>20</v>
      </c>
      <c r="Y68" s="297"/>
      <c r="Z68" s="36"/>
      <c r="AA68" s="36"/>
      <c r="AB68" s="297" t="s">
        <v>113</v>
      </c>
      <c r="AC68" s="297"/>
      <c r="AD68" s="297"/>
      <c r="AE68" s="297" t="s">
        <v>113</v>
      </c>
      <c r="AF68" s="297"/>
      <c r="AG68" s="36"/>
      <c r="AH68" s="36"/>
      <c r="AI68" s="387"/>
      <c r="AJ68" s="26" t="e">
        <f>_xlfn.CONCAT(#REF!,#REF!)</f>
        <v>#REF!</v>
      </c>
      <c r="AK68" s="27" t="e">
        <f t="shared" si="15"/>
        <v>#REF!</v>
      </c>
      <c r="AL68" s="28">
        <f t="shared" si="11"/>
        <v>72</v>
      </c>
      <c r="AM68">
        <f t="shared" si="12"/>
        <v>48</v>
      </c>
      <c r="AN68" s="29">
        <f t="shared" si="13"/>
        <v>80</v>
      </c>
      <c r="AO68" s="1">
        <f t="shared" si="14"/>
        <v>0</v>
      </c>
      <c r="AP68" s="1">
        <v>15</v>
      </c>
    </row>
    <row r="69" spans="1:42" ht="15.9">
      <c r="A69" s="1" t="s">
        <v>152</v>
      </c>
      <c r="B69" s="1" t="s">
        <v>64</v>
      </c>
      <c r="C69" s="291" t="s">
        <v>21</v>
      </c>
      <c r="D69" s="161" t="e">
        <f>#REF!</f>
        <v>#REF!</v>
      </c>
      <c r="E69" s="393" t="s">
        <v>113</v>
      </c>
      <c r="F69" s="208">
        <v>1</v>
      </c>
      <c r="G69" s="208"/>
      <c r="H69" s="41" t="s">
        <v>83</v>
      </c>
      <c r="I69" s="32" t="s">
        <v>83</v>
      </c>
      <c r="J69" s="32" t="s">
        <v>83</v>
      </c>
      <c r="K69" s="32" t="s">
        <v>83</v>
      </c>
      <c r="L69" s="36"/>
      <c r="M69" s="36"/>
      <c r="N69" s="297">
        <v>8</v>
      </c>
      <c r="O69" s="297">
        <v>8</v>
      </c>
      <c r="P69" s="297"/>
      <c r="Q69" s="297"/>
      <c r="R69" s="297"/>
      <c r="S69" s="36" t="s">
        <v>113</v>
      </c>
      <c r="T69" s="36"/>
      <c r="U69" s="297">
        <v>12</v>
      </c>
      <c r="V69" s="297" t="s">
        <v>98</v>
      </c>
      <c r="W69" s="297" t="s">
        <v>98</v>
      </c>
      <c r="X69" s="297">
        <v>20</v>
      </c>
      <c r="Y69" s="297"/>
      <c r="Z69" s="36"/>
      <c r="AA69" s="36"/>
      <c r="AB69" s="297"/>
      <c r="AC69" s="297"/>
      <c r="AD69" s="297"/>
      <c r="AE69" s="297"/>
      <c r="AF69" s="297"/>
      <c r="AG69" s="36"/>
      <c r="AH69" s="36"/>
      <c r="AI69" s="387" t="s">
        <v>83</v>
      </c>
      <c r="AJ69" s="26" t="e">
        <f>_xlfn.CONCAT(#REF!,#REF!)</f>
        <v>#REF!</v>
      </c>
      <c r="AK69" s="27" t="e">
        <f t="shared" si="15"/>
        <v>#REF!</v>
      </c>
      <c r="AL69" s="28">
        <f t="shared" si="11"/>
        <v>48</v>
      </c>
      <c r="AM69">
        <f t="shared" si="12"/>
        <v>48</v>
      </c>
      <c r="AN69" s="29">
        <f t="shared" si="13"/>
        <v>89</v>
      </c>
      <c r="AO69" s="1">
        <f t="shared" si="14"/>
        <v>0</v>
      </c>
    </row>
    <row r="70" spans="1:42" ht="15.9">
      <c r="A70" s="1" t="s">
        <v>155</v>
      </c>
      <c r="B70" s="1" t="s">
        <v>59</v>
      </c>
      <c r="C70" s="290" t="s">
        <v>22</v>
      </c>
      <c r="D70" s="161" t="e">
        <f>#REF!</f>
        <v>#REF!</v>
      </c>
      <c r="E70" s="386" t="s">
        <v>95</v>
      </c>
      <c r="F70" s="36" t="s">
        <v>95</v>
      </c>
      <c r="G70" s="36" t="s">
        <v>95</v>
      </c>
      <c r="H70" s="32" t="s">
        <v>92</v>
      </c>
      <c r="I70" s="32"/>
      <c r="J70" s="32"/>
      <c r="K70" s="32"/>
      <c r="L70" s="36" t="s">
        <v>113</v>
      </c>
      <c r="M70" s="36"/>
      <c r="N70" s="297" t="s">
        <v>75</v>
      </c>
      <c r="O70" s="297" t="s">
        <v>75</v>
      </c>
      <c r="P70" s="297" t="s">
        <v>75</v>
      </c>
      <c r="Q70" s="297" t="s">
        <v>75</v>
      </c>
      <c r="R70" s="297" t="s">
        <v>75</v>
      </c>
      <c r="S70" s="36" t="s">
        <v>66</v>
      </c>
      <c r="T70" s="36" t="s">
        <v>66</v>
      </c>
      <c r="U70" s="297" t="s">
        <v>75</v>
      </c>
      <c r="V70" s="297" t="s">
        <v>75</v>
      </c>
      <c r="W70" s="297" t="s">
        <v>75</v>
      </c>
      <c r="X70" s="297" t="s">
        <v>75</v>
      </c>
      <c r="Y70" s="297" t="s">
        <v>75</v>
      </c>
      <c r="Z70" s="36" t="s">
        <v>66</v>
      </c>
      <c r="AA70" s="36" t="s">
        <v>66</v>
      </c>
      <c r="AB70" s="297" t="s">
        <v>75</v>
      </c>
      <c r="AC70" s="297" t="s">
        <v>75</v>
      </c>
      <c r="AD70" s="297" t="s">
        <v>75</v>
      </c>
      <c r="AE70" s="297" t="s">
        <v>75</v>
      </c>
      <c r="AF70" s="297" t="s">
        <v>75</v>
      </c>
      <c r="AG70" s="36" t="s">
        <v>66</v>
      </c>
      <c r="AH70" s="36" t="s">
        <v>66</v>
      </c>
      <c r="AI70" s="387" t="s">
        <v>75</v>
      </c>
      <c r="AJ70" s="26" t="e">
        <f>_xlfn.CONCAT(#REF!,#REF!)</f>
        <v>#REF!</v>
      </c>
      <c r="AK70" s="27" t="e">
        <f t="shared" si="15"/>
        <v>#REF!</v>
      </c>
      <c r="AL70" s="28">
        <f t="shared" si="11"/>
        <v>24</v>
      </c>
      <c r="AM70">
        <f t="shared" si="12"/>
        <v>84</v>
      </c>
      <c r="AN70" s="29">
        <f t="shared" si="13"/>
        <v>128</v>
      </c>
      <c r="AO70" s="1">
        <f t="shared" si="14"/>
        <v>0</v>
      </c>
    </row>
    <row r="71" spans="1:42" ht="15.9">
      <c r="A71" s="1" t="s">
        <v>155</v>
      </c>
      <c r="B71" s="1" t="s">
        <v>59</v>
      </c>
      <c r="C71" s="290" t="s">
        <v>23</v>
      </c>
      <c r="D71" s="161" t="e">
        <f>#REF!</f>
        <v>#REF!</v>
      </c>
      <c r="E71" s="386"/>
      <c r="F71" s="36"/>
      <c r="G71" s="36"/>
      <c r="H71" s="32">
        <v>17.5</v>
      </c>
      <c r="I71" s="32" t="s">
        <v>95</v>
      </c>
      <c r="J71" s="32" t="s">
        <v>95</v>
      </c>
      <c r="K71" s="32">
        <v>11.5</v>
      </c>
      <c r="L71" s="36"/>
      <c r="M71" s="36"/>
      <c r="N71" s="297"/>
      <c r="O71" s="297"/>
      <c r="P71" s="297"/>
      <c r="Q71" s="297"/>
      <c r="R71" s="297"/>
      <c r="S71" s="36"/>
      <c r="T71" s="36" t="s">
        <v>113</v>
      </c>
      <c r="U71" s="297"/>
      <c r="V71" s="297"/>
      <c r="W71" s="297"/>
      <c r="X71" s="297" t="s">
        <v>59</v>
      </c>
      <c r="Y71" s="297"/>
      <c r="Z71" s="36"/>
      <c r="AA71" s="36"/>
      <c r="AB71" s="297"/>
      <c r="AC71" s="297"/>
      <c r="AD71" s="297" t="s">
        <v>75</v>
      </c>
      <c r="AE71" s="297" t="s">
        <v>75</v>
      </c>
      <c r="AF71" s="297" t="s">
        <v>75</v>
      </c>
      <c r="AG71" s="36" t="s">
        <v>66</v>
      </c>
      <c r="AH71" s="36" t="s">
        <v>66</v>
      </c>
      <c r="AI71" s="387" t="s">
        <v>75</v>
      </c>
      <c r="AJ71" s="26" t="e">
        <f>_xlfn.CONCAT(#REF!,#REF!)</f>
        <v>#REF!</v>
      </c>
      <c r="AK71" s="27" t="e">
        <f t="shared" si="15"/>
        <v>#REF!</v>
      </c>
      <c r="AL71" s="28">
        <f t="shared" si="11"/>
        <v>48</v>
      </c>
      <c r="AM71">
        <f t="shared" si="12"/>
        <v>48</v>
      </c>
      <c r="AN71" s="29">
        <f t="shared" si="13"/>
        <v>61</v>
      </c>
      <c r="AO71" s="1">
        <f t="shared" si="14"/>
        <v>0</v>
      </c>
    </row>
    <row r="72" spans="1:42" ht="15.9">
      <c r="A72" s="1" t="s">
        <v>155</v>
      </c>
      <c r="B72" s="1" t="s">
        <v>64</v>
      </c>
      <c r="C72" s="290" t="s">
        <v>24</v>
      </c>
      <c r="D72" s="161" t="e">
        <f>#REF!</f>
        <v>#REF!</v>
      </c>
      <c r="E72" s="386"/>
      <c r="F72" s="36"/>
      <c r="G72" s="36"/>
      <c r="H72" s="37"/>
      <c r="I72" s="37"/>
      <c r="J72" s="37"/>
      <c r="K72" s="37"/>
      <c r="L72" s="207"/>
      <c r="M72" s="207"/>
      <c r="N72" s="337"/>
      <c r="O72" s="337"/>
      <c r="P72" s="337"/>
      <c r="Q72" s="337"/>
      <c r="R72" s="337"/>
      <c r="S72" s="207"/>
      <c r="T72" s="36"/>
      <c r="U72" s="297"/>
      <c r="V72" s="297"/>
      <c r="W72" s="297" t="s">
        <v>113</v>
      </c>
      <c r="X72" s="297"/>
      <c r="Y72" s="297"/>
      <c r="Z72" s="36"/>
      <c r="AA72" s="36"/>
      <c r="AB72" s="297"/>
      <c r="AC72" s="297" t="s">
        <v>92</v>
      </c>
      <c r="AD72" s="297" t="s">
        <v>95</v>
      </c>
      <c r="AE72" s="297" t="s">
        <v>95</v>
      </c>
      <c r="AF72" s="297" t="s">
        <v>95</v>
      </c>
      <c r="AG72" s="36" t="s">
        <v>95</v>
      </c>
      <c r="AH72" s="36" t="s">
        <v>95</v>
      </c>
      <c r="AI72" s="387" t="s">
        <v>95</v>
      </c>
      <c r="AJ72" s="26" t="e">
        <f>_xlfn.CONCAT(#REF!,#REF!)</f>
        <v>#REF!</v>
      </c>
      <c r="AK72" s="27" t="e">
        <f t="shared" si="15"/>
        <v>#REF!</v>
      </c>
      <c r="AL72" s="28">
        <f t="shared" si="11"/>
        <v>24</v>
      </c>
      <c r="AM72">
        <f t="shared" si="12"/>
        <v>156</v>
      </c>
      <c r="AN72" s="29">
        <f t="shared" si="13"/>
        <v>0</v>
      </c>
      <c r="AO72" s="1">
        <f t="shared" si="14"/>
        <v>0</v>
      </c>
    </row>
    <row r="73" spans="1:42" ht="15.9">
      <c r="A73" s="1" t="s">
        <v>152</v>
      </c>
      <c r="B73" s="1" t="s">
        <v>73</v>
      </c>
      <c r="C73" s="291" t="s">
        <v>25</v>
      </c>
      <c r="D73" s="161" t="e">
        <f>#REF!</f>
        <v>#REF!</v>
      </c>
      <c r="E73" s="386"/>
      <c r="F73" s="36"/>
      <c r="G73" s="36"/>
      <c r="H73" s="37"/>
      <c r="I73" s="37"/>
      <c r="J73" s="425">
        <v>13</v>
      </c>
      <c r="K73" s="425" t="s">
        <v>98</v>
      </c>
      <c r="L73" s="207" t="s">
        <v>98</v>
      </c>
      <c r="M73" s="207">
        <v>19</v>
      </c>
      <c r="N73" s="337"/>
      <c r="O73" s="337"/>
      <c r="P73" s="337"/>
      <c r="Q73" s="337"/>
      <c r="R73" s="337"/>
      <c r="S73" s="207"/>
      <c r="T73" s="36"/>
      <c r="U73" s="297">
        <v>12</v>
      </c>
      <c r="V73" s="297" t="s">
        <v>98</v>
      </c>
      <c r="W73" s="297" t="s">
        <v>98</v>
      </c>
      <c r="X73" s="297">
        <v>20</v>
      </c>
      <c r="Y73" s="297"/>
      <c r="Z73" s="36"/>
      <c r="AA73" s="36"/>
      <c r="AB73" s="297"/>
      <c r="AC73" s="297" t="s">
        <v>75</v>
      </c>
      <c r="AD73" s="297" t="s">
        <v>75</v>
      </c>
      <c r="AE73" s="297" t="s">
        <v>75</v>
      </c>
      <c r="AF73" s="297" t="s">
        <v>75</v>
      </c>
      <c r="AG73" s="36"/>
      <c r="AH73" s="36" t="s">
        <v>113</v>
      </c>
      <c r="AI73" s="387"/>
      <c r="AJ73" s="26" t="e">
        <f>_xlfn.CONCAT(#REF!,#REF!)</f>
        <v>#REF!</v>
      </c>
      <c r="AK73" s="27" t="e">
        <f t="shared" si="15"/>
        <v>#REF!</v>
      </c>
      <c r="AL73" s="28">
        <f t="shared" si="11"/>
        <v>24</v>
      </c>
      <c r="AM73">
        <f t="shared" si="12"/>
        <v>96</v>
      </c>
      <c r="AN73" s="29">
        <f t="shared" si="13"/>
        <v>96</v>
      </c>
      <c r="AO73" s="1">
        <f t="shared" si="14"/>
        <v>0</v>
      </c>
    </row>
    <row r="74" spans="1:42" ht="15.9">
      <c r="A74" s="1" t="s">
        <v>155</v>
      </c>
      <c r="B74" s="1" t="s">
        <v>59</v>
      </c>
      <c r="C74" s="290" t="s">
        <v>26</v>
      </c>
      <c r="D74" s="161" t="e">
        <f>#REF!</f>
        <v>#REF!</v>
      </c>
      <c r="E74" s="386"/>
      <c r="F74" s="36"/>
      <c r="G74" s="145"/>
      <c r="H74" s="707"/>
      <c r="I74" s="707"/>
      <c r="J74" s="707"/>
      <c r="K74" s="707"/>
      <c r="L74" s="707"/>
      <c r="M74" s="707"/>
      <c r="N74" s="707"/>
      <c r="O74" s="707"/>
      <c r="P74" s="707"/>
      <c r="Q74" s="707"/>
      <c r="R74" s="707"/>
      <c r="S74" s="707"/>
      <c r="T74" s="168"/>
      <c r="U74" s="297"/>
      <c r="V74" s="297"/>
      <c r="W74" s="297"/>
      <c r="X74" s="297"/>
      <c r="Y74" s="297">
        <v>17</v>
      </c>
      <c r="Z74" s="36" t="s">
        <v>95</v>
      </c>
      <c r="AA74" s="36" t="s">
        <v>95</v>
      </c>
      <c r="AB74" s="297" t="s">
        <v>95</v>
      </c>
      <c r="AC74" s="297">
        <v>11</v>
      </c>
      <c r="AD74" s="297"/>
      <c r="AE74" s="297"/>
      <c r="AF74" s="297"/>
      <c r="AG74" s="36"/>
      <c r="AH74" s="36"/>
      <c r="AI74" s="387"/>
      <c r="AJ74" s="26" t="e">
        <f>_xlfn.CONCAT(#REF!,#REF!)</f>
        <v>#REF!</v>
      </c>
      <c r="AK74" s="27" t="e">
        <f t="shared" si="15"/>
        <v>#REF!</v>
      </c>
      <c r="AL74" s="28">
        <f t="shared" si="11"/>
        <v>0</v>
      </c>
      <c r="AM74">
        <f t="shared" si="12"/>
        <v>72</v>
      </c>
      <c r="AN74" s="29">
        <f t="shared" si="13"/>
        <v>28</v>
      </c>
      <c r="AO74" s="1">
        <v>80</v>
      </c>
    </row>
    <row r="75" spans="1:42" ht="15.9">
      <c r="A75" s="1" t="s">
        <v>152</v>
      </c>
      <c r="B75" s="1" t="s">
        <v>73</v>
      </c>
      <c r="C75" s="291" t="s">
        <v>27</v>
      </c>
      <c r="D75" s="161" t="e">
        <f>#REF!</f>
        <v>#REF!</v>
      </c>
      <c r="E75" s="388"/>
      <c r="F75" s="207" t="s">
        <v>101</v>
      </c>
      <c r="G75" s="207" t="s">
        <v>101</v>
      </c>
      <c r="H75" s="406"/>
      <c r="I75" s="41"/>
      <c r="J75" s="4">
        <v>10</v>
      </c>
      <c r="K75" s="4" t="s">
        <v>98</v>
      </c>
      <c r="L75" s="208" t="s">
        <v>98</v>
      </c>
      <c r="M75" s="208">
        <v>19</v>
      </c>
      <c r="N75" s="339"/>
      <c r="O75" s="339"/>
      <c r="P75" s="339"/>
      <c r="Q75" s="339"/>
      <c r="R75" s="339"/>
      <c r="S75" s="208"/>
      <c r="T75" s="36"/>
      <c r="U75" s="297">
        <v>12</v>
      </c>
      <c r="V75" s="297" t="s">
        <v>98</v>
      </c>
      <c r="W75" s="297" t="s">
        <v>98</v>
      </c>
      <c r="X75" s="297">
        <v>20.5</v>
      </c>
      <c r="Y75" s="297"/>
      <c r="Z75" s="36"/>
      <c r="AA75" s="36"/>
      <c r="AB75" s="297">
        <v>8</v>
      </c>
      <c r="AC75" s="297">
        <v>8</v>
      </c>
      <c r="AD75" s="297">
        <v>8</v>
      </c>
      <c r="AE75" s="297">
        <v>8</v>
      </c>
      <c r="AF75" s="297">
        <v>8</v>
      </c>
      <c r="AG75" s="36"/>
      <c r="AH75" s="36"/>
      <c r="AI75" s="387"/>
      <c r="AJ75" s="26" t="e">
        <f>_xlfn.CONCAT(#REF!,#REF!)</f>
        <v>#REF!</v>
      </c>
      <c r="AK75" s="391" t="e">
        <f t="shared" si="15"/>
        <v>#REF!</v>
      </c>
      <c r="AL75" s="28">
        <f t="shared" si="11"/>
        <v>0</v>
      </c>
      <c r="AM75">
        <f t="shared" si="12"/>
        <v>96</v>
      </c>
      <c r="AN75" s="29">
        <f t="shared" si="13"/>
        <v>101.5</v>
      </c>
      <c r="AO75" s="1">
        <f t="shared" ref="AO75:AO101" si="16">COUNTIF(E75:AI75,"DT")*8</f>
        <v>0</v>
      </c>
      <c r="AP75" s="392">
        <f>16+8</f>
        <v>24</v>
      </c>
    </row>
    <row r="76" spans="1:42" ht="15.9">
      <c r="A76" s="1" t="s">
        <v>155</v>
      </c>
      <c r="B76" s="1" t="s">
        <v>93</v>
      </c>
      <c r="C76" s="290" t="s">
        <v>28</v>
      </c>
      <c r="D76" s="161" t="e">
        <f>#REF!</f>
        <v>#REF!</v>
      </c>
      <c r="E76" s="709"/>
      <c r="F76" s="709"/>
      <c r="G76" s="709"/>
      <c r="H76" s="709"/>
      <c r="I76" s="426">
        <v>8</v>
      </c>
      <c r="J76" s="41">
        <v>8</v>
      </c>
      <c r="K76" s="41">
        <v>8</v>
      </c>
      <c r="L76" s="208"/>
      <c r="M76" s="208"/>
      <c r="N76" s="339"/>
      <c r="O76" s="339">
        <v>16</v>
      </c>
      <c r="P76" s="339" t="s">
        <v>95</v>
      </c>
      <c r="Q76" s="339" t="s">
        <v>95</v>
      </c>
      <c r="R76" s="339" t="s">
        <v>95</v>
      </c>
      <c r="S76" s="208" t="s">
        <v>95</v>
      </c>
      <c r="T76" s="36" t="s">
        <v>95</v>
      </c>
      <c r="U76" s="297" t="s">
        <v>95</v>
      </c>
      <c r="V76" s="297">
        <v>15</v>
      </c>
      <c r="W76" s="297"/>
      <c r="X76" s="297"/>
      <c r="Y76" s="297">
        <v>8</v>
      </c>
      <c r="Z76" s="36"/>
      <c r="AA76" s="36"/>
      <c r="AB76" s="297"/>
      <c r="AC76" s="297"/>
      <c r="AD76" s="297"/>
      <c r="AE76" s="297"/>
      <c r="AF76" s="297"/>
      <c r="AG76" s="36"/>
      <c r="AH76" s="36"/>
      <c r="AI76" s="387"/>
      <c r="AJ76" s="26" t="e">
        <f>_xlfn.CONCAT(#REF!,#REF!)</f>
        <v>#REF!</v>
      </c>
      <c r="AK76" s="27" t="e">
        <f t="shared" si="15"/>
        <v>#REF!</v>
      </c>
      <c r="AL76" s="28">
        <f t="shared" si="11"/>
        <v>0</v>
      </c>
      <c r="AM76">
        <f t="shared" si="12"/>
        <v>144</v>
      </c>
      <c r="AN76" s="29">
        <f t="shared" si="13"/>
        <v>63</v>
      </c>
      <c r="AO76" s="1">
        <f t="shared" si="16"/>
        <v>0</v>
      </c>
      <c r="AP76" s="1">
        <v>14</v>
      </c>
    </row>
    <row r="77" spans="1:42" ht="15.9">
      <c r="A77" s="1" t="s">
        <v>152</v>
      </c>
      <c r="B77" s="1" t="s">
        <v>59</v>
      </c>
      <c r="C77" s="291" t="s">
        <v>160</v>
      </c>
      <c r="D77" s="161" t="e">
        <f>#REF!</f>
        <v>#REF!</v>
      </c>
      <c r="E77" s="393"/>
      <c r="F77" s="208"/>
      <c r="G77" s="208"/>
      <c r="H77" s="41" t="s">
        <v>75</v>
      </c>
      <c r="I77" s="32">
        <v>8</v>
      </c>
      <c r="J77" s="231">
        <v>10.5</v>
      </c>
      <c r="K77" s="231" t="s">
        <v>98</v>
      </c>
      <c r="L77" s="36" t="s">
        <v>98</v>
      </c>
      <c r="M77" s="36">
        <v>20</v>
      </c>
      <c r="N77" s="297">
        <v>3.5</v>
      </c>
      <c r="O77" s="297">
        <v>9.5</v>
      </c>
      <c r="P77" s="297">
        <v>13.5</v>
      </c>
      <c r="Q77" s="297"/>
      <c r="R77" s="297"/>
      <c r="S77" s="36"/>
      <c r="T77" s="36"/>
      <c r="U77" s="297">
        <v>6</v>
      </c>
      <c r="V77" s="297" t="s">
        <v>98</v>
      </c>
      <c r="W77" s="297" t="s">
        <v>98</v>
      </c>
      <c r="X77" s="297">
        <v>19</v>
      </c>
      <c r="Y77" s="297"/>
      <c r="Z77" s="36"/>
      <c r="AA77" s="36"/>
      <c r="AB77" s="297"/>
      <c r="AC77" s="297" t="s">
        <v>83</v>
      </c>
      <c r="AD77" s="297" t="s">
        <v>83</v>
      </c>
      <c r="AE77" s="297" t="s">
        <v>83</v>
      </c>
      <c r="AF77" s="297" t="s">
        <v>83</v>
      </c>
      <c r="AG77" s="36"/>
      <c r="AH77" s="36"/>
      <c r="AI77" s="387" t="s">
        <v>83</v>
      </c>
      <c r="AJ77" s="26" t="e">
        <f>_xlfn.CONCAT(#REF!,#REF!)</f>
        <v>#REF!</v>
      </c>
      <c r="AK77" s="27" t="e">
        <f t="shared" si="15"/>
        <v>#REF!</v>
      </c>
      <c r="AL77" s="28">
        <f t="shared" si="11"/>
        <v>0</v>
      </c>
      <c r="AM77">
        <f t="shared" si="12"/>
        <v>96</v>
      </c>
      <c r="AN77" s="29">
        <f t="shared" si="13"/>
        <v>138</v>
      </c>
      <c r="AO77" s="1">
        <f t="shared" si="16"/>
        <v>0</v>
      </c>
    </row>
    <row r="78" spans="1:42" ht="15.9">
      <c r="A78" s="1" t="s">
        <v>155</v>
      </c>
      <c r="B78" s="1" t="s">
        <v>73</v>
      </c>
      <c r="C78" s="290" t="s">
        <v>29</v>
      </c>
      <c r="D78" s="161" t="e">
        <f>#REF!</f>
        <v>#REF!</v>
      </c>
      <c r="E78" s="386" t="s">
        <v>66</v>
      </c>
      <c r="F78" s="36" t="s">
        <v>66</v>
      </c>
      <c r="G78" s="36" t="s">
        <v>66</v>
      </c>
      <c r="H78" s="32" t="s">
        <v>75</v>
      </c>
      <c r="I78" s="32" t="s">
        <v>75</v>
      </c>
      <c r="J78" s="32" t="s">
        <v>75</v>
      </c>
      <c r="K78" s="32" t="s">
        <v>75</v>
      </c>
      <c r="L78" s="36"/>
      <c r="M78" s="36"/>
      <c r="N78" s="297"/>
      <c r="O78" s="297"/>
      <c r="P78" s="297"/>
      <c r="Q78" s="297"/>
      <c r="R78" s="297"/>
      <c r="S78" s="36"/>
      <c r="T78" s="36"/>
      <c r="U78" s="297"/>
      <c r="V78" s="297" t="s">
        <v>113</v>
      </c>
      <c r="W78" s="297"/>
      <c r="X78" s="297" t="s">
        <v>83</v>
      </c>
      <c r="Y78" s="297" t="s">
        <v>83</v>
      </c>
      <c r="Z78" s="36" t="s">
        <v>66</v>
      </c>
      <c r="AA78" s="36" t="s">
        <v>66</v>
      </c>
      <c r="AB78" s="297" t="s">
        <v>83</v>
      </c>
      <c r="AC78" s="297" t="s">
        <v>83</v>
      </c>
      <c r="AD78" s="297"/>
      <c r="AE78" s="297"/>
      <c r="AF78" s="297" t="s">
        <v>75</v>
      </c>
      <c r="AG78" s="36" t="s">
        <v>66</v>
      </c>
      <c r="AH78" s="36" t="s">
        <v>66</v>
      </c>
      <c r="AI78" s="387" t="s">
        <v>75</v>
      </c>
      <c r="AJ78" s="26" t="e">
        <f>_xlfn.CONCAT(#REF!,#REF!)</f>
        <v>#REF!</v>
      </c>
      <c r="AK78" s="27" t="e">
        <f t="shared" si="15"/>
        <v>#REF!</v>
      </c>
      <c r="AL78" s="28">
        <f t="shared" si="11"/>
        <v>24</v>
      </c>
      <c r="AM78">
        <f t="shared" si="12"/>
        <v>0</v>
      </c>
      <c r="AN78" s="29">
        <f t="shared" si="13"/>
        <v>80</v>
      </c>
      <c r="AO78" s="1">
        <f t="shared" si="16"/>
        <v>0</v>
      </c>
    </row>
    <row r="79" spans="1:42" ht="15.9">
      <c r="A79" s="1" t="s">
        <v>155</v>
      </c>
      <c r="B79" s="1" t="s">
        <v>59</v>
      </c>
      <c r="C79" s="290" t="s">
        <v>30</v>
      </c>
      <c r="D79" s="161" t="e">
        <f>#REF!</f>
        <v>#REF!</v>
      </c>
      <c r="E79" s="386"/>
      <c r="F79" s="36"/>
      <c r="G79" s="36"/>
      <c r="H79" s="32"/>
      <c r="I79" s="32"/>
      <c r="J79" s="32"/>
      <c r="K79" s="32"/>
      <c r="L79" s="36"/>
      <c r="M79" s="36"/>
      <c r="N79" s="297">
        <v>8</v>
      </c>
      <c r="O79" s="297">
        <v>17</v>
      </c>
      <c r="P79" s="297" t="s">
        <v>95</v>
      </c>
      <c r="Q79" s="297" t="s">
        <v>95</v>
      </c>
      <c r="R79" s="297" t="s">
        <v>95</v>
      </c>
      <c r="S79" s="207" t="s">
        <v>95</v>
      </c>
      <c r="T79" s="207" t="s">
        <v>95</v>
      </c>
      <c r="U79" s="337" t="s">
        <v>95</v>
      </c>
      <c r="V79" s="337">
        <v>11</v>
      </c>
      <c r="W79" s="337"/>
      <c r="X79" s="337"/>
      <c r="Y79" s="337"/>
      <c r="Z79" s="207"/>
      <c r="AA79" s="207"/>
      <c r="AB79" s="337"/>
      <c r="AC79" s="337"/>
      <c r="AD79" s="337"/>
      <c r="AE79" s="337"/>
      <c r="AF79" s="337"/>
      <c r="AG79" s="207"/>
      <c r="AH79" s="207"/>
      <c r="AI79" s="395"/>
      <c r="AJ79" s="26" t="e">
        <f>_xlfn.CONCAT(#REF!,#REF!)</f>
        <v>#REF!</v>
      </c>
      <c r="AK79" s="27" t="e">
        <f t="shared" si="15"/>
        <v>#REF!</v>
      </c>
      <c r="AL79" s="28">
        <f t="shared" si="11"/>
        <v>0</v>
      </c>
      <c r="AM79">
        <f t="shared" si="12"/>
        <v>144</v>
      </c>
      <c r="AN79" s="29">
        <f t="shared" si="13"/>
        <v>36</v>
      </c>
      <c r="AO79" s="1">
        <f t="shared" si="16"/>
        <v>0</v>
      </c>
    </row>
    <row r="80" spans="1:42" ht="15.9">
      <c r="A80" s="1" t="s">
        <v>155</v>
      </c>
      <c r="B80" s="1" t="s">
        <v>73</v>
      </c>
      <c r="C80" s="290" t="s">
        <v>31</v>
      </c>
      <c r="D80" s="161" t="e">
        <f>#REF!</f>
        <v>#REF!</v>
      </c>
      <c r="E80" s="386" t="s">
        <v>62</v>
      </c>
      <c r="F80" s="36" t="s">
        <v>62</v>
      </c>
      <c r="G80" s="36" t="s">
        <v>62</v>
      </c>
      <c r="H80" s="32">
        <v>13.5</v>
      </c>
      <c r="I80" s="32"/>
      <c r="J80" s="32"/>
      <c r="K80" s="32"/>
      <c r="L80" s="36"/>
      <c r="M80" s="36"/>
      <c r="N80" s="297" t="s">
        <v>83</v>
      </c>
      <c r="O80" s="297" t="s">
        <v>83</v>
      </c>
      <c r="P80" s="297" t="s">
        <v>83</v>
      </c>
      <c r="Q80" s="297" t="s">
        <v>83</v>
      </c>
      <c r="R80" s="338" t="s">
        <v>83</v>
      </c>
      <c r="S80" s="704"/>
      <c r="T80" s="704"/>
      <c r="U80" s="704"/>
      <c r="V80" s="704"/>
      <c r="W80" s="704"/>
      <c r="X80" s="704"/>
      <c r="Y80" s="704"/>
      <c r="Z80" s="704"/>
      <c r="AA80" s="704"/>
      <c r="AB80" s="704"/>
      <c r="AC80" s="704"/>
      <c r="AD80" s="704"/>
      <c r="AE80" s="704"/>
      <c r="AF80" s="704"/>
      <c r="AG80" s="704"/>
      <c r="AH80" s="704"/>
      <c r="AI80" s="704"/>
      <c r="AJ80" s="26" t="e">
        <f>_xlfn.CONCAT(#REF!,#REF!)</f>
        <v>#REF!</v>
      </c>
      <c r="AK80" s="391" t="e">
        <f t="shared" si="15"/>
        <v>#REF!</v>
      </c>
      <c r="AL80" s="28">
        <f t="shared" si="11"/>
        <v>0</v>
      </c>
      <c r="AM80">
        <f t="shared" si="12"/>
        <v>72</v>
      </c>
      <c r="AN80" s="29">
        <f t="shared" si="13"/>
        <v>53.5</v>
      </c>
      <c r="AO80" s="1">
        <f t="shared" si="16"/>
        <v>0</v>
      </c>
      <c r="AP80" s="392">
        <v>107</v>
      </c>
    </row>
    <row r="81" spans="1:42" ht="15.9">
      <c r="A81" s="1" t="s">
        <v>157</v>
      </c>
      <c r="B81" s="1" t="s">
        <v>64</v>
      </c>
      <c r="C81" s="292" t="s">
        <v>32</v>
      </c>
      <c r="D81" s="161" t="e">
        <f>#REF!</f>
        <v>#REF!</v>
      </c>
      <c r="E81" s="386">
        <v>8</v>
      </c>
      <c r="F81" s="36"/>
      <c r="G81" s="36"/>
      <c r="H81" s="32">
        <v>7.5</v>
      </c>
      <c r="I81" s="32"/>
      <c r="J81" s="32">
        <v>8</v>
      </c>
      <c r="K81" s="32" t="s">
        <v>113</v>
      </c>
      <c r="L81" s="36"/>
      <c r="M81" s="36"/>
      <c r="N81" s="297" t="s">
        <v>113</v>
      </c>
      <c r="O81" s="297"/>
      <c r="P81" s="297"/>
      <c r="Q81" s="297"/>
      <c r="R81" s="297">
        <v>7.5</v>
      </c>
      <c r="S81" s="208"/>
      <c r="T81" s="208"/>
      <c r="U81" s="339" t="s">
        <v>113</v>
      </c>
      <c r="V81" s="339"/>
      <c r="W81" s="339"/>
      <c r="X81" s="339"/>
      <c r="Y81" s="339">
        <v>16</v>
      </c>
      <c r="Z81" s="208" t="s">
        <v>154</v>
      </c>
      <c r="AA81" s="208" t="s">
        <v>154</v>
      </c>
      <c r="AB81" s="339" t="s">
        <v>154</v>
      </c>
      <c r="AC81" s="339" t="s">
        <v>153</v>
      </c>
      <c r="AD81" s="339"/>
      <c r="AE81" s="339"/>
      <c r="AF81" s="339"/>
      <c r="AG81" s="208"/>
      <c r="AH81" s="208"/>
      <c r="AI81" s="405"/>
      <c r="AJ81" s="26" t="e">
        <f>_xlfn.CONCAT(#REF!,#REF!)</f>
        <v>#REF!</v>
      </c>
      <c r="AK81" s="27" t="e">
        <f t="shared" si="15"/>
        <v>#REF!</v>
      </c>
      <c r="AL81" s="28">
        <f t="shared" si="11"/>
        <v>72</v>
      </c>
      <c r="AM81">
        <f t="shared" si="12"/>
        <v>84</v>
      </c>
      <c r="AN81" s="29">
        <f t="shared" si="13"/>
        <v>47</v>
      </c>
      <c r="AO81" s="1">
        <f t="shared" si="16"/>
        <v>0</v>
      </c>
    </row>
    <row r="82" spans="1:42" ht="15.9">
      <c r="A82" s="1" t="s">
        <v>155</v>
      </c>
      <c r="B82" s="1" t="s">
        <v>73</v>
      </c>
      <c r="C82" s="298" t="s">
        <v>33</v>
      </c>
      <c r="D82" s="161" t="e">
        <f>#REF!</f>
        <v>#REF!</v>
      </c>
      <c r="E82" s="388"/>
      <c r="F82" s="207"/>
      <c r="G82" s="207"/>
      <c r="H82" s="37">
        <v>17</v>
      </c>
      <c r="I82" s="32" t="s">
        <v>62</v>
      </c>
      <c r="J82" s="32" t="s">
        <v>62</v>
      </c>
      <c r="K82" s="32">
        <v>15</v>
      </c>
      <c r="L82" s="36" t="s">
        <v>320</v>
      </c>
      <c r="M82" s="36" t="s">
        <v>66</v>
      </c>
      <c r="N82" s="297"/>
      <c r="O82" s="297">
        <v>1</v>
      </c>
      <c r="P82" s="297"/>
      <c r="Q82" s="297"/>
      <c r="R82" s="297"/>
      <c r="S82" s="36"/>
      <c r="T82" s="36"/>
      <c r="U82" s="297">
        <v>8</v>
      </c>
      <c r="V82" s="297" t="s">
        <v>99</v>
      </c>
      <c r="W82" s="297" t="s">
        <v>99</v>
      </c>
      <c r="X82" s="297">
        <v>20.5</v>
      </c>
      <c r="Y82" s="297"/>
      <c r="Z82" s="36"/>
      <c r="AA82" s="36"/>
      <c r="AB82" s="297">
        <v>8</v>
      </c>
      <c r="AC82" s="297">
        <v>8</v>
      </c>
      <c r="AD82" s="297">
        <v>8</v>
      </c>
      <c r="AE82" s="297">
        <v>8</v>
      </c>
      <c r="AF82" s="297">
        <v>8</v>
      </c>
      <c r="AG82" s="36"/>
      <c r="AH82" s="36"/>
      <c r="AI82" s="387"/>
      <c r="AJ82" s="26" t="e">
        <f>_xlfn.CONCAT(#REF!,#REF!)</f>
        <v>#REF!</v>
      </c>
      <c r="AK82" s="27" t="e">
        <f t="shared" si="15"/>
        <v>#REF!</v>
      </c>
      <c r="AL82" s="28">
        <f t="shared" si="11"/>
        <v>0</v>
      </c>
      <c r="AM82">
        <f t="shared" si="12"/>
        <v>96</v>
      </c>
      <c r="AN82" s="29">
        <f t="shared" si="13"/>
        <v>101.5</v>
      </c>
      <c r="AO82" s="1">
        <f t="shared" si="16"/>
        <v>0</v>
      </c>
    </row>
    <row r="83" spans="1:42" ht="15.9">
      <c r="A83" s="1" t="s">
        <v>152</v>
      </c>
      <c r="B83" s="1" t="s">
        <v>64</v>
      </c>
      <c r="C83" s="292" t="s">
        <v>34</v>
      </c>
      <c r="D83" s="161" t="e">
        <f>#REF!</f>
        <v>#REF!</v>
      </c>
      <c r="E83" s="709"/>
      <c r="F83" s="709"/>
      <c r="G83" s="709"/>
      <c r="H83" s="709"/>
      <c r="I83" s="48">
        <v>8</v>
      </c>
      <c r="J83" s="32">
        <v>8</v>
      </c>
      <c r="K83" s="32" t="s">
        <v>113</v>
      </c>
      <c r="L83" s="36"/>
      <c r="M83" s="36"/>
      <c r="N83" s="297" t="s">
        <v>83</v>
      </c>
      <c r="O83" s="297" t="s">
        <v>83</v>
      </c>
      <c r="P83" s="297" t="s">
        <v>83</v>
      </c>
      <c r="Q83" s="297" t="s">
        <v>83</v>
      </c>
      <c r="R83" s="297" t="s">
        <v>83</v>
      </c>
      <c r="S83" s="36" t="s">
        <v>66</v>
      </c>
      <c r="T83" s="36" t="s">
        <v>66</v>
      </c>
      <c r="U83" s="297" t="s">
        <v>83</v>
      </c>
      <c r="V83" s="297" t="s">
        <v>83</v>
      </c>
      <c r="W83" s="297" t="s">
        <v>83</v>
      </c>
      <c r="X83" s="297" t="s">
        <v>83</v>
      </c>
      <c r="Y83" s="297"/>
      <c r="Z83" s="36"/>
      <c r="AA83" s="36"/>
      <c r="AB83" s="297" t="s">
        <v>113</v>
      </c>
      <c r="AC83" s="297"/>
      <c r="AD83" s="297"/>
      <c r="AE83" s="297"/>
      <c r="AF83" s="297"/>
      <c r="AG83" s="36" t="s">
        <v>113</v>
      </c>
      <c r="AH83" s="36"/>
      <c r="AI83" s="387"/>
      <c r="AJ83" s="26" t="e">
        <f>_xlfn.CONCAT(#REF!,#REF!)</f>
        <v>#REF!</v>
      </c>
      <c r="AK83" s="27" t="e">
        <f t="shared" si="15"/>
        <v>#REF!</v>
      </c>
      <c r="AL83" s="28">
        <f t="shared" ref="AL83:AL101" si="17">COUNTIF(E83:AI83,"D")*24+COUNTIF(E83:AI83,"12g")*12</f>
        <v>72</v>
      </c>
      <c r="AM83">
        <f t="shared" ref="AM83:AM101" si="18">SUM(COUNTIF(E83:AI83,"k")+COUNTIF(E83:AI83,"s")+COUNTIF(E83:AI83,"wse"))*24+SUM(COUNTIF(E83:AI83,"Pk")+COUNTIF(E83:AI83,"Ps"))*12</f>
        <v>0</v>
      </c>
      <c r="AN83" s="29">
        <f t="shared" ref="AN83:AN101" si="19">SUM(E83:AI83)+COUNTIF(E83:AI83,"uw")*8+COUNTIF(E83:AI83,"us")*8+COUNTIF(E83:AI83,"uz")*8</f>
        <v>88</v>
      </c>
      <c r="AO83" s="1">
        <f t="shared" si="16"/>
        <v>0</v>
      </c>
      <c r="AP83" s="1">
        <v>14</v>
      </c>
    </row>
    <row r="84" spans="1:42" ht="15.9">
      <c r="A84" s="1" t="s">
        <v>156</v>
      </c>
      <c r="B84" s="1" t="s">
        <v>64</v>
      </c>
      <c r="C84" s="292" t="s">
        <v>35</v>
      </c>
      <c r="D84" s="161" t="e">
        <f>#REF!</f>
        <v>#REF!</v>
      </c>
      <c r="E84" s="393">
        <v>11.5</v>
      </c>
      <c r="F84" s="208"/>
      <c r="G84" s="208"/>
      <c r="H84" s="41"/>
      <c r="I84" s="32"/>
      <c r="J84" s="32"/>
      <c r="K84" s="32">
        <v>10.5</v>
      </c>
      <c r="L84" s="36"/>
      <c r="M84" s="36"/>
      <c r="N84" s="297"/>
      <c r="O84" s="297"/>
      <c r="P84" s="297" t="s">
        <v>59</v>
      </c>
      <c r="Q84" s="297"/>
      <c r="R84" s="297"/>
      <c r="S84" s="36"/>
      <c r="T84" s="36" t="s">
        <v>113</v>
      </c>
      <c r="U84" s="297"/>
      <c r="V84" s="297"/>
      <c r="W84" s="297"/>
      <c r="X84" s="297"/>
      <c r="Y84" s="297" t="s">
        <v>113</v>
      </c>
      <c r="Z84" s="36"/>
      <c r="AA84" s="36"/>
      <c r="AB84" s="297" t="s">
        <v>75</v>
      </c>
      <c r="AC84" s="297" t="s">
        <v>75</v>
      </c>
      <c r="AD84" s="297" t="s">
        <v>75</v>
      </c>
      <c r="AE84" s="297" t="s">
        <v>75</v>
      </c>
      <c r="AF84" s="297" t="s">
        <v>75</v>
      </c>
      <c r="AG84" s="36" t="s">
        <v>66</v>
      </c>
      <c r="AH84" s="36" t="s">
        <v>66</v>
      </c>
      <c r="AI84" s="387" t="s">
        <v>75</v>
      </c>
      <c r="AJ84" s="26" t="e">
        <f>_xlfn.CONCAT(#REF!,#REF!)</f>
        <v>#REF!</v>
      </c>
      <c r="AK84" s="27" t="e">
        <f t="shared" si="15"/>
        <v>#REF!</v>
      </c>
      <c r="AL84" s="28">
        <f t="shared" si="17"/>
        <v>72</v>
      </c>
      <c r="AM84">
        <f t="shared" si="18"/>
        <v>0</v>
      </c>
      <c r="AN84" s="29">
        <f t="shared" si="19"/>
        <v>70</v>
      </c>
      <c r="AO84" s="1">
        <f t="shared" si="16"/>
        <v>0</v>
      </c>
    </row>
    <row r="85" spans="1:42" ht="15.9">
      <c r="A85" s="1" t="s">
        <v>156</v>
      </c>
      <c r="B85" s="1" t="s">
        <v>59</v>
      </c>
      <c r="C85" s="292" t="s">
        <v>36</v>
      </c>
      <c r="D85" s="161" t="e">
        <f>#REF!</f>
        <v>#REF!</v>
      </c>
      <c r="E85" s="386"/>
      <c r="F85" s="36"/>
      <c r="G85" s="36"/>
      <c r="H85" s="32">
        <v>17</v>
      </c>
      <c r="I85" s="32" t="s">
        <v>95</v>
      </c>
      <c r="J85" s="32" t="s">
        <v>95</v>
      </c>
      <c r="K85" s="32" t="s">
        <v>95</v>
      </c>
      <c r="L85" s="36" t="s">
        <v>95</v>
      </c>
      <c r="M85" s="36" t="s">
        <v>95</v>
      </c>
      <c r="N85" s="297" t="s">
        <v>95</v>
      </c>
      <c r="O85" s="297">
        <v>11</v>
      </c>
      <c r="P85" s="297"/>
      <c r="Q85" s="297" t="s">
        <v>75</v>
      </c>
      <c r="R85" s="297" t="s">
        <v>75</v>
      </c>
      <c r="S85" s="36" t="s">
        <v>66</v>
      </c>
      <c r="T85" s="36" t="s">
        <v>66</v>
      </c>
      <c r="U85" s="297" t="s">
        <v>75</v>
      </c>
      <c r="V85" s="297" t="s">
        <v>75</v>
      </c>
      <c r="W85" s="297" t="s">
        <v>75</v>
      </c>
      <c r="X85" s="297"/>
      <c r="Y85" s="297"/>
      <c r="Z85" s="36"/>
      <c r="AA85" s="36" t="s">
        <v>113</v>
      </c>
      <c r="AB85" s="297"/>
      <c r="AC85" s="297"/>
      <c r="AD85" s="297"/>
      <c r="AE85" s="297"/>
      <c r="AF85" s="297"/>
      <c r="AG85" s="36"/>
      <c r="AH85" s="36"/>
      <c r="AI85" s="387"/>
      <c r="AJ85" s="26" t="e">
        <f>_xlfn.CONCAT(#REF!,#REF!)</f>
        <v>#REF!</v>
      </c>
      <c r="AK85" s="27" t="e">
        <f t="shared" si="15"/>
        <v>#REF!</v>
      </c>
      <c r="AL85" s="28">
        <f t="shared" si="17"/>
        <v>24</v>
      </c>
      <c r="AM85">
        <f t="shared" si="18"/>
        <v>144</v>
      </c>
      <c r="AN85" s="29">
        <f t="shared" si="19"/>
        <v>68</v>
      </c>
      <c r="AO85" s="1">
        <f t="shared" si="16"/>
        <v>0</v>
      </c>
    </row>
    <row r="86" spans="1:42" ht="15.9">
      <c r="A86" s="1" t="s">
        <v>152</v>
      </c>
      <c r="B86" s="1" t="s">
        <v>93</v>
      </c>
      <c r="C86" s="291" t="s">
        <v>37</v>
      </c>
      <c r="D86" s="161" t="e">
        <f>#REF!</f>
        <v>#REF!</v>
      </c>
      <c r="E86" s="386"/>
      <c r="F86" s="36"/>
      <c r="G86" s="36"/>
      <c r="H86" s="32">
        <v>8</v>
      </c>
      <c r="I86" s="32"/>
      <c r="J86" s="231">
        <v>10</v>
      </c>
      <c r="K86" s="231" t="s">
        <v>98</v>
      </c>
      <c r="L86" s="36" t="s">
        <v>98</v>
      </c>
      <c r="M86" s="36">
        <v>19</v>
      </c>
      <c r="N86" s="297"/>
      <c r="O86" s="297"/>
      <c r="P86" s="297"/>
      <c r="Q86" s="297"/>
      <c r="R86" s="297">
        <v>7</v>
      </c>
      <c r="S86" s="36"/>
      <c r="T86" s="36"/>
      <c r="U86" s="297">
        <v>14</v>
      </c>
      <c r="V86" s="297" t="s">
        <v>98</v>
      </c>
      <c r="W86" s="297" t="s">
        <v>98</v>
      </c>
      <c r="X86" s="297">
        <v>21</v>
      </c>
      <c r="Y86" s="297"/>
      <c r="Z86" s="36"/>
      <c r="AA86" s="36"/>
      <c r="AB86" s="297" t="s">
        <v>83</v>
      </c>
      <c r="AC86" s="297" t="s">
        <v>83</v>
      </c>
      <c r="AD86" s="297" t="s">
        <v>83</v>
      </c>
      <c r="AE86" s="297" t="s">
        <v>83</v>
      </c>
      <c r="AF86" s="297" t="s">
        <v>83</v>
      </c>
      <c r="AG86" s="36"/>
      <c r="AH86" s="36"/>
      <c r="AI86" s="387"/>
      <c r="AJ86" s="26" t="e">
        <f>_xlfn.CONCAT(#REF!,#REF!)</f>
        <v>#REF!</v>
      </c>
      <c r="AK86" s="27" t="e">
        <f t="shared" si="15"/>
        <v>#REF!</v>
      </c>
      <c r="AL86" s="28">
        <f t="shared" si="17"/>
        <v>0</v>
      </c>
      <c r="AM86">
        <f t="shared" si="18"/>
        <v>96</v>
      </c>
      <c r="AN86" s="29">
        <f t="shared" si="19"/>
        <v>119</v>
      </c>
      <c r="AO86" s="1">
        <f t="shared" si="16"/>
        <v>0</v>
      </c>
    </row>
    <row r="87" spans="1:42" ht="15.9">
      <c r="A87" s="1" t="s">
        <v>152</v>
      </c>
      <c r="B87" s="1" t="s">
        <v>64</v>
      </c>
      <c r="C87" s="291" t="s">
        <v>38</v>
      </c>
      <c r="D87" s="161" t="e">
        <f>#REF!</f>
        <v>#REF!</v>
      </c>
      <c r="E87" s="386"/>
      <c r="F87" s="36"/>
      <c r="G87" s="36"/>
      <c r="H87" s="32"/>
      <c r="I87" s="32"/>
      <c r="J87" s="231">
        <v>11.5</v>
      </c>
      <c r="K87" s="231" t="s">
        <v>98</v>
      </c>
      <c r="L87" s="36" t="s">
        <v>98</v>
      </c>
      <c r="M87" s="36">
        <v>19</v>
      </c>
      <c r="N87" s="297"/>
      <c r="O87" s="297"/>
      <c r="P87" s="297"/>
      <c r="Q87" s="297"/>
      <c r="R87" s="297"/>
      <c r="S87" s="36"/>
      <c r="T87" s="36"/>
      <c r="U87" s="297">
        <v>17</v>
      </c>
      <c r="V87" s="297" t="s">
        <v>70</v>
      </c>
      <c r="W87" s="297" t="s">
        <v>70</v>
      </c>
      <c r="X87" s="297" t="s">
        <v>70</v>
      </c>
      <c r="Y87" s="297">
        <v>16</v>
      </c>
      <c r="Z87" s="36"/>
      <c r="AA87" s="36"/>
      <c r="AB87" s="297">
        <v>8</v>
      </c>
      <c r="AC87" s="297">
        <v>8</v>
      </c>
      <c r="AD87" s="297">
        <v>8</v>
      </c>
      <c r="AE87" s="297">
        <v>8</v>
      </c>
      <c r="AF87" s="297">
        <v>8</v>
      </c>
      <c r="AG87" s="36"/>
      <c r="AH87" s="36"/>
      <c r="AI87" s="387">
        <v>16</v>
      </c>
      <c r="AJ87" s="26" t="e">
        <f>_xlfn.CONCAT(#REF!,#REF!)</f>
        <v>#REF!</v>
      </c>
      <c r="AK87" s="27" t="e">
        <f t="shared" si="15"/>
        <v>#REF!</v>
      </c>
      <c r="AL87" s="28">
        <f t="shared" si="17"/>
        <v>0</v>
      </c>
      <c r="AM87">
        <f t="shared" si="18"/>
        <v>120</v>
      </c>
      <c r="AN87" s="29">
        <f t="shared" si="19"/>
        <v>119.5</v>
      </c>
      <c r="AO87" s="1">
        <f t="shared" si="16"/>
        <v>0</v>
      </c>
    </row>
    <row r="88" spans="1:42" ht="15.9">
      <c r="A88" s="1" t="s">
        <v>155</v>
      </c>
      <c r="B88" s="1" t="s">
        <v>93</v>
      </c>
      <c r="C88" s="290" t="s">
        <v>39</v>
      </c>
      <c r="D88" s="161" t="e">
        <f>#REF!</f>
        <v>#REF!</v>
      </c>
      <c r="E88" s="386" t="s">
        <v>95</v>
      </c>
      <c r="F88" s="36" t="s">
        <v>95</v>
      </c>
      <c r="G88" s="36" t="s">
        <v>95</v>
      </c>
      <c r="H88" s="32">
        <v>12</v>
      </c>
      <c r="I88" s="32"/>
      <c r="J88" s="32"/>
      <c r="K88" s="32"/>
      <c r="L88" s="36"/>
      <c r="M88" s="36"/>
      <c r="N88" s="297"/>
      <c r="O88" s="297" t="s">
        <v>113</v>
      </c>
      <c r="P88" s="297"/>
      <c r="Q88" s="297">
        <v>4</v>
      </c>
      <c r="R88" s="297"/>
      <c r="S88" s="36"/>
      <c r="T88" s="36"/>
      <c r="U88" s="297"/>
      <c r="V88" s="297"/>
      <c r="W88" s="297">
        <v>7</v>
      </c>
      <c r="X88" s="297"/>
      <c r="Y88" s="297"/>
      <c r="Z88" s="36"/>
      <c r="AA88" s="36"/>
      <c r="AB88" s="297"/>
      <c r="AC88" s="297"/>
      <c r="AD88" s="297"/>
      <c r="AE88" s="297"/>
      <c r="AF88" s="297"/>
      <c r="AG88" s="36"/>
      <c r="AH88" s="36"/>
      <c r="AI88" s="387"/>
      <c r="AJ88" s="26" t="e">
        <f>_xlfn.CONCAT(#REF!,#REF!)</f>
        <v>#REF!</v>
      </c>
      <c r="AK88" s="27" t="e">
        <f t="shared" si="15"/>
        <v>#REF!</v>
      </c>
      <c r="AL88" s="28">
        <f t="shared" si="17"/>
        <v>24</v>
      </c>
      <c r="AM88">
        <f t="shared" si="18"/>
        <v>72</v>
      </c>
      <c r="AN88" s="29">
        <f t="shared" si="19"/>
        <v>23</v>
      </c>
      <c r="AO88" s="1">
        <f t="shared" si="16"/>
        <v>0</v>
      </c>
    </row>
    <row r="89" spans="1:42" ht="15.9">
      <c r="A89" s="1" t="s">
        <v>155</v>
      </c>
      <c r="B89" s="1" t="s">
        <v>64</v>
      </c>
      <c r="C89" s="290" t="s">
        <v>40</v>
      </c>
      <c r="D89" s="161" t="e">
        <f>#REF!</f>
        <v>#REF!</v>
      </c>
      <c r="E89" s="386"/>
      <c r="F89" s="36"/>
      <c r="G89" s="36"/>
      <c r="H89" s="32">
        <v>13</v>
      </c>
      <c r="I89" s="32" t="s">
        <v>95</v>
      </c>
      <c r="J89" s="32" t="s">
        <v>95</v>
      </c>
      <c r="K89" s="32" t="s">
        <v>95</v>
      </c>
      <c r="L89" s="36" t="s">
        <v>95</v>
      </c>
      <c r="M89" s="36" t="s">
        <v>95</v>
      </c>
      <c r="N89" s="297" t="s">
        <v>95</v>
      </c>
      <c r="O89" s="297">
        <v>15</v>
      </c>
      <c r="P89" s="297"/>
      <c r="Q89" s="297"/>
      <c r="R89" s="297"/>
      <c r="S89" s="36"/>
      <c r="T89" s="36"/>
      <c r="U89" s="297"/>
      <c r="V89" s="297"/>
      <c r="W89" s="297"/>
      <c r="X89" s="297"/>
      <c r="Y89" s="297"/>
      <c r="Z89" s="36"/>
      <c r="AA89" s="36"/>
      <c r="AB89" s="297">
        <v>8</v>
      </c>
      <c r="AC89" s="297" t="s">
        <v>92</v>
      </c>
      <c r="AD89" s="297" t="s">
        <v>95</v>
      </c>
      <c r="AE89" s="297" t="s">
        <v>95</v>
      </c>
      <c r="AF89" s="297" t="s">
        <v>95</v>
      </c>
      <c r="AG89" s="36" t="s">
        <v>95</v>
      </c>
      <c r="AH89" s="36" t="s">
        <v>95</v>
      </c>
      <c r="AI89" s="387" t="s">
        <v>95</v>
      </c>
      <c r="AJ89" s="26" t="e">
        <f>_xlfn.CONCAT(#REF!,#REF!)</f>
        <v>#REF!</v>
      </c>
      <c r="AK89" s="27" t="e">
        <f t="shared" si="15"/>
        <v>#REF!</v>
      </c>
      <c r="AL89" s="28">
        <f t="shared" si="17"/>
        <v>0</v>
      </c>
      <c r="AM89">
        <f t="shared" si="18"/>
        <v>300</v>
      </c>
      <c r="AN89" s="29">
        <f t="shared" si="19"/>
        <v>36</v>
      </c>
      <c r="AO89" s="1">
        <f t="shared" si="16"/>
        <v>0</v>
      </c>
    </row>
    <row r="90" spans="1:42" ht="15.9">
      <c r="A90" s="1" t="s">
        <v>58</v>
      </c>
      <c r="B90" s="1" t="s">
        <v>64</v>
      </c>
      <c r="C90" s="290" t="s">
        <v>41</v>
      </c>
      <c r="D90" s="161" t="e">
        <f>#REF!</f>
        <v>#REF!</v>
      </c>
      <c r="E90" s="386" t="s">
        <v>95</v>
      </c>
      <c r="F90" s="36" t="s">
        <v>95</v>
      </c>
      <c r="G90" s="36" t="s">
        <v>95</v>
      </c>
      <c r="H90" s="32">
        <v>12</v>
      </c>
      <c r="I90" s="32"/>
      <c r="J90" s="32"/>
      <c r="K90" s="32"/>
      <c r="L90" s="36"/>
      <c r="M90" s="36"/>
      <c r="N90" s="297"/>
      <c r="O90" s="297"/>
      <c r="P90" s="297"/>
      <c r="Q90" s="297"/>
      <c r="R90" s="297" t="s">
        <v>75</v>
      </c>
      <c r="S90" s="36" t="s">
        <v>66</v>
      </c>
      <c r="T90" s="36" t="s">
        <v>66</v>
      </c>
      <c r="U90" s="297" t="s">
        <v>75</v>
      </c>
      <c r="V90" s="297" t="s">
        <v>75</v>
      </c>
      <c r="W90" s="297" t="s">
        <v>75</v>
      </c>
      <c r="X90" s="297" t="s">
        <v>75</v>
      </c>
      <c r="Y90" s="297" t="s">
        <v>75</v>
      </c>
      <c r="Z90" s="36" t="s">
        <v>66</v>
      </c>
      <c r="AA90" s="36" t="s">
        <v>66</v>
      </c>
      <c r="AB90" s="297" t="s">
        <v>75</v>
      </c>
      <c r="AC90" s="297" t="s">
        <v>75</v>
      </c>
      <c r="AD90" s="297" t="s">
        <v>75</v>
      </c>
      <c r="AE90" s="297" t="s">
        <v>75</v>
      </c>
      <c r="AF90" s="297" t="s">
        <v>75</v>
      </c>
      <c r="AG90" s="36" t="s">
        <v>66</v>
      </c>
      <c r="AH90" s="36" t="s">
        <v>66</v>
      </c>
      <c r="AI90" s="387" t="s">
        <v>75</v>
      </c>
      <c r="AJ90" s="26" t="e">
        <f>_xlfn.CONCAT(#REF!,#REF!)</f>
        <v>#REF!</v>
      </c>
      <c r="AK90" s="27" t="e">
        <f t="shared" si="15"/>
        <v>#REF!</v>
      </c>
      <c r="AL90" s="28">
        <f t="shared" si="17"/>
        <v>0</v>
      </c>
      <c r="AM90">
        <f t="shared" si="18"/>
        <v>72</v>
      </c>
      <c r="AN90" s="29">
        <f t="shared" si="19"/>
        <v>108</v>
      </c>
      <c r="AO90" s="1">
        <f t="shared" si="16"/>
        <v>0</v>
      </c>
    </row>
    <row r="91" spans="1:42" ht="15.9">
      <c r="A91" s="1" t="s">
        <v>155</v>
      </c>
      <c r="B91" s="1" t="s">
        <v>93</v>
      </c>
      <c r="C91" s="290" t="s">
        <v>42</v>
      </c>
      <c r="D91" s="161" t="e">
        <f>#REF!</f>
        <v>#REF!</v>
      </c>
      <c r="E91" s="386"/>
      <c r="F91" s="36"/>
      <c r="G91" s="36"/>
      <c r="H91" s="32"/>
      <c r="I91" s="32"/>
      <c r="J91" s="32"/>
      <c r="K91" s="32" t="s">
        <v>113</v>
      </c>
      <c r="L91" s="36"/>
      <c r="M91" s="36"/>
      <c r="N91" s="297"/>
      <c r="O91" s="297">
        <v>17</v>
      </c>
      <c r="P91" s="297" t="s">
        <v>95</v>
      </c>
      <c r="Q91" s="297" t="s">
        <v>95</v>
      </c>
      <c r="R91" s="297" t="s">
        <v>95</v>
      </c>
      <c r="S91" s="207" t="s">
        <v>95</v>
      </c>
      <c r="T91" s="207" t="s">
        <v>95</v>
      </c>
      <c r="U91" s="337" t="s">
        <v>95</v>
      </c>
      <c r="V91" s="337">
        <v>12</v>
      </c>
      <c r="W91" s="337"/>
      <c r="X91" s="337"/>
      <c r="Y91" s="337"/>
      <c r="Z91" s="207"/>
      <c r="AA91" s="207"/>
      <c r="AB91" s="337">
        <v>8</v>
      </c>
      <c r="AC91" s="337">
        <v>8</v>
      </c>
      <c r="AD91" s="337">
        <v>8</v>
      </c>
      <c r="AE91" s="337">
        <v>8</v>
      </c>
      <c r="AF91" s="337">
        <v>8</v>
      </c>
      <c r="AG91" s="207"/>
      <c r="AH91" s="207"/>
      <c r="AI91" s="395"/>
      <c r="AJ91" s="26" t="e">
        <f>_xlfn.CONCAT(#REF!,#REF!)</f>
        <v>#REF!</v>
      </c>
      <c r="AK91" s="27" t="e">
        <f t="shared" si="15"/>
        <v>#REF!</v>
      </c>
      <c r="AL91" s="28">
        <f t="shared" si="17"/>
        <v>24</v>
      </c>
      <c r="AM91">
        <f t="shared" si="18"/>
        <v>144</v>
      </c>
      <c r="AN91" s="29">
        <f t="shared" si="19"/>
        <v>69</v>
      </c>
      <c r="AO91" s="1">
        <f t="shared" si="16"/>
        <v>0</v>
      </c>
    </row>
    <row r="92" spans="1:42" ht="15.9">
      <c r="A92" s="1" t="s">
        <v>155</v>
      </c>
      <c r="B92" s="1" t="s">
        <v>73</v>
      </c>
      <c r="C92" s="290" t="s">
        <v>43</v>
      </c>
      <c r="D92" s="161" t="e">
        <f>#REF!</f>
        <v>#REF!</v>
      </c>
      <c r="E92" s="386">
        <v>7.5</v>
      </c>
      <c r="F92" s="36"/>
      <c r="G92" s="36"/>
      <c r="H92" s="32"/>
      <c r="I92" s="32"/>
      <c r="J92" s="32"/>
      <c r="K92" s="32">
        <v>13.5</v>
      </c>
      <c r="L92" s="36"/>
      <c r="M92" s="36"/>
      <c r="N92" s="297"/>
      <c r="O92" s="297">
        <v>3</v>
      </c>
      <c r="P92" s="297"/>
      <c r="Q92" s="297">
        <v>10</v>
      </c>
      <c r="R92" s="338"/>
      <c r="S92" s="709"/>
      <c r="T92" s="709"/>
      <c r="U92" s="709"/>
      <c r="V92" s="709"/>
      <c r="W92" s="709"/>
      <c r="X92" s="709"/>
      <c r="Y92" s="709"/>
      <c r="Z92" s="709"/>
      <c r="AA92" s="709"/>
      <c r="AB92" s="709"/>
      <c r="AC92" s="709"/>
      <c r="AD92" s="709"/>
      <c r="AE92" s="709"/>
      <c r="AF92" s="709"/>
      <c r="AG92" s="709"/>
      <c r="AH92" s="709"/>
      <c r="AI92" s="709"/>
      <c r="AJ92" s="26" t="e">
        <f>_xlfn.CONCAT(#REF!,#REF!)</f>
        <v>#REF!</v>
      </c>
      <c r="AK92" s="391" t="e">
        <f t="shared" si="15"/>
        <v>#REF!</v>
      </c>
      <c r="AL92" s="28">
        <f t="shared" si="17"/>
        <v>0</v>
      </c>
      <c r="AM92">
        <f t="shared" si="18"/>
        <v>0</v>
      </c>
      <c r="AN92" s="29">
        <f t="shared" si="19"/>
        <v>34</v>
      </c>
      <c r="AO92" s="1">
        <f t="shared" si="16"/>
        <v>0</v>
      </c>
      <c r="AP92" s="392">
        <f>108.5</f>
        <v>108.5</v>
      </c>
    </row>
    <row r="93" spans="1:42" ht="15.9">
      <c r="A93" s="1" t="s">
        <v>152</v>
      </c>
      <c r="B93" s="1" t="s">
        <v>64</v>
      </c>
      <c r="C93" s="291" t="s">
        <v>44</v>
      </c>
      <c r="D93" s="161" t="e">
        <f>#REF!</f>
        <v>#REF!</v>
      </c>
      <c r="E93" s="386"/>
      <c r="F93" s="36"/>
      <c r="G93" s="36"/>
      <c r="H93" s="32"/>
      <c r="I93" s="32"/>
      <c r="J93" s="231">
        <v>12</v>
      </c>
      <c r="K93" s="231" t="s">
        <v>98</v>
      </c>
      <c r="L93" s="36" t="s">
        <v>98</v>
      </c>
      <c r="M93" s="36">
        <v>19</v>
      </c>
      <c r="N93" s="297"/>
      <c r="O93" s="297"/>
      <c r="P93" s="297"/>
      <c r="Q93" s="297" t="s">
        <v>59</v>
      </c>
      <c r="R93" s="297"/>
      <c r="S93" s="208"/>
      <c r="T93" s="208"/>
      <c r="U93" s="339">
        <v>8.5</v>
      </c>
      <c r="V93" s="339" t="s">
        <v>98</v>
      </c>
      <c r="W93" s="339" t="s">
        <v>98</v>
      </c>
      <c r="X93" s="339">
        <v>20.5</v>
      </c>
      <c r="Y93" s="339"/>
      <c r="Z93" s="208"/>
      <c r="AA93" s="208"/>
      <c r="AB93" s="339">
        <v>8</v>
      </c>
      <c r="AC93" s="339">
        <v>8</v>
      </c>
      <c r="AD93" s="339" t="s">
        <v>113</v>
      </c>
      <c r="AE93" s="339" t="s">
        <v>103</v>
      </c>
      <c r="AF93" s="339">
        <v>8</v>
      </c>
      <c r="AG93" s="208"/>
      <c r="AH93" s="208"/>
      <c r="AI93" s="405"/>
      <c r="AJ93" s="26" t="e">
        <f>_xlfn.CONCAT(#REF!,#REF!)</f>
        <v>#REF!</v>
      </c>
      <c r="AK93" s="27" t="e">
        <f t="shared" si="15"/>
        <v>#REF!</v>
      </c>
      <c r="AL93" s="28">
        <f t="shared" si="17"/>
        <v>48</v>
      </c>
      <c r="AM93">
        <f t="shared" si="18"/>
        <v>96</v>
      </c>
      <c r="AN93" s="29">
        <f t="shared" si="19"/>
        <v>84</v>
      </c>
      <c r="AO93" s="1">
        <f t="shared" si="16"/>
        <v>0</v>
      </c>
    </row>
    <row r="94" spans="1:42" ht="15.9">
      <c r="A94" s="1" t="s">
        <v>152</v>
      </c>
      <c r="B94" s="1" t="s">
        <v>73</v>
      </c>
      <c r="C94" s="291" t="s">
        <v>163</v>
      </c>
      <c r="D94" s="161" t="e">
        <f>#REF!</f>
        <v>#REF!</v>
      </c>
      <c r="E94" s="386"/>
      <c r="F94" s="36"/>
      <c r="G94" s="36"/>
      <c r="H94" s="32">
        <v>7</v>
      </c>
      <c r="I94" s="32">
        <v>4</v>
      </c>
      <c r="J94" s="231">
        <v>13</v>
      </c>
      <c r="K94" s="231" t="s">
        <v>98</v>
      </c>
      <c r="L94" s="36" t="s">
        <v>98</v>
      </c>
      <c r="M94" s="36">
        <v>19</v>
      </c>
      <c r="N94" s="297" t="s">
        <v>75</v>
      </c>
      <c r="O94" s="297" t="s">
        <v>75</v>
      </c>
      <c r="P94" s="297" t="s">
        <v>75</v>
      </c>
      <c r="Q94" s="297" t="s">
        <v>75</v>
      </c>
      <c r="R94" s="297" t="s">
        <v>75</v>
      </c>
      <c r="S94" s="36"/>
      <c r="T94" s="36"/>
      <c r="U94" s="297">
        <v>12</v>
      </c>
      <c r="V94" s="297" t="s">
        <v>98</v>
      </c>
      <c r="W94" s="297" t="s">
        <v>98</v>
      </c>
      <c r="X94" s="297">
        <v>20</v>
      </c>
      <c r="Y94" s="297"/>
      <c r="Z94" s="36"/>
      <c r="AA94" s="36"/>
      <c r="AB94" s="297">
        <v>8</v>
      </c>
      <c r="AC94" s="297" t="s">
        <v>113</v>
      </c>
      <c r="AD94" s="297"/>
      <c r="AE94" s="297">
        <v>9</v>
      </c>
      <c r="AF94" s="297">
        <v>8</v>
      </c>
      <c r="AG94" s="36"/>
      <c r="AH94" s="36"/>
      <c r="AI94" s="387"/>
      <c r="AJ94" s="26" t="e">
        <f>_xlfn.CONCAT(#REF!,#REF!)</f>
        <v>#REF!</v>
      </c>
      <c r="AK94" s="27" t="e">
        <f t="shared" si="15"/>
        <v>#REF!</v>
      </c>
      <c r="AL94" s="28">
        <f t="shared" si="17"/>
        <v>24</v>
      </c>
      <c r="AM94">
        <f t="shared" si="18"/>
        <v>96</v>
      </c>
      <c r="AN94" s="29">
        <f t="shared" si="19"/>
        <v>140</v>
      </c>
      <c r="AO94" s="1">
        <f t="shared" si="16"/>
        <v>0</v>
      </c>
    </row>
    <row r="95" spans="1:42" ht="15.9">
      <c r="A95" s="1" t="s">
        <v>152</v>
      </c>
      <c r="B95" s="1" t="s">
        <v>64</v>
      </c>
      <c r="C95" s="291" t="s">
        <v>45</v>
      </c>
      <c r="D95" s="161" t="e">
        <f>#REF!</f>
        <v>#REF!</v>
      </c>
      <c r="E95" s="386"/>
      <c r="F95" s="36"/>
      <c r="G95" s="36"/>
      <c r="H95" s="32"/>
      <c r="I95" s="32"/>
      <c r="J95" s="231">
        <v>13</v>
      </c>
      <c r="K95" s="231" t="s">
        <v>98</v>
      </c>
      <c r="L95" s="36" t="s">
        <v>98</v>
      </c>
      <c r="M95" s="36">
        <v>19</v>
      </c>
      <c r="N95" s="297"/>
      <c r="O95" s="297" t="s">
        <v>59</v>
      </c>
      <c r="P95" s="297"/>
      <c r="Q95" s="297"/>
      <c r="R95" s="297" t="s">
        <v>113</v>
      </c>
      <c r="S95" s="36"/>
      <c r="T95" s="36"/>
      <c r="U95" s="297"/>
      <c r="V95" s="297"/>
      <c r="W95" s="297"/>
      <c r="X95" s="297"/>
      <c r="Y95" s="297" t="s">
        <v>69</v>
      </c>
      <c r="Z95" s="36" t="s">
        <v>70</v>
      </c>
      <c r="AA95" s="36" t="s">
        <v>70</v>
      </c>
      <c r="AB95" s="297" t="s">
        <v>69</v>
      </c>
      <c r="AC95" s="297"/>
      <c r="AD95" s="297"/>
      <c r="AE95" s="297"/>
      <c r="AF95" s="297" t="s">
        <v>113</v>
      </c>
      <c r="AG95" s="36"/>
      <c r="AH95" s="36"/>
      <c r="AI95" s="387"/>
      <c r="AJ95" s="26" t="e">
        <f>_xlfn.CONCAT(#REF!,#REF!)</f>
        <v>#REF!</v>
      </c>
      <c r="AK95" s="27" t="e">
        <f t="shared" si="15"/>
        <v>#REF!</v>
      </c>
      <c r="AL95" s="28">
        <f t="shared" si="17"/>
        <v>72</v>
      </c>
      <c r="AM95">
        <f t="shared" si="18"/>
        <v>120</v>
      </c>
      <c r="AN95" s="29">
        <f t="shared" si="19"/>
        <v>32</v>
      </c>
      <c r="AO95" s="1">
        <f t="shared" si="16"/>
        <v>0</v>
      </c>
    </row>
    <row r="96" spans="1:42" ht="15.9">
      <c r="A96" s="1" t="s">
        <v>152</v>
      </c>
      <c r="B96" s="1" t="s">
        <v>93</v>
      </c>
      <c r="C96" s="291" t="s">
        <v>46</v>
      </c>
      <c r="D96" s="161" t="e">
        <f>#REF!</f>
        <v>#REF!</v>
      </c>
      <c r="E96" s="386">
        <v>8</v>
      </c>
      <c r="F96" s="36"/>
      <c r="G96" s="36" t="s">
        <v>113</v>
      </c>
      <c r="H96" s="32"/>
      <c r="I96" s="32"/>
      <c r="J96" s="231">
        <v>8</v>
      </c>
      <c r="K96" s="231" t="s">
        <v>98</v>
      </c>
      <c r="L96" s="36" t="s">
        <v>98</v>
      </c>
      <c r="M96" s="36">
        <v>20</v>
      </c>
      <c r="N96" s="297"/>
      <c r="O96" s="297"/>
      <c r="P96" s="297" t="s">
        <v>113</v>
      </c>
      <c r="Q96" s="297"/>
      <c r="R96" s="297">
        <v>17</v>
      </c>
      <c r="S96" s="36" t="s">
        <v>62</v>
      </c>
      <c r="T96" s="36" t="s">
        <v>62</v>
      </c>
      <c r="U96" s="297">
        <v>15</v>
      </c>
      <c r="V96" s="297"/>
      <c r="W96" s="297"/>
      <c r="X96" s="297" t="s">
        <v>113</v>
      </c>
      <c r="Y96" s="297"/>
      <c r="Z96" s="36"/>
      <c r="AA96" s="36"/>
      <c r="AB96" s="297"/>
      <c r="AC96" s="297"/>
      <c r="AD96" s="297"/>
      <c r="AE96" s="297"/>
      <c r="AF96" s="297"/>
      <c r="AG96" s="36"/>
      <c r="AH96" s="36"/>
      <c r="AI96" s="387"/>
      <c r="AJ96" s="26" t="e">
        <f>_xlfn.CONCAT(#REF!,#REF!)</f>
        <v>#REF!</v>
      </c>
      <c r="AK96" s="27" t="e">
        <f t="shared" si="15"/>
        <v>#REF!</v>
      </c>
      <c r="AL96" s="28">
        <f t="shared" si="17"/>
        <v>72</v>
      </c>
      <c r="AM96">
        <f t="shared" si="18"/>
        <v>96</v>
      </c>
      <c r="AN96" s="29">
        <f t="shared" si="19"/>
        <v>68</v>
      </c>
      <c r="AO96" s="1">
        <f t="shared" si="16"/>
        <v>0</v>
      </c>
    </row>
    <row r="97" spans="1:42" ht="15.9">
      <c r="A97" s="1" t="s">
        <v>152</v>
      </c>
      <c r="B97" s="1" t="s">
        <v>64</v>
      </c>
      <c r="C97" s="291" t="s">
        <v>47</v>
      </c>
      <c r="D97" s="161" t="e">
        <f>#REF!</f>
        <v>#REF!</v>
      </c>
      <c r="E97" s="386" t="s">
        <v>113</v>
      </c>
      <c r="F97" s="36"/>
      <c r="G97" s="36"/>
      <c r="H97" s="32"/>
      <c r="I97" s="32"/>
      <c r="J97" s="231">
        <v>11</v>
      </c>
      <c r="K97" s="231" t="s">
        <v>98</v>
      </c>
      <c r="L97" s="36" t="s">
        <v>98</v>
      </c>
      <c r="M97" s="36">
        <v>19</v>
      </c>
      <c r="N97" s="297"/>
      <c r="O97" s="297"/>
      <c r="P97" s="297"/>
      <c r="Q97" s="297"/>
      <c r="R97" s="297"/>
      <c r="S97" s="36"/>
      <c r="T97" s="36"/>
      <c r="U97" s="297">
        <v>9</v>
      </c>
      <c r="V97" s="297" t="s">
        <v>98</v>
      </c>
      <c r="W97" s="297" t="s">
        <v>98</v>
      </c>
      <c r="X97" s="297">
        <v>20</v>
      </c>
      <c r="Y97" s="297"/>
      <c r="Z97" s="36"/>
      <c r="AA97" s="36"/>
      <c r="AB97" s="297"/>
      <c r="AC97" s="297"/>
      <c r="AD97" s="297"/>
      <c r="AE97" s="297"/>
      <c r="AF97" s="297"/>
      <c r="AG97" s="36"/>
      <c r="AH97" s="36"/>
      <c r="AI97" s="387" t="s">
        <v>103</v>
      </c>
      <c r="AJ97" s="26" t="e">
        <f>_xlfn.CONCAT(#REF!,#REF!)</f>
        <v>#REF!</v>
      </c>
      <c r="AK97" s="27" t="e">
        <f t="shared" si="15"/>
        <v>#REF!</v>
      </c>
      <c r="AL97" s="28">
        <f t="shared" si="17"/>
        <v>24</v>
      </c>
      <c r="AM97">
        <f t="shared" si="18"/>
        <v>96</v>
      </c>
      <c r="AN97" s="29">
        <f t="shared" si="19"/>
        <v>59</v>
      </c>
      <c r="AO97" s="1">
        <f t="shared" si="16"/>
        <v>0</v>
      </c>
    </row>
    <row r="98" spans="1:42" ht="15.9">
      <c r="A98" s="1" t="s">
        <v>152</v>
      </c>
      <c r="B98" s="1" t="s">
        <v>64</v>
      </c>
      <c r="C98" s="291" t="s">
        <v>48</v>
      </c>
      <c r="D98" s="161" t="e">
        <f>#REF!</f>
        <v>#REF!</v>
      </c>
      <c r="E98" s="386"/>
      <c r="F98" s="36"/>
      <c r="G98" s="36"/>
      <c r="H98" s="32">
        <v>17</v>
      </c>
      <c r="I98" s="32" t="s">
        <v>70</v>
      </c>
      <c r="J98" s="32" t="s">
        <v>70</v>
      </c>
      <c r="K98" s="32" t="s">
        <v>70</v>
      </c>
      <c r="L98" s="36" t="s">
        <v>70</v>
      </c>
      <c r="M98" s="36" t="s">
        <v>70</v>
      </c>
      <c r="N98" s="297">
        <v>15</v>
      </c>
      <c r="O98" s="297"/>
      <c r="P98" s="297"/>
      <c r="Q98" s="297"/>
      <c r="R98" s="297"/>
      <c r="S98" s="36"/>
      <c r="T98" s="36"/>
      <c r="U98" s="297">
        <v>13</v>
      </c>
      <c r="V98" s="297" t="s">
        <v>98</v>
      </c>
      <c r="W98" s="297" t="s">
        <v>98</v>
      </c>
      <c r="X98" s="297">
        <v>19.5</v>
      </c>
      <c r="Y98" s="297"/>
      <c r="Z98" s="36"/>
      <c r="AA98" s="36"/>
      <c r="AB98" s="297">
        <v>8</v>
      </c>
      <c r="AC98" s="297">
        <v>8</v>
      </c>
      <c r="AD98" s="297">
        <v>8</v>
      </c>
      <c r="AE98" s="297">
        <v>8</v>
      </c>
      <c r="AF98" s="297">
        <v>8</v>
      </c>
      <c r="AG98" s="36"/>
      <c r="AH98" s="36"/>
      <c r="AI98" s="387"/>
      <c r="AJ98" s="26" t="e">
        <f>_xlfn.CONCAT(#REF!,#REF!)</f>
        <v>#REF!</v>
      </c>
      <c r="AK98" s="27" t="e">
        <f t="shared" si="15"/>
        <v>#REF!</v>
      </c>
      <c r="AL98" s="28">
        <f t="shared" si="17"/>
        <v>0</v>
      </c>
      <c r="AM98">
        <f t="shared" si="18"/>
        <v>168</v>
      </c>
      <c r="AN98" s="29">
        <f t="shared" si="19"/>
        <v>104.5</v>
      </c>
      <c r="AO98" s="1">
        <f t="shared" si="16"/>
        <v>0</v>
      </c>
    </row>
    <row r="99" spans="1:42" ht="15.9">
      <c r="A99" s="1" t="s">
        <v>58</v>
      </c>
      <c r="B99" s="1" t="s">
        <v>73</v>
      </c>
      <c r="C99" s="290" t="s">
        <v>49</v>
      </c>
      <c r="D99" s="161" t="e">
        <f>#REF!</f>
        <v>#REF!</v>
      </c>
      <c r="E99" s="386" t="s">
        <v>95</v>
      </c>
      <c r="F99" s="36" t="s">
        <v>95</v>
      </c>
      <c r="G99" s="36" t="s">
        <v>95</v>
      </c>
      <c r="H99" s="32">
        <v>15</v>
      </c>
      <c r="I99" s="32" t="s">
        <v>66</v>
      </c>
      <c r="J99" s="32" t="s">
        <v>66</v>
      </c>
      <c r="K99" s="32" t="s">
        <v>66</v>
      </c>
      <c r="L99" s="36" t="s">
        <v>66</v>
      </c>
      <c r="M99" s="36" t="s">
        <v>66</v>
      </c>
      <c r="N99" s="297" t="s">
        <v>66</v>
      </c>
      <c r="O99" s="297"/>
      <c r="P99" s="297"/>
      <c r="Q99" s="297"/>
      <c r="R99" s="297" t="s">
        <v>113</v>
      </c>
      <c r="S99" s="36"/>
      <c r="T99" s="36"/>
      <c r="U99" s="297" t="s">
        <v>101</v>
      </c>
      <c r="V99" s="297" t="s">
        <v>101</v>
      </c>
      <c r="W99" s="297"/>
      <c r="X99" s="297"/>
      <c r="Y99" s="297"/>
      <c r="Z99" s="36" t="s">
        <v>113</v>
      </c>
      <c r="AA99" s="36"/>
      <c r="AB99" s="297">
        <v>8</v>
      </c>
      <c r="AC99" s="297">
        <v>17</v>
      </c>
      <c r="AD99" s="297" t="s">
        <v>154</v>
      </c>
      <c r="AE99" s="297" t="s">
        <v>154</v>
      </c>
      <c r="AF99" s="297" t="s">
        <v>154</v>
      </c>
      <c r="AG99" s="36" t="s">
        <v>154</v>
      </c>
      <c r="AH99" s="36" t="s">
        <v>154</v>
      </c>
      <c r="AI99" s="387" t="s">
        <v>154</v>
      </c>
      <c r="AJ99" s="26" t="e">
        <f>_xlfn.CONCAT(#REF!,#REF!)</f>
        <v>#REF!</v>
      </c>
      <c r="AK99" s="27" t="e">
        <f t="shared" si="15"/>
        <v>#REF!</v>
      </c>
      <c r="AL99" s="28">
        <f t="shared" si="17"/>
        <v>48</v>
      </c>
      <c r="AM99">
        <f t="shared" si="18"/>
        <v>216</v>
      </c>
      <c r="AN99" s="29">
        <f t="shared" si="19"/>
        <v>40</v>
      </c>
      <c r="AO99" s="1">
        <f t="shared" si="16"/>
        <v>0</v>
      </c>
      <c r="AP99" s="1">
        <f>0+24</f>
        <v>24</v>
      </c>
    </row>
    <row r="100" spans="1:42" ht="15.9">
      <c r="A100" s="1" t="s">
        <v>155</v>
      </c>
      <c r="B100" s="1" t="s">
        <v>73</v>
      </c>
      <c r="C100" s="290" t="s">
        <v>50</v>
      </c>
      <c r="D100" s="161" t="e">
        <f>#REF!</f>
        <v>#REF!</v>
      </c>
      <c r="E100" s="388"/>
      <c r="F100" s="207"/>
      <c r="G100" s="207"/>
      <c r="H100" s="37" t="s">
        <v>83</v>
      </c>
      <c r="I100" s="32" t="s">
        <v>83</v>
      </c>
      <c r="J100" s="32" t="s">
        <v>83</v>
      </c>
      <c r="K100" s="32" t="s">
        <v>83</v>
      </c>
      <c r="L100" s="36"/>
      <c r="M100" s="36" t="s">
        <v>113</v>
      </c>
      <c r="N100" s="297"/>
      <c r="O100" s="297"/>
      <c r="P100" s="297"/>
      <c r="Q100" s="297"/>
      <c r="R100" s="297"/>
      <c r="S100" s="36"/>
      <c r="T100" s="36"/>
      <c r="U100" s="297"/>
      <c r="V100" s="297">
        <v>17</v>
      </c>
      <c r="W100" s="297">
        <v>14</v>
      </c>
      <c r="X100" s="297" t="s">
        <v>101</v>
      </c>
      <c r="Y100" s="297" t="s">
        <v>101</v>
      </c>
      <c r="Z100" s="36"/>
      <c r="AA100" s="36"/>
      <c r="AB100" s="297" t="s">
        <v>83</v>
      </c>
      <c r="AC100" s="297" t="s">
        <v>83</v>
      </c>
      <c r="AD100" s="297" t="s">
        <v>83</v>
      </c>
      <c r="AE100" s="297" t="s">
        <v>83</v>
      </c>
      <c r="AF100" s="297" t="s">
        <v>83</v>
      </c>
      <c r="AG100" s="36"/>
      <c r="AH100" s="36" t="s">
        <v>113</v>
      </c>
      <c r="AI100" s="387"/>
      <c r="AJ100" s="26" t="e">
        <f>_xlfn.CONCAT(#REF!,#REF!)</f>
        <v>#REF!</v>
      </c>
      <c r="AK100" s="27" t="e">
        <f t="shared" si="15"/>
        <v>#REF!</v>
      </c>
      <c r="AL100" s="28">
        <f t="shared" si="17"/>
        <v>48</v>
      </c>
      <c r="AM100">
        <f t="shared" si="18"/>
        <v>0</v>
      </c>
      <c r="AN100" s="29">
        <f t="shared" si="19"/>
        <v>103</v>
      </c>
      <c r="AO100" s="1">
        <f t="shared" si="16"/>
        <v>0</v>
      </c>
      <c r="AP100" s="1">
        <f>0+24+11</f>
        <v>35</v>
      </c>
    </row>
    <row r="101" spans="1:42" ht="15.9">
      <c r="A101" s="1" t="s">
        <v>155</v>
      </c>
      <c r="B101" s="1" t="s">
        <v>59</v>
      </c>
      <c r="C101" s="304" t="s">
        <v>51</v>
      </c>
      <c r="D101" s="161" t="e">
        <f>#REF!</f>
        <v>#REF!</v>
      </c>
      <c r="E101" s="709"/>
      <c r="F101" s="709"/>
      <c r="G101" s="709"/>
      <c r="H101" s="709"/>
      <c r="I101" s="48"/>
      <c r="J101" s="32"/>
      <c r="K101" s="32">
        <v>17</v>
      </c>
      <c r="L101" s="36" t="s">
        <v>95</v>
      </c>
      <c r="M101" s="36" t="s">
        <v>95</v>
      </c>
      <c r="N101" s="297" t="s">
        <v>95</v>
      </c>
      <c r="O101" s="297">
        <v>15</v>
      </c>
      <c r="P101" s="297"/>
      <c r="Q101" s="297">
        <v>1</v>
      </c>
      <c r="R101" s="297"/>
      <c r="S101" s="36"/>
      <c r="T101" s="36"/>
      <c r="U101" s="297"/>
      <c r="V101" s="297"/>
      <c r="W101" s="297"/>
      <c r="X101" s="297"/>
      <c r="Y101" s="297"/>
      <c r="Z101" s="36"/>
      <c r="AA101" s="36"/>
      <c r="AB101" s="297">
        <v>8</v>
      </c>
      <c r="AC101" s="297" t="s">
        <v>92</v>
      </c>
      <c r="AD101" s="297" t="s">
        <v>95</v>
      </c>
      <c r="AE101" s="297" t="s">
        <v>95</v>
      </c>
      <c r="AF101" s="297" t="s">
        <v>95</v>
      </c>
      <c r="AG101" s="36" t="s">
        <v>95</v>
      </c>
      <c r="AH101" s="36" t="s">
        <v>95</v>
      </c>
      <c r="AI101" s="387" t="s">
        <v>95</v>
      </c>
      <c r="AJ101" s="305" t="e">
        <f>_xlfn.CONCAT(#REF!,#REF!)</f>
        <v>#REF!</v>
      </c>
      <c r="AK101" s="27" t="e">
        <f t="shared" si="15"/>
        <v>#REF!</v>
      </c>
      <c r="AL101" s="28">
        <f t="shared" si="17"/>
        <v>0</v>
      </c>
      <c r="AM101">
        <f t="shared" si="18"/>
        <v>228</v>
      </c>
      <c r="AN101" s="29">
        <f t="shared" si="19"/>
        <v>41</v>
      </c>
      <c r="AO101" s="1">
        <f t="shared" si="16"/>
        <v>0</v>
      </c>
      <c r="AP101" s="1">
        <v>17.5</v>
      </c>
    </row>
    <row r="102" spans="1:42" ht="15.9">
      <c r="C102" s="57" t="s">
        <v>321</v>
      </c>
      <c r="D102" s="57"/>
      <c r="E102" s="58"/>
      <c r="F102" s="58" t="s">
        <v>113</v>
      </c>
      <c r="G102" s="58"/>
      <c r="H102" s="58" t="s">
        <v>113</v>
      </c>
      <c r="I102" s="58" t="s">
        <v>113</v>
      </c>
      <c r="J102" s="427"/>
      <c r="K102" s="427"/>
      <c r="L102" s="427"/>
      <c r="M102" s="427"/>
      <c r="N102" s="427"/>
      <c r="O102" s="427"/>
      <c r="P102" s="427"/>
      <c r="Q102" s="427" t="s">
        <v>59</v>
      </c>
      <c r="R102" s="427"/>
      <c r="S102" s="427"/>
      <c r="T102" s="427"/>
      <c r="U102" s="427"/>
      <c r="V102" s="427"/>
      <c r="W102" s="427"/>
      <c r="X102" s="427"/>
      <c r="Y102" s="427"/>
      <c r="Z102" s="427"/>
      <c r="AA102" s="427"/>
      <c r="AB102" s="427"/>
      <c r="AC102" s="427"/>
      <c r="AD102" s="427" t="s">
        <v>113</v>
      </c>
      <c r="AE102" s="427"/>
      <c r="AF102" s="427"/>
      <c r="AG102" s="428"/>
      <c r="AH102" s="429"/>
      <c r="AI102" s="429"/>
      <c r="AJ102" s="60"/>
      <c r="AK102" s="27" t="e">
        <f>SUM(AK51:AK101)</f>
        <v>#REF!</v>
      </c>
      <c r="AL102" s="28"/>
      <c r="AM102"/>
      <c r="AN102" s="29"/>
    </row>
    <row r="103" spans="1:42" ht="15.9">
      <c r="B103" s="61"/>
      <c r="C103" s="62" t="s">
        <v>120</v>
      </c>
      <c r="D103" s="63"/>
      <c r="E103" s="64">
        <f t="shared" ref="E103:AI103" si="20">E34</f>
        <v>1</v>
      </c>
      <c r="F103" s="64">
        <f t="shared" si="20"/>
        <v>1</v>
      </c>
      <c r="G103" s="64">
        <f t="shared" si="20"/>
        <v>1</v>
      </c>
      <c r="H103" s="64">
        <f t="shared" si="20"/>
        <v>1</v>
      </c>
      <c r="I103" s="64">
        <f t="shared" si="20"/>
        <v>1</v>
      </c>
      <c r="J103" s="64">
        <f t="shared" si="20"/>
        <v>1</v>
      </c>
      <c r="K103" s="64">
        <f t="shared" si="20"/>
        <v>1</v>
      </c>
      <c r="L103" s="64">
        <f t="shared" si="20"/>
        <v>1</v>
      </c>
      <c r="M103" s="64">
        <f t="shared" si="20"/>
        <v>1</v>
      </c>
      <c r="N103" s="64">
        <f t="shared" si="20"/>
        <v>1</v>
      </c>
      <c r="O103" s="64">
        <f t="shared" si="20"/>
        <v>1</v>
      </c>
      <c r="P103" s="64">
        <f t="shared" si="20"/>
        <v>1</v>
      </c>
      <c r="Q103" s="64">
        <f t="shared" si="20"/>
        <v>1</v>
      </c>
      <c r="R103" s="64">
        <f t="shared" si="20"/>
        <v>1</v>
      </c>
      <c r="S103" s="64">
        <f t="shared" si="20"/>
        <v>1</v>
      </c>
      <c r="T103" s="64">
        <f t="shared" si="20"/>
        <v>1</v>
      </c>
      <c r="U103" s="64">
        <f t="shared" si="20"/>
        <v>1</v>
      </c>
      <c r="V103" s="64">
        <f t="shared" si="20"/>
        <v>1</v>
      </c>
      <c r="W103" s="64">
        <f t="shared" si="20"/>
        <v>1</v>
      </c>
      <c r="X103" s="64">
        <f t="shared" si="20"/>
        <v>1</v>
      </c>
      <c r="Y103" s="64">
        <f t="shared" si="20"/>
        <v>1</v>
      </c>
      <c r="Z103" s="64">
        <f t="shared" si="20"/>
        <v>1</v>
      </c>
      <c r="AA103" s="64">
        <f t="shared" si="20"/>
        <v>1</v>
      </c>
      <c r="AB103" s="64">
        <f t="shared" si="20"/>
        <v>2</v>
      </c>
      <c r="AC103" s="64">
        <f t="shared" si="20"/>
        <v>1</v>
      </c>
      <c r="AD103" s="64">
        <f t="shared" si="20"/>
        <v>1</v>
      </c>
      <c r="AE103" s="64">
        <f t="shared" si="20"/>
        <v>1</v>
      </c>
      <c r="AF103" s="64">
        <f t="shared" si="20"/>
        <v>2</v>
      </c>
      <c r="AG103" s="64">
        <f t="shared" si="20"/>
        <v>1</v>
      </c>
      <c r="AH103" s="64">
        <f t="shared" si="20"/>
        <v>1</v>
      </c>
      <c r="AI103" s="64">
        <f t="shared" si="20"/>
        <v>0</v>
      </c>
      <c r="AJ103"/>
      <c r="AK103" s="27"/>
      <c r="AL103" s="28"/>
      <c r="AM103"/>
      <c r="AN103" s="29"/>
    </row>
    <row r="104" spans="1:42" ht="15.9">
      <c r="B104" s="61"/>
      <c r="C104" s="65" t="s">
        <v>121</v>
      </c>
      <c r="D104" s="66"/>
      <c r="E104" s="64">
        <f t="shared" ref="E104:AI104" si="21">E35</f>
        <v>2</v>
      </c>
      <c r="F104" s="64">
        <f t="shared" si="21"/>
        <v>2</v>
      </c>
      <c r="G104" s="64">
        <f t="shared" si="21"/>
        <v>2</v>
      </c>
      <c r="H104" s="64">
        <f t="shared" si="21"/>
        <v>2</v>
      </c>
      <c r="I104" s="64">
        <f t="shared" si="21"/>
        <v>2</v>
      </c>
      <c r="J104" s="64">
        <f t="shared" si="21"/>
        <v>1</v>
      </c>
      <c r="K104" s="64">
        <f t="shared" si="21"/>
        <v>3</v>
      </c>
      <c r="L104" s="64">
        <f t="shared" si="21"/>
        <v>2</v>
      </c>
      <c r="M104" s="64">
        <f t="shared" si="21"/>
        <v>2</v>
      </c>
      <c r="N104" s="64">
        <f t="shared" si="21"/>
        <v>2</v>
      </c>
      <c r="O104" s="64">
        <f t="shared" si="21"/>
        <v>2</v>
      </c>
      <c r="P104" s="64">
        <f t="shared" si="21"/>
        <v>2</v>
      </c>
      <c r="Q104" s="64">
        <f t="shared" si="21"/>
        <v>2</v>
      </c>
      <c r="R104" s="64">
        <f t="shared" si="21"/>
        <v>2</v>
      </c>
      <c r="S104" s="64">
        <f t="shared" si="21"/>
        <v>2</v>
      </c>
      <c r="T104" s="64">
        <f t="shared" si="21"/>
        <v>2</v>
      </c>
      <c r="U104" s="64">
        <f t="shared" si="21"/>
        <v>1</v>
      </c>
      <c r="V104" s="64">
        <f t="shared" si="21"/>
        <v>2</v>
      </c>
      <c r="W104" s="64">
        <f t="shared" si="21"/>
        <v>2</v>
      </c>
      <c r="X104" s="64">
        <f t="shared" si="21"/>
        <v>2</v>
      </c>
      <c r="Y104" s="64">
        <f t="shared" si="21"/>
        <v>2</v>
      </c>
      <c r="Z104" s="64">
        <f t="shared" si="21"/>
        <v>2</v>
      </c>
      <c r="AA104" s="64">
        <f t="shared" si="21"/>
        <v>2</v>
      </c>
      <c r="AB104" s="64">
        <f t="shared" si="21"/>
        <v>2</v>
      </c>
      <c r="AC104" s="64">
        <f t="shared" si="21"/>
        <v>2</v>
      </c>
      <c r="AD104" s="64">
        <f t="shared" si="21"/>
        <v>2</v>
      </c>
      <c r="AE104" s="64">
        <f t="shared" si="21"/>
        <v>2</v>
      </c>
      <c r="AF104" s="64">
        <f t="shared" si="21"/>
        <v>2</v>
      </c>
      <c r="AG104" s="64">
        <f t="shared" si="21"/>
        <v>2</v>
      </c>
      <c r="AH104" s="64">
        <f t="shared" si="21"/>
        <v>2</v>
      </c>
      <c r="AI104" s="64">
        <f t="shared" si="21"/>
        <v>1</v>
      </c>
      <c r="AJ104"/>
      <c r="AK104" s="27"/>
      <c r="AL104" s="28"/>
      <c r="AM104"/>
      <c r="AN104" s="29"/>
    </row>
    <row r="105" spans="1:42">
      <c r="C105" s="67" t="s">
        <v>122</v>
      </c>
      <c r="D105" s="68"/>
      <c r="E105" s="64">
        <f t="shared" ref="E105:AI105" si="22">E36</f>
        <v>4</v>
      </c>
      <c r="F105" s="64">
        <f t="shared" si="22"/>
        <v>4</v>
      </c>
      <c r="G105" s="64">
        <f t="shared" si="22"/>
        <v>4</v>
      </c>
      <c r="H105" s="64">
        <f t="shared" si="22"/>
        <v>0</v>
      </c>
      <c r="I105" s="64">
        <f t="shared" si="22"/>
        <v>4</v>
      </c>
      <c r="J105" s="64">
        <f t="shared" si="22"/>
        <v>4</v>
      </c>
      <c r="K105" s="64">
        <f t="shared" si="22"/>
        <v>2</v>
      </c>
      <c r="L105" s="64">
        <f t="shared" si="22"/>
        <v>4</v>
      </c>
      <c r="M105" s="64">
        <f t="shared" si="22"/>
        <v>4</v>
      </c>
      <c r="N105" s="64">
        <f t="shared" si="22"/>
        <v>0</v>
      </c>
      <c r="O105" s="64">
        <f t="shared" si="22"/>
        <v>6</v>
      </c>
      <c r="P105" s="64">
        <f t="shared" si="22"/>
        <v>5</v>
      </c>
      <c r="Q105" s="64">
        <f t="shared" si="22"/>
        <v>6</v>
      </c>
      <c r="R105" s="64">
        <f t="shared" si="22"/>
        <v>3</v>
      </c>
      <c r="S105" s="64">
        <f t="shared" si="22"/>
        <v>6</v>
      </c>
      <c r="T105" s="64">
        <f t="shared" si="22"/>
        <v>6</v>
      </c>
      <c r="U105" s="64">
        <f t="shared" si="22"/>
        <v>0</v>
      </c>
      <c r="V105" s="64">
        <f t="shared" si="22"/>
        <v>4</v>
      </c>
      <c r="W105" s="64">
        <f t="shared" si="22"/>
        <v>4</v>
      </c>
      <c r="X105" s="64">
        <f t="shared" si="22"/>
        <v>4</v>
      </c>
      <c r="Y105" s="64">
        <f t="shared" si="22"/>
        <v>0</v>
      </c>
      <c r="Z105" s="64">
        <f t="shared" si="22"/>
        <v>3</v>
      </c>
      <c r="AA105" s="64">
        <f t="shared" si="22"/>
        <v>4</v>
      </c>
      <c r="AB105" s="64">
        <f t="shared" si="22"/>
        <v>0</v>
      </c>
      <c r="AC105" s="64">
        <f t="shared" si="22"/>
        <v>4</v>
      </c>
      <c r="AD105" s="64">
        <f t="shared" si="22"/>
        <v>4</v>
      </c>
      <c r="AE105" s="64">
        <f t="shared" si="22"/>
        <v>4</v>
      </c>
      <c r="AF105" s="64">
        <f t="shared" si="22"/>
        <v>2</v>
      </c>
      <c r="AG105" s="64">
        <f t="shared" si="22"/>
        <v>4</v>
      </c>
      <c r="AH105" s="64">
        <f t="shared" si="22"/>
        <v>4</v>
      </c>
      <c r="AI105" s="64">
        <f t="shared" si="22"/>
        <v>0</v>
      </c>
      <c r="AJ105"/>
      <c r="AK105" s="27"/>
      <c r="AL105" s="28"/>
      <c r="AM105"/>
      <c r="AN105" s="29"/>
    </row>
    <row r="106" spans="1:42">
      <c r="C106" s="69" t="s">
        <v>123</v>
      </c>
      <c r="D106" s="70"/>
      <c r="E106" s="64">
        <f t="shared" ref="E106:AI106" si="23">E37</f>
        <v>4</v>
      </c>
      <c r="F106" s="64">
        <f t="shared" si="23"/>
        <v>4</v>
      </c>
      <c r="G106" s="64">
        <f t="shared" si="23"/>
        <v>4</v>
      </c>
      <c r="H106" s="64">
        <f t="shared" si="23"/>
        <v>0</v>
      </c>
      <c r="I106" s="64">
        <f t="shared" si="23"/>
        <v>4</v>
      </c>
      <c r="J106" s="64">
        <f t="shared" si="23"/>
        <v>4</v>
      </c>
      <c r="K106" s="64">
        <f t="shared" si="23"/>
        <v>3</v>
      </c>
      <c r="L106" s="64">
        <f t="shared" si="23"/>
        <v>4</v>
      </c>
      <c r="M106" s="64">
        <f t="shared" si="23"/>
        <v>4</v>
      </c>
      <c r="N106" s="64">
        <f t="shared" si="23"/>
        <v>4</v>
      </c>
      <c r="O106" s="64">
        <f t="shared" si="23"/>
        <v>0</v>
      </c>
      <c r="P106" s="64">
        <f t="shared" si="23"/>
        <v>4</v>
      </c>
      <c r="Q106" s="64">
        <f t="shared" si="23"/>
        <v>4</v>
      </c>
      <c r="R106" s="64">
        <f t="shared" si="23"/>
        <v>4</v>
      </c>
      <c r="S106" s="64">
        <f t="shared" si="23"/>
        <v>4</v>
      </c>
      <c r="T106" s="64">
        <f t="shared" si="23"/>
        <v>4</v>
      </c>
      <c r="U106" s="64">
        <f t="shared" si="23"/>
        <v>4</v>
      </c>
      <c r="V106" s="64">
        <f t="shared" si="23"/>
        <v>0</v>
      </c>
      <c r="W106" s="64">
        <f t="shared" si="23"/>
        <v>3</v>
      </c>
      <c r="X106" s="64">
        <f t="shared" si="23"/>
        <v>4</v>
      </c>
      <c r="Y106" s="64">
        <f t="shared" si="23"/>
        <v>0</v>
      </c>
      <c r="Z106" s="64">
        <f t="shared" si="23"/>
        <v>3</v>
      </c>
      <c r="AA106" s="64">
        <f t="shared" si="23"/>
        <v>3</v>
      </c>
      <c r="AB106" s="64">
        <f t="shared" si="23"/>
        <v>3</v>
      </c>
      <c r="AC106" s="64">
        <f t="shared" si="23"/>
        <v>0</v>
      </c>
      <c r="AD106" s="64">
        <f t="shared" si="23"/>
        <v>4</v>
      </c>
      <c r="AE106" s="64">
        <f t="shared" si="23"/>
        <v>4</v>
      </c>
      <c r="AF106" s="64">
        <f t="shared" si="23"/>
        <v>4</v>
      </c>
      <c r="AG106" s="64">
        <f t="shared" si="23"/>
        <v>4</v>
      </c>
      <c r="AH106" s="64">
        <f t="shared" si="23"/>
        <v>4</v>
      </c>
      <c r="AI106" s="64">
        <f t="shared" si="23"/>
        <v>4</v>
      </c>
      <c r="AJ106"/>
      <c r="AK106" s="27"/>
      <c r="AL106" s="28"/>
      <c r="AM106"/>
      <c r="AN106" s="29"/>
    </row>
    <row r="107" spans="1:42" ht="43.3">
      <c r="C107" s="56"/>
      <c r="D107" s="57"/>
      <c r="E107" s="377">
        <v>44317</v>
      </c>
      <c r="F107" s="378">
        <v>44318</v>
      </c>
      <c r="G107" s="377">
        <v>44319</v>
      </c>
      <c r="H107" s="84">
        <v>44320</v>
      </c>
      <c r="I107" s="84">
        <v>44321</v>
      </c>
      <c r="J107" s="84">
        <v>44322</v>
      </c>
      <c r="K107" s="84">
        <v>44323</v>
      </c>
      <c r="L107" s="377">
        <v>44324</v>
      </c>
      <c r="M107" s="377">
        <v>44325</v>
      </c>
      <c r="N107" s="333">
        <v>44326</v>
      </c>
      <c r="O107" s="333">
        <v>44327</v>
      </c>
      <c r="P107" s="333">
        <v>44328</v>
      </c>
      <c r="Q107" s="333">
        <v>44329</v>
      </c>
      <c r="R107" s="333">
        <v>44330</v>
      </c>
      <c r="S107" s="377">
        <v>44331</v>
      </c>
      <c r="T107" s="377">
        <v>44332</v>
      </c>
      <c r="U107" s="333">
        <v>44333</v>
      </c>
      <c r="V107" s="333">
        <v>44334</v>
      </c>
      <c r="W107" s="333">
        <v>44335</v>
      </c>
      <c r="X107" s="333"/>
      <c r="Y107" s="333">
        <v>44337</v>
      </c>
      <c r="Z107" s="377">
        <v>44338</v>
      </c>
      <c r="AA107" s="377">
        <v>44339</v>
      </c>
      <c r="AB107" s="333">
        <v>44340</v>
      </c>
      <c r="AC107" s="333">
        <v>44341</v>
      </c>
      <c r="AD107" s="333">
        <v>44342</v>
      </c>
      <c r="AE107" s="333">
        <v>44343</v>
      </c>
      <c r="AF107" s="333">
        <v>44344</v>
      </c>
      <c r="AG107" s="377">
        <v>44345</v>
      </c>
      <c r="AH107" s="377">
        <v>44346</v>
      </c>
      <c r="AI107" s="333">
        <v>44347</v>
      </c>
      <c r="AJ107"/>
      <c r="AK107" s="27"/>
      <c r="AL107" s="28"/>
      <c r="AM107"/>
      <c r="AN107" s="29"/>
    </row>
    <row r="108" spans="1:42" s="73" customFormat="1">
      <c r="C108" s="680" t="s">
        <v>122</v>
      </c>
      <c r="D108" s="680"/>
      <c r="E108" s="722" t="str">
        <f>E39</f>
        <v>GRZESIAK</v>
      </c>
      <c r="F108" s="722"/>
      <c r="G108" s="722"/>
      <c r="H108" s="723" t="str">
        <f>H39</f>
        <v>MOSKALONEK</v>
      </c>
      <c r="I108" s="723"/>
      <c r="J108" s="723"/>
      <c r="K108" s="723"/>
      <c r="L108" s="722" t="str">
        <f>L39</f>
        <v>MOSKALONEK</v>
      </c>
      <c r="M108" s="722"/>
      <c r="N108" s="723" t="str">
        <f>N39</f>
        <v>GRZESIAK</v>
      </c>
      <c r="O108" s="723"/>
      <c r="P108" s="723"/>
      <c r="Q108" s="723"/>
      <c r="R108" s="723"/>
      <c r="S108" s="722" t="str">
        <f>S39</f>
        <v>ŚWIREPO</v>
      </c>
      <c r="T108" s="722"/>
      <c r="U108" s="723"/>
      <c r="V108" s="723"/>
      <c r="W108" s="723"/>
      <c r="X108" s="723"/>
      <c r="Y108" s="723"/>
      <c r="Z108" s="722" t="str">
        <f>Z39</f>
        <v>GRZESIAK</v>
      </c>
      <c r="AA108" s="722"/>
      <c r="AB108" s="723" t="str">
        <f>AB39</f>
        <v>PALUCH</v>
      </c>
      <c r="AC108" s="723"/>
      <c r="AD108" s="723"/>
      <c r="AE108" s="723"/>
      <c r="AF108" s="723"/>
      <c r="AG108" s="722" t="str">
        <f>AG39</f>
        <v>ŚWIREPO</v>
      </c>
      <c r="AH108" s="722"/>
      <c r="AI108" s="723" t="str">
        <f>AI39</f>
        <v>GRZESIAK</v>
      </c>
      <c r="AJ108" s="723"/>
      <c r="AK108" s="723"/>
      <c r="AL108"/>
      <c r="AM108"/>
      <c r="AN108" s="29"/>
      <c r="AO108" s="1"/>
      <c r="AP108" s="1"/>
    </row>
    <row r="109" spans="1:42" s="73" customFormat="1">
      <c r="C109" s="680"/>
      <c r="D109" s="680"/>
      <c r="E109" s="719" t="str">
        <f>E40</f>
        <v>WALKOWIAK</v>
      </c>
      <c r="F109" s="719"/>
      <c r="G109" s="719"/>
      <c r="H109" s="720" t="str">
        <f>H40</f>
        <v>NOWICKI</v>
      </c>
      <c r="I109" s="720"/>
      <c r="J109" s="720"/>
      <c r="K109" s="720"/>
      <c r="L109" s="719" t="str">
        <f>L40</f>
        <v>BORZĘCKI</v>
      </c>
      <c r="M109" s="719"/>
      <c r="N109" s="720" t="str">
        <f>N40</f>
        <v>STRANC</v>
      </c>
      <c r="O109" s="720"/>
      <c r="P109" s="720"/>
      <c r="Q109" s="720"/>
      <c r="R109" s="720"/>
      <c r="S109" s="719" t="str">
        <f>S40</f>
        <v>NOWICKI</v>
      </c>
      <c r="T109" s="719"/>
      <c r="U109" s="720"/>
      <c r="V109" s="720"/>
      <c r="W109" s="720"/>
      <c r="X109" s="720"/>
      <c r="Y109" s="720"/>
      <c r="Z109" s="719" t="str">
        <f>Z40</f>
        <v>ZATWARNICKA</v>
      </c>
      <c r="AA109" s="719"/>
      <c r="AB109" s="720" t="str">
        <f>AB40</f>
        <v>ZAJĄC</v>
      </c>
      <c r="AC109" s="720"/>
      <c r="AD109" s="720"/>
      <c r="AE109" s="720"/>
      <c r="AF109" s="720"/>
      <c r="AG109" s="719" t="str">
        <f>AG40</f>
        <v>ZAJĄC</v>
      </c>
      <c r="AH109" s="719"/>
      <c r="AI109" s="720" t="str">
        <f>AI40</f>
        <v>ZATWARNICKA</v>
      </c>
      <c r="AJ109" s="720"/>
      <c r="AK109" s="720"/>
      <c r="AL109"/>
      <c r="AM109"/>
      <c r="AN109" s="29"/>
      <c r="AO109" s="1"/>
      <c r="AP109" s="1"/>
    </row>
    <row r="110" spans="1:42" s="73" customFormat="1">
      <c r="C110" s="680"/>
      <c r="D110" s="680"/>
      <c r="E110" s="725" t="str">
        <f>E41</f>
        <v>PAWLAK</v>
      </c>
      <c r="F110" s="725"/>
      <c r="G110" s="725"/>
      <c r="H110" s="720" t="str">
        <f>H41</f>
        <v>PAWŁOWSKI</v>
      </c>
      <c r="I110" s="720"/>
      <c r="J110" s="720"/>
      <c r="K110" s="720"/>
      <c r="L110" s="719" t="str">
        <f>L41</f>
        <v>GĄSIEW.</v>
      </c>
      <c r="M110" s="719"/>
      <c r="N110" s="720" t="str">
        <f>N41</f>
        <v>SPRUTTA</v>
      </c>
      <c r="O110" s="720"/>
      <c r="P110" s="720"/>
      <c r="Q110" s="720"/>
      <c r="R110" s="720"/>
      <c r="S110" s="725" t="str">
        <f>S41</f>
        <v>ZEMBRZUSKI</v>
      </c>
      <c r="T110" s="725"/>
      <c r="U110" s="720"/>
      <c r="V110" s="720"/>
      <c r="W110" s="720"/>
      <c r="X110" s="720"/>
      <c r="Y110" s="720"/>
      <c r="Z110" s="719" t="str">
        <f>Z41</f>
        <v>BUDZISŁAW</v>
      </c>
      <c r="AA110" s="719"/>
      <c r="AB110" s="720" t="str">
        <f>AB41</f>
        <v>WITWICKI</v>
      </c>
      <c r="AC110" s="720"/>
      <c r="AD110" s="720"/>
      <c r="AE110" s="720"/>
      <c r="AF110" s="720"/>
      <c r="AG110" s="719" t="str">
        <f>AG41</f>
        <v>WITWICKI</v>
      </c>
      <c r="AH110" s="719"/>
      <c r="AI110" s="720">
        <f>AI41</f>
        <v>0</v>
      </c>
      <c r="AJ110" s="720"/>
      <c r="AK110" s="720"/>
      <c r="AL110"/>
      <c r="AM110"/>
      <c r="AN110" s="29"/>
      <c r="AO110" s="1"/>
      <c r="AP110" s="1"/>
    </row>
    <row r="111" spans="1:42" s="73" customFormat="1">
      <c r="C111" s="680"/>
      <c r="D111" s="680"/>
      <c r="E111" s="719" t="str">
        <f>E42</f>
        <v>ZATWARNICKA</v>
      </c>
      <c r="F111" s="719"/>
      <c r="G111" s="719"/>
      <c r="H111" s="724" t="str">
        <f>H42</f>
        <v>woźniak</v>
      </c>
      <c r="I111" s="724"/>
      <c r="J111" s="724"/>
      <c r="K111" s="724"/>
      <c r="L111" s="725" t="str">
        <f>L42</f>
        <v>woźniak</v>
      </c>
      <c r="M111" s="725"/>
      <c r="N111" s="720" t="str">
        <f>N42</f>
        <v>MŁYŃSKI</v>
      </c>
      <c r="O111" s="720"/>
      <c r="P111" s="720"/>
      <c r="Q111" s="720"/>
      <c r="R111" s="720"/>
      <c r="S111" s="719" t="str">
        <f>S42</f>
        <v>MŁYŃSKI</v>
      </c>
      <c r="T111" s="719"/>
      <c r="U111" s="720"/>
      <c r="V111" s="720"/>
      <c r="W111" s="720"/>
      <c r="X111" s="720"/>
      <c r="Y111" s="720"/>
      <c r="Z111" s="719" t="str">
        <f>Z42</f>
        <v>śliwiński</v>
      </c>
      <c r="AA111" s="719"/>
      <c r="AB111" s="720" t="str">
        <f>AB42</f>
        <v>PRYCA</v>
      </c>
      <c r="AC111" s="720"/>
      <c r="AD111" s="720"/>
      <c r="AE111" s="720"/>
      <c r="AF111" s="720"/>
      <c r="AG111" s="719" t="str">
        <f>AG42</f>
        <v>SAJDAK</v>
      </c>
      <c r="AH111" s="719"/>
      <c r="AI111" s="720" t="str">
        <f>AI42</f>
        <v>BUKOWSKI</v>
      </c>
      <c r="AJ111" s="720"/>
      <c r="AK111" s="720"/>
      <c r="AL111"/>
      <c r="AM111"/>
      <c r="AN111" s="29"/>
      <c r="AO111" s="1"/>
      <c r="AP111" s="1"/>
    </row>
    <row r="112" spans="1:42" s="73" customFormat="1">
      <c r="C112" s="77"/>
      <c r="D112" s="77"/>
      <c r="E112" s="417"/>
      <c r="F112" s="418"/>
      <c r="G112" s="418"/>
      <c r="H112" s="418"/>
      <c r="I112" s="418"/>
      <c r="J112" s="418"/>
      <c r="K112" s="418"/>
      <c r="L112" s="418"/>
      <c r="M112" s="418"/>
      <c r="N112" s="418"/>
      <c r="O112" s="418"/>
      <c r="P112" s="418"/>
      <c r="Q112" s="418"/>
      <c r="R112" s="418"/>
      <c r="S112" s="418"/>
      <c r="T112" s="418"/>
      <c r="U112" s="418"/>
      <c r="V112" s="418"/>
      <c r="W112" s="418"/>
      <c r="X112" s="418"/>
      <c r="Y112" s="418"/>
      <c r="Z112" s="418"/>
      <c r="AA112" s="418"/>
      <c r="AB112" s="418"/>
      <c r="AC112" s="418"/>
      <c r="AD112" s="418"/>
      <c r="AE112" s="418"/>
      <c r="AF112" s="418"/>
      <c r="AG112" s="430"/>
      <c r="AH112" s="419"/>
      <c r="AI112" s="419"/>
      <c r="AJ112" s="80"/>
      <c r="AK112" s="431"/>
      <c r="AL112"/>
      <c r="AM112"/>
      <c r="AN112" s="29"/>
      <c r="AO112" s="1"/>
      <c r="AP112" s="1"/>
    </row>
    <row r="113" spans="3:42" s="73" customFormat="1" ht="16.5" customHeight="1">
      <c r="C113" s="671" t="s">
        <v>123</v>
      </c>
      <c r="D113" s="671"/>
      <c r="E113" s="722" t="str">
        <f>E44</f>
        <v>KUKIEŁKA</v>
      </c>
      <c r="F113" s="722"/>
      <c r="G113" s="722"/>
      <c r="H113" s="722"/>
      <c r="I113" s="723" t="str">
        <f>I44</f>
        <v>KUSIAK</v>
      </c>
      <c r="J113" s="723"/>
      <c r="K113" s="723"/>
      <c r="L113" s="722" t="str">
        <f>L44</f>
        <v>ZWOLIŃ</v>
      </c>
      <c r="M113" s="722"/>
      <c r="N113" s="722"/>
      <c r="O113" s="723" t="str">
        <f>O44</f>
        <v>PADJAS</v>
      </c>
      <c r="P113" s="723"/>
      <c r="Q113" s="723"/>
      <c r="R113" s="723"/>
      <c r="S113" s="722" t="str">
        <f>S44</f>
        <v>PADJAS</v>
      </c>
      <c r="T113" s="722"/>
      <c r="U113" s="722"/>
      <c r="V113" s="723"/>
      <c r="W113" s="723"/>
      <c r="X113" s="723"/>
      <c r="Y113" s="723"/>
      <c r="Z113" s="722" t="str">
        <f>Z44</f>
        <v>MAJCHER</v>
      </c>
      <c r="AA113" s="722"/>
      <c r="AB113" s="722"/>
      <c r="AC113" s="723" t="str">
        <f>AC44</f>
        <v>ZWOLIŃSKI</v>
      </c>
      <c r="AD113" s="723"/>
      <c r="AE113" s="723"/>
      <c r="AF113" s="723"/>
      <c r="AG113" s="721" t="str">
        <f>AG44</f>
        <v>ZWOLIŃSKI</v>
      </c>
      <c r="AH113" s="721"/>
      <c r="AI113" s="721"/>
      <c r="AJ113" s="120"/>
      <c r="AK113" s="241" t="str">
        <f>AK44</f>
        <v>PADJAS</v>
      </c>
      <c r="AL113"/>
      <c r="AM113"/>
      <c r="AN113" s="29"/>
      <c r="AO113" s="1"/>
      <c r="AP113" s="1"/>
    </row>
    <row r="114" spans="3:42" s="73" customFormat="1" ht="16.5" customHeight="1">
      <c r="C114" s="671"/>
      <c r="D114" s="671"/>
      <c r="E114" s="719" t="str">
        <f>E45</f>
        <v>SCHEEL</v>
      </c>
      <c r="F114" s="719"/>
      <c r="G114" s="719"/>
      <c r="H114" s="719"/>
      <c r="I114" s="720" t="str">
        <f>I45</f>
        <v>PIEŃKOWSKI</v>
      </c>
      <c r="J114" s="720"/>
      <c r="K114" s="720"/>
      <c r="L114" s="719" t="str">
        <f>L45</f>
        <v>PIŃKOWSKI</v>
      </c>
      <c r="M114" s="719"/>
      <c r="N114" s="719"/>
      <c r="O114" s="720" t="str">
        <f>O45</f>
        <v>STOPA</v>
      </c>
      <c r="P114" s="720"/>
      <c r="Q114" s="720"/>
      <c r="R114" s="720"/>
      <c r="S114" s="719" t="str">
        <f>S45</f>
        <v>STOPA</v>
      </c>
      <c r="T114" s="719"/>
      <c r="U114" s="719"/>
      <c r="V114" s="720"/>
      <c r="W114" s="720"/>
      <c r="X114" s="720"/>
      <c r="Y114" s="720"/>
      <c r="Z114" s="719" t="str">
        <f>Z45</f>
        <v>GRZEORCZYK</v>
      </c>
      <c r="AA114" s="719"/>
      <c r="AB114" s="719"/>
      <c r="AC114" s="720" t="str">
        <f>AC45</f>
        <v>SKALSKA</v>
      </c>
      <c r="AD114" s="720"/>
      <c r="AE114" s="720"/>
      <c r="AF114" s="720"/>
      <c r="AG114" s="718" t="str">
        <f>AG45</f>
        <v>SKALSKA</v>
      </c>
      <c r="AH114" s="718"/>
      <c r="AI114" s="718"/>
      <c r="AJ114" s="432"/>
      <c r="AK114" s="246" t="str">
        <f>AK45</f>
        <v>STOPA</v>
      </c>
      <c r="AL114"/>
      <c r="AM114"/>
      <c r="AN114" s="29"/>
      <c r="AO114" s="1"/>
      <c r="AP114" s="1"/>
    </row>
    <row r="115" spans="3:42" s="73" customFormat="1" ht="16.5" customHeight="1">
      <c r="C115" s="671"/>
      <c r="D115" s="671"/>
      <c r="E115" s="719" t="str">
        <f>E46</f>
        <v>ZAWOLIK</v>
      </c>
      <c r="F115" s="719"/>
      <c r="G115" s="719"/>
      <c r="H115" s="719"/>
      <c r="I115" s="720" t="str">
        <f>I46</f>
        <v>BUDZISŁAWSKI</v>
      </c>
      <c r="J115" s="720"/>
      <c r="K115" s="720"/>
      <c r="L115" s="719" t="str">
        <f>L46</f>
        <v>BUDZISŁAWSKI</v>
      </c>
      <c r="M115" s="719"/>
      <c r="N115" s="719"/>
      <c r="O115" s="720" t="str">
        <f>O46</f>
        <v>MATUK</v>
      </c>
      <c r="P115" s="720"/>
      <c r="Q115" s="720"/>
      <c r="R115" s="720"/>
      <c r="S115" s="719" t="str">
        <f>S46</f>
        <v>MATUK</v>
      </c>
      <c r="T115" s="719"/>
      <c r="U115" s="719"/>
      <c r="V115" s="724"/>
      <c r="W115" s="724"/>
      <c r="X115" s="724"/>
      <c r="Y115" s="724"/>
      <c r="Z115" s="719" t="str">
        <f>Z46</f>
        <v>BARTOSIEWICZ</v>
      </c>
      <c r="AA115" s="719"/>
      <c r="AB115" s="719"/>
      <c r="AC115" s="720" t="str">
        <f>AC46</f>
        <v>ZAWOLIK</v>
      </c>
      <c r="AD115" s="720"/>
      <c r="AE115" s="720"/>
      <c r="AF115" s="720"/>
      <c r="AG115" s="718" t="str">
        <f>AG46</f>
        <v>ZAWOLIK</v>
      </c>
      <c r="AH115" s="718"/>
      <c r="AI115" s="718"/>
      <c r="AJ115" s="432"/>
      <c r="AK115" s="246" t="str">
        <f>AK46</f>
        <v>PAWLAK</v>
      </c>
      <c r="AL115"/>
      <c r="AM115"/>
      <c r="AN115" s="29"/>
      <c r="AO115" s="1"/>
      <c r="AP115" s="1"/>
    </row>
    <row r="116" spans="3:42" s="73" customFormat="1" ht="16.5" customHeight="1">
      <c r="C116" s="671"/>
      <c r="D116" s="671"/>
      <c r="E116" s="719" t="str">
        <f>E47</f>
        <v>SŁUPKOWSKI</v>
      </c>
      <c r="F116" s="719"/>
      <c r="G116" s="719"/>
      <c r="H116" s="719"/>
      <c r="I116" s="720" t="str">
        <f>I47</f>
        <v>SKALSKA</v>
      </c>
      <c r="J116" s="720"/>
      <c r="K116" s="720"/>
      <c r="L116" s="719" t="str">
        <f>L47</f>
        <v>SKALSKA</v>
      </c>
      <c r="M116" s="719"/>
      <c r="N116" s="719"/>
      <c r="O116" s="720" t="str">
        <f>O47</f>
        <v>KOSIŃSKI</v>
      </c>
      <c r="P116" s="720"/>
      <c r="Q116" s="720"/>
      <c r="R116" s="720"/>
      <c r="S116" s="719" t="str">
        <f>S47</f>
        <v>KOSIŃSKI</v>
      </c>
      <c r="T116" s="719"/>
      <c r="U116" s="719"/>
      <c r="V116" s="720"/>
      <c r="W116" s="720"/>
      <c r="X116" s="720"/>
      <c r="Y116" s="720"/>
      <c r="Z116" s="719" t="str">
        <f>Z47</f>
        <v>PAWŁOWSKA</v>
      </c>
      <c r="AA116" s="719"/>
      <c r="AB116" s="719"/>
      <c r="AC116" s="720" t="str">
        <f>AC47</f>
        <v>LISEWSKI</v>
      </c>
      <c r="AD116" s="720"/>
      <c r="AE116" s="720"/>
      <c r="AF116" s="720"/>
      <c r="AG116" s="718" t="str">
        <f>AG47</f>
        <v>LISEWSKI</v>
      </c>
      <c r="AH116" s="718"/>
      <c r="AI116" s="718"/>
      <c r="AJ116" s="432"/>
      <c r="AK116" s="246" t="str">
        <f>AK47</f>
        <v>KOSIŃSKI</v>
      </c>
      <c r="AL116"/>
      <c r="AM116"/>
      <c r="AN116" s="29"/>
      <c r="AO116" s="1"/>
      <c r="AP116" s="1"/>
    </row>
    <row r="118" spans="3:42">
      <c r="J118" s="64">
        <f>COUNTIF(J50:J107,"WSE")</f>
        <v>0</v>
      </c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>
        <f>COUNTIF(W50:W107,"WSE")</f>
        <v>17</v>
      </c>
      <c r="X118" s="64"/>
      <c r="Y118" s="64"/>
      <c r="Z118" s="64"/>
    </row>
  </sheetData>
  <autoFilter ref="A50:AK106" xr:uid="{00000000-0009-0000-0000-00000C000000}"/>
  <mergeCells count="175">
    <mergeCell ref="E5:H5"/>
    <mergeCell ref="H8:S8"/>
    <mergeCell ref="H9:S9"/>
    <mergeCell ref="H15:S15"/>
    <mergeCell ref="H17:S17"/>
    <mergeCell ref="S20:AI20"/>
    <mergeCell ref="S21:AI21"/>
    <mergeCell ref="S26:AI26"/>
    <mergeCell ref="H30:S30"/>
    <mergeCell ref="C39:D42"/>
    <mergeCell ref="E39:G39"/>
    <mergeCell ref="H39:K39"/>
    <mergeCell ref="L39:M39"/>
    <mergeCell ref="N39:R39"/>
    <mergeCell ref="S39:T39"/>
    <mergeCell ref="U39:Y39"/>
    <mergeCell ref="Z39:AA39"/>
    <mergeCell ref="AB39:AF39"/>
    <mergeCell ref="E41:G41"/>
    <mergeCell ref="H41:K41"/>
    <mergeCell ref="L41:M41"/>
    <mergeCell ref="N41:R41"/>
    <mergeCell ref="S41:T41"/>
    <mergeCell ref="U41:Y41"/>
    <mergeCell ref="Z41:AA41"/>
    <mergeCell ref="AB41:AF41"/>
    <mergeCell ref="AG39:AH39"/>
    <mergeCell ref="AI39:AK39"/>
    <mergeCell ref="E40:G40"/>
    <mergeCell ref="H40:K40"/>
    <mergeCell ref="L40:M40"/>
    <mergeCell ref="N40:R40"/>
    <mergeCell ref="S40:T40"/>
    <mergeCell ref="U40:Y40"/>
    <mergeCell ref="Z40:AA40"/>
    <mergeCell ref="AB40:AF40"/>
    <mergeCell ref="AG40:AH40"/>
    <mergeCell ref="AI40:AK40"/>
    <mergeCell ref="AG41:AH41"/>
    <mergeCell ref="AI41:AK41"/>
    <mergeCell ref="E42:G42"/>
    <mergeCell ref="H42:K42"/>
    <mergeCell ref="L42:M42"/>
    <mergeCell ref="N42:R42"/>
    <mergeCell ref="S42:T42"/>
    <mergeCell ref="U42:Y42"/>
    <mergeCell ref="Z42:AA42"/>
    <mergeCell ref="AB42:AF42"/>
    <mergeCell ref="AG42:AH42"/>
    <mergeCell ref="AI42:AK42"/>
    <mergeCell ref="N43:T43"/>
    <mergeCell ref="C44:D47"/>
    <mergeCell ref="E44:H44"/>
    <mergeCell ref="I44:K44"/>
    <mergeCell ref="L44:N44"/>
    <mergeCell ref="O44:R44"/>
    <mergeCell ref="S44:U44"/>
    <mergeCell ref="V44:Y44"/>
    <mergeCell ref="Z44:AB44"/>
    <mergeCell ref="E46:H46"/>
    <mergeCell ref="I46:K46"/>
    <mergeCell ref="L46:N46"/>
    <mergeCell ref="O46:R46"/>
    <mergeCell ref="S46:U46"/>
    <mergeCell ref="V46:Y46"/>
    <mergeCell ref="Z46:AB46"/>
    <mergeCell ref="AC44:AF44"/>
    <mergeCell ref="AG44:AI44"/>
    <mergeCell ref="E45:H45"/>
    <mergeCell ref="I45:K45"/>
    <mergeCell ref="L45:N45"/>
    <mergeCell ref="O45:R45"/>
    <mergeCell ref="S45:U45"/>
    <mergeCell ref="V45:Y45"/>
    <mergeCell ref="Z45:AB45"/>
    <mergeCell ref="AC45:AF45"/>
    <mergeCell ref="AG45:AI45"/>
    <mergeCell ref="AC46:AF46"/>
    <mergeCell ref="AG46:AI46"/>
    <mergeCell ref="E47:H47"/>
    <mergeCell ref="I47:K47"/>
    <mergeCell ref="L47:N47"/>
    <mergeCell ref="O47:R47"/>
    <mergeCell ref="S47:U47"/>
    <mergeCell ref="V47:Y47"/>
    <mergeCell ref="Z47:AB47"/>
    <mergeCell ref="AC47:AF47"/>
    <mergeCell ref="AG47:AI47"/>
    <mergeCell ref="E54:H54"/>
    <mergeCell ref="S61:AI61"/>
    <mergeCell ref="E68:H68"/>
    <mergeCell ref="H74:S74"/>
    <mergeCell ref="E76:H76"/>
    <mergeCell ref="S80:AI80"/>
    <mergeCell ref="E83:H83"/>
    <mergeCell ref="S92:AI92"/>
    <mergeCell ref="E101:H101"/>
    <mergeCell ref="C108:D111"/>
    <mergeCell ref="E108:G108"/>
    <mergeCell ref="H108:K108"/>
    <mergeCell ref="L108:M108"/>
    <mergeCell ref="N108:R108"/>
    <mergeCell ref="S108:T108"/>
    <mergeCell ref="U108:Y108"/>
    <mergeCell ref="Z108:AA108"/>
    <mergeCell ref="AB108:AF108"/>
    <mergeCell ref="E110:G110"/>
    <mergeCell ref="H110:K110"/>
    <mergeCell ref="L110:M110"/>
    <mergeCell ref="N110:R110"/>
    <mergeCell ref="S110:T110"/>
    <mergeCell ref="U110:Y110"/>
    <mergeCell ref="Z110:AA110"/>
    <mergeCell ref="AB110:AF110"/>
    <mergeCell ref="AG108:AH108"/>
    <mergeCell ref="AI108:AK108"/>
    <mergeCell ref="E109:G109"/>
    <mergeCell ref="H109:K109"/>
    <mergeCell ref="L109:M109"/>
    <mergeCell ref="N109:R109"/>
    <mergeCell ref="S109:T109"/>
    <mergeCell ref="U109:Y109"/>
    <mergeCell ref="Z109:AA109"/>
    <mergeCell ref="AB109:AF109"/>
    <mergeCell ref="AG109:AH109"/>
    <mergeCell ref="AI109:AK109"/>
    <mergeCell ref="AG110:AH110"/>
    <mergeCell ref="AI110:AK110"/>
    <mergeCell ref="E111:G111"/>
    <mergeCell ref="H111:K111"/>
    <mergeCell ref="L111:M111"/>
    <mergeCell ref="N111:R111"/>
    <mergeCell ref="S111:T111"/>
    <mergeCell ref="U111:Y111"/>
    <mergeCell ref="Z111:AA111"/>
    <mergeCell ref="AB111:AF111"/>
    <mergeCell ref="AG111:AH111"/>
    <mergeCell ref="AI111:AK111"/>
    <mergeCell ref="C113:D116"/>
    <mergeCell ref="E113:H113"/>
    <mergeCell ref="I113:K113"/>
    <mergeCell ref="L113:N113"/>
    <mergeCell ref="O113:R113"/>
    <mergeCell ref="S113:U113"/>
    <mergeCell ref="V113:Y113"/>
    <mergeCell ref="Z113:AB113"/>
    <mergeCell ref="AC113:AF113"/>
    <mergeCell ref="E115:H115"/>
    <mergeCell ref="I115:K115"/>
    <mergeCell ref="L115:N115"/>
    <mergeCell ref="O115:R115"/>
    <mergeCell ref="S115:U115"/>
    <mergeCell ref="V115:Y115"/>
    <mergeCell ref="Z115:AB115"/>
    <mergeCell ref="AC115:AF115"/>
    <mergeCell ref="AG113:AI113"/>
    <mergeCell ref="E114:H114"/>
    <mergeCell ref="I114:K114"/>
    <mergeCell ref="L114:N114"/>
    <mergeCell ref="O114:R114"/>
    <mergeCell ref="S114:U114"/>
    <mergeCell ref="V114:Y114"/>
    <mergeCell ref="Z114:AB114"/>
    <mergeCell ref="AC114:AF114"/>
    <mergeCell ref="AG114:AI114"/>
    <mergeCell ref="AG115:AI115"/>
    <mergeCell ref="E116:H116"/>
    <mergeCell ref="I116:K116"/>
    <mergeCell ref="L116:N116"/>
    <mergeCell ref="O116:R116"/>
    <mergeCell ref="S116:U116"/>
    <mergeCell ref="V116:Y116"/>
    <mergeCell ref="Z116:AB116"/>
    <mergeCell ref="AC116:AF116"/>
    <mergeCell ref="AG116:AI116"/>
  </mergeCells>
  <conditionalFormatting sqref="A2:A33">
    <cfRule type="containsText" dxfId="891" priority="413" operator="containsText" text="SG212">
      <formula>NOT(ISERROR(SEARCH("SG212",A2)))</formula>
    </cfRule>
    <cfRule type="containsText" dxfId="890" priority="412" operator="containsText" text="SG214">
      <formula>NOT(ISERROR(SEARCH("SG214",A2)))</formula>
    </cfRule>
    <cfRule type="containsText" dxfId="889" priority="411" operator="containsText" text="SG068">
      <formula>NOT(ISERROR(SEARCH("SG068",A2)))</formula>
    </cfRule>
    <cfRule type="containsText" dxfId="888" priority="410" operator="containsText" text="SG007">
      <formula>NOT(ISERROR(SEARCH("SG007",A2)))</formula>
    </cfRule>
  </conditionalFormatting>
  <conditionalFormatting sqref="A5:A33">
    <cfRule type="containsText" dxfId="887" priority="414" operator="containsText" text="SG070">
      <formula>NOT(ISERROR(SEARCH("SG070",A5)))</formula>
    </cfRule>
  </conditionalFormatting>
  <conditionalFormatting sqref="A102">
    <cfRule type="containsText" dxfId="886" priority="420" operator="containsText" text="SG007">
      <formula>NOT(ISERROR(SEARCH("SG007",A102)))</formula>
    </cfRule>
    <cfRule type="containsText" dxfId="885" priority="421" operator="containsText" text="SG068">
      <formula>NOT(ISERROR(SEARCH("SG068",A102)))</formula>
    </cfRule>
    <cfRule type="containsText" dxfId="884" priority="422" operator="containsText" text="SG214">
      <formula>NOT(ISERROR(SEARCH("SG214",A102)))</formula>
    </cfRule>
    <cfRule type="containsText" dxfId="883" priority="423" operator="containsText" text="SG212">
      <formula>NOT(ISERROR(SEARCH("SG212",A102)))</formula>
    </cfRule>
    <cfRule type="containsText" dxfId="882" priority="424" operator="containsText" text="SG070">
      <formula>NOT(ISERROR(SEARCH("SG070",A102)))</formula>
    </cfRule>
  </conditionalFormatting>
  <conditionalFormatting sqref="E54 E55:I59 E60:H67 E68 E69:H75 E76 E77:H82 E83 E84:H100 E101">
    <cfRule type="containsText" dxfId="881" priority="323" operator="containsText" text="12g">
      <formula>NOT(ISERROR(SEARCH("12g",E54)))</formula>
    </cfRule>
    <cfRule type="containsText" dxfId="879" priority="325" operator="containsText" text="wse">
      <formula>NOT(ISERROR(SEARCH("wse",E54)))</formula>
    </cfRule>
    <cfRule type="containsText" dxfId="878" priority="326" operator="containsText" text="k">
      <formula>NOT(ISERROR(SEARCH("k",E54)))</formula>
    </cfRule>
    <cfRule type="containsText" dxfId="877" priority="327" operator="containsText" text="u">
      <formula>NOT(ISERROR(SEARCH("u",E54)))</formula>
    </cfRule>
    <cfRule type="containsText" dxfId="876" priority="328" operator="containsText" text="s">
      <formula>NOT(ISERROR(SEARCH("s",E54)))</formula>
    </cfRule>
    <cfRule type="containsText" dxfId="875" priority="329" operator="containsText" text="d">
      <formula>NOT(ISERROR(SEARCH("d",E54)))</formula>
    </cfRule>
    <cfRule type="cellIs" dxfId="874" priority="330" operator="greaterThan">
      <formula>0</formula>
    </cfRule>
    <cfRule type="containsText" dxfId="873" priority="322" operator="containsText" text="l4">
      <formula>NOT(ISERROR(SEARCH("l4",E54)))</formula>
    </cfRule>
  </conditionalFormatting>
  <conditionalFormatting sqref="E8:H9 E10:W14 AQ15 S80">
    <cfRule type="containsText" dxfId="872" priority="9" operator="containsText" text="l4">
      <formula>NOT(ISERROR(SEARCH("l4",E8)))</formula>
    </cfRule>
    <cfRule type="containsText" dxfId="871" priority="10" operator="containsText" text="12g">
      <formula>NOT(ISERROR(SEARCH("12g",E8)))</formula>
    </cfRule>
  </conditionalFormatting>
  <conditionalFormatting sqref="E2:I4 G4:AF4 E5 I5 E6:I7 E8:H8 E9:G9 E10:I14 E15:H15 E16:I16 E17:H17 E18:I29 E30:H30 E31:I32">
    <cfRule type="cellIs" dxfId="870" priority="120" operator="greaterThan">
      <formula>0</formula>
    </cfRule>
  </conditionalFormatting>
  <conditionalFormatting sqref="E2:I4 G4:AF4 E5 I5 E6:I7 E8:H8 E9:G9 E10:P14 E15:H15 E16:W16 E17:H17 E18:R29 E30:H30 E31:W32">
    <cfRule type="containsText" dxfId="869" priority="119" operator="containsText" text="d">
      <formula>NOT(ISERROR(SEARCH("d",E2)))</formula>
    </cfRule>
    <cfRule type="containsText" dxfId="868" priority="118" operator="containsText" text="s">
      <formula>NOT(ISERROR(SEARCH("s",E2)))</formula>
    </cfRule>
    <cfRule type="containsText" dxfId="867" priority="117" operator="containsText" text="u">
      <formula>NOT(ISERROR(SEARCH("u",E2)))</formula>
    </cfRule>
    <cfRule type="containsText" dxfId="866" priority="116" operator="containsText" text="k">
      <formula>NOT(ISERROR(SEARCH("k",E2)))</formula>
    </cfRule>
    <cfRule type="containsText" dxfId="865" priority="115" operator="containsText" text="wse">
      <formula>NOT(ISERROR(SEARCH("wse",E2)))</formula>
    </cfRule>
  </conditionalFormatting>
  <conditionalFormatting sqref="E2:I4 G4:AF4 E5 I5 E6:I7 E15:H15 E16:W16 E17:H17 E18:R29 E30:H30 E31:W32">
    <cfRule type="containsText" dxfId="863" priority="113" operator="containsText" text="12g">
      <formula>NOT(ISERROR(SEARCH("12g",E2)))</formula>
    </cfRule>
    <cfRule type="containsText" dxfId="862" priority="112" operator="containsText" text="l4">
      <formula>NOT(ISERROR(SEARCH("l4",E2)))</formula>
    </cfRule>
  </conditionalFormatting>
  <conditionalFormatting sqref="E33:I33 L33:P33 S33:W33 Z33:AD33 S80">
    <cfRule type="cellIs" dxfId="861" priority="57" operator="greaterThan">
      <formula>0</formula>
    </cfRule>
  </conditionalFormatting>
  <conditionalFormatting sqref="E51:I53">
    <cfRule type="containsText" dxfId="860" priority="193" operator="containsText" text="wse">
      <formula>NOT(ISERROR(SEARCH("wse",E51)))</formula>
    </cfRule>
    <cfRule type="containsText" dxfId="859" priority="194" operator="containsText" text="k">
      <formula>NOT(ISERROR(SEARCH("k",E51)))</formula>
    </cfRule>
    <cfRule type="containsText" dxfId="858" priority="190" operator="containsText" text="l4">
      <formula>NOT(ISERROR(SEARCH("l4",E51)))</formula>
    </cfRule>
    <cfRule type="containsText" dxfId="857" priority="195" operator="containsText" text="u">
      <formula>NOT(ISERROR(SEARCH("u",E51)))</formula>
    </cfRule>
    <cfRule type="containsText" dxfId="856" priority="196" operator="containsText" text="s">
      <formula>NOT(ISERROR(SEARCH("s",E51)))</formula>
    </cfRule>
    <cfRule type="containsText" dxfId="855" priority="197" operator="containsText" text="d">
      <formula>NOT(ISERROR(SEARCH("d",E51)))</formula>
    </cfRule>
    <cfRule type="cellIs" dxfId="854" priority="198" operator="greaterThan">
      <formula>0</formula>
    </cfRule>
    <cfRule type="containsText" dxfId="853" priority="191" operator="containsText" text="12g">
      <formula>NOT(ISERROR(SEARCH("12g",E51)))</formula>
    </cfRule>
  </conditionalFormatting>
  <conditionalFormatting sqref="E102:K102">
    <cfRule type="containsText" dxfId="851" priority="68" operator="containsText" text="wse">
      <formula>NOT(ISERROR(SEARCH("wse",E102)))</formula>
    </cfRule>
    <cfRule type="containsText" dxfId="850" priority="72" operator="containsText" text="d">
      <formula>NOT(ISERROR(SEARCH("d",E102)))</formula>
    </cfRule>
    <cfRule type="containsText" dxfId="849" priority="71" operator="containsText" text="s">
      <formula>NOT(ISERROR(SEARCH("s",E102)))</formula>
    </cfRule>
    <cfRule type="containsText" dxfId="848" priority="70" operator="containsText" text="u">
      <formula>NOT(ISERROR(SEARCH("u",E102)))</formula>
    </cfRule>
    <cfRule type="containsText" dxfId="847" priority="69" operator="containsText" text="k">
      <formula>NOT(ISERROR(SEARCH("k",E102)))</formula>
    </cfRule>
  </conditionalFormatting>
  <conditionalFormatting sqref="E33:AF33">
    <cfRule type="containsText" dxfId="845" priority="21" operator="containsText" text="k">
      <formula>NOT(ISERROR(SEARCH("k",E33)))</formula>
    </cfRule>
    <cfRule type="containsText" dxfId="844" priority="22" operator="containsText" text="u">
      <formula>NOT(ISERROR(SEARCH("u",E33)))</formula>
    </cfRule>
    <cfRule type="containsText" dxfId="843" priority="23" operator="containsText" text="s">
      <formula>NOT(ISERROR(SEARCH("s",E33)))</formula>
    </cfRule>
    <cfRule type="containsText" dxfId="842" priority="20" operator="containsText" text="wse">
      <formula>NOT(ISERROR(SEARCH("wse",E33)))</formula>
    </cfRule>
    <cfRule type="containsText" dxfId="841" priority="24" operator="containsText" text="d">
      <formula>NOT(ISERROR(SEARCH("d",E33)))</formula>
    </cfRule>
    <cfRule type="containsText" dxfId="839" priority="18" operator="containsText" text="12g">
      <formula>NOT(ISERROR(SEARCH("12g",E33)))</formula>
    </cfRule>
    <cfRule type="containsText" dxfId="838" priority="17" operator="containsText" text="l4">
      <formula>NOT(ISERROR(SEARCH("l4",E33)))</formula>
    </cfRule>
  </conditionalFormatting>
  <conditionalFormatting sqref="E102:AF102">
    <cfRule type="containsText" dxfId="837" priority="66" operator="containsText" text="12g">
      <formula>NOT(ISERROR(SEARCH("12g",E102)))</formula>
    </cfRule>
    <cfRule type="containsText" dxfId="836" priority="65" operator="containsText" text="l4">
      <formula>NOT(ISERROR(SEARCH("l4",E102)))</formula>
    </cfRule>
  </conditionalFormatting>
  <conditionalFormatting sqref="E2:AI4 I5:AI5 E6:AI19 E22:AI25 E27:AI32 E20:S21 E26:S26 E5">
    <cfRule type="containsText" dxfId="835" priority="971" operator="containsText" text="!">
      <formula>NOT(ISERROR(SEARCH("!",E2)))</formula>
    </cfRule>
  </conditionalFormatting>
  <conditionalFormatting sqref="E34:AI34">
    <cfRule type="cellIs" dxfId="834" priority="61" operator="greaterThan">
      <formula>1.5</formula>
    </cfRule>
  </conditionalFormatting>
  <conditionalFormatting sqref="E34:AI35">
    <cfRule type="cellIs" dxfId="833" priority="58" operator="between">
      <formula>0.5</formula>
      <formula>1.5</formula>
    </cfRule>
  </conditionalFormatting>
  <conditionalFormatting sqref="E34:AI37">
    <cfRule type="cellIs" dxfId="832" priority="59" operator="equal">
      <formula>0</formula>
    </cfRule>
  </conditionalFormatting>
  <conditionalFormatting sqref="E35:AI35">
    <cfRule type="cellIs" dxfId="831" priority="62" operator="greaterThan">
      <formula>1.5</formula>
    </cfRule>
  </conditionalFormatting>
  <conditionalFormatting sqref="E36:AI36">
    <cfRule type="cellIs" dxfId="830" priority="63" operator="greaterThan">
      <formula>3.5</formula>
    </cfRule>
  </conditionalFormatting>
  <conditionalFormatting sqref="E37:AI37">
    <cfRule type="cellIs" dxfId="829" priority="16" operator="greaterThan">
      <formula>3.5</formula>
    </cfRule>
  </conditionalFormatting>
  <conditionalFormatting sqref="E103:AI103">
    <cfRule type="cellIs" dxfId="828" priority="109" operator="greaterThan">
      <formula>1.5</formula>
    </cfRule>
  </conditionalFormatting>
  <conditionalFormatting sqref="E103:AI104">
    <cfRule type="cellIs" dxfId="827" priority="106" operator="between">
      <formula>0.5</formula>
      <formula>1.5</formula>
    </cfRule>
  </conditionalFormatting>
  <conditionalFormatting sqref="E103:AI106">
    <cfRule type="cellIs" dxfId="826" priority="107" operator="equal">
      <formula>0</formula>
    </cfRule>
  </conditionalFormatting>
  <conditionalFormatting sqref="E104:AI104">
    <cfRule type="cellIs" dxfId="825" priority="110" operator="greaterThan">
      <formula>1.5</formula>
    </cfRule>
  </conditionalFormatting>
  <conditionalFormatting sqref="E105:AI105">
    <cfRule type="cellIs" dxfId="824" priority="111" operator="greaterThan">
      <formula>3.5</formula>
    </cfRule>
  </conditionalFormatting>
  <conditionalFormatting sqref="E106:AI106">
    <cfRule type="cellIs" dxfId="823" priority="64" operator="greaterThan">
      <formula>3.5</formula>
    </cfRule>
  </conditionalFormatting>
  <conditionalFormatting sqref="E39:AK42">
    <cfRule type="expression" dxfId="822" priority="408">
      <formula>LEN(TRIM(E39))=0</formula>
    </cfRule>
  </conditionalFormatting>
  <conditionalFormatting sqref="E108:AK111">
    <cfRule type="expression" dxfId="821" priority="409">
      <formula>LEN(TRIM(E108))=0</formula>
    </cfRule>
  </conditionalFormatting>
  <conditionalFormatting sqref="H9 Q10:R14 AQ15 S80">
    <cfRule type="containsText" dxfId="819" priority="15" operator="containsText" text="d">
      <formula>NOT(ISERROR(SEARCH("d",H9)))</formula>
    </cfRule>
    <cfRule type="containsText" dxfId="818" priority="14" operator="containsText" text="s">
      <formula>NOT(ISERROR(SEARCH("s",H9)))</formula>
    </cfRule>
    <cfRule type="containsText" dxfId="817" priority="13" operator="containsText" text="u">
      <formula>NOT(ISERROR(SEARCH("u",H9)))</formula>
    </cfRule>
    <cfRule type="containsText" dxfId="816" priority="12" operator="containsText" text="k">
      <formula>NOT(ISERROR(SEARCH("k",H9)))</formula>
    </cfRule>
    <cfRule type="containsText" dxfId="815" priority="11" operator="containsText" text="wse">
      <formula>NOT(ISERROR(SEARCH("wse",H9)))</formula>
    </cfRule>
  </conditionalFormatting>
  <conditionalFormatting sqref="I54">
    <cfRule type="containsText" dxfId="814" priority="479" operator="containsText" text="d">
      <formula>NOT(ISERROR(SEARCH("d",I54)))</formula>
    </cfRule>
    <cfRule type="cellIs" dxfId="813" priority="480" operator="greaterThan">
      <formula>0</formula>
    </cfRule>
    <cfRule type="containsText" dxfId="812" priority="478" operator="containsText" text="s">
      <formula>NOT(ISERROR(SEARCH("s",I54)))</formula>
    </cfRule>
    <cfRule type="containsText" dxfId="811" priority="472" operator="containsText" text="l4">
      <formula>NOT(ISERROR(SEARCH("l4",I54)))</formula>
    </cfRule>
    <cfRule type="containsText" dxfId="810" priority="473" operator="containsText" text="12g">
      <formula>NOT(ISERROR(SEARCH("12g",I54)))</formula>
    </cfRule>
    <cfRule type="containsText" dxfId="808" priority="475" operator="containsText" text="wse">
      <formula>NOT(ISERROR(SEARCH("wse",I54)))</formula>
    </cfRule>
    <cfRule type="containsText" dxfId="807" priority="476" operator="containsText" text="k">
      <formula>NOT(ISERROR(SEARCH("k",I54)))</formula>
    </cfRule>
    <cfRule type="containsText" dxfId="806" priority="477" operator="containsText" text="u">
      <formula>NOT(ISERROR(SEARCH("u",I54)))</formula>
    </cfRule>
  </conditionalFormatting>
  <conditionalFormatting sqref="I60:I62">
    <cfRule type="containsText" dxfId="805" priority="486" operator="containsText" text="k">
      <formula>NOT(ISERROR(SEARCH("k",I60)))</formula>
    </cfRule>
    <cfRule type="cellIs" dxfId="804" priority="490" operator="greaterThan">
      <formula>0</formula>
    </cfRule>
    <cfRule type="containsText" dxfId="803" priority="482" operator="containsText" text="l4">
      <formula>NOT(ISERROR(SEARCH("l4",I60)))</formula>
    </cfRule>
    <cfRule type="containsText" dxfId="802" priority="487" operator="containsText" text="u">
      <formula>NOT(ISERROR(SEARCH("u",I60)))</formula>
    </cfRule>
    <cfRule type="containsText" dxfId="800" priority="488" operator="containsText" text="s">
      <formula>NOT(ISERROR(SEARCH("s",I60)))</formula>
    </cfRule>
    <cfRule type="containsText" dxfId="799" priority="485" operator="containsText" text="wse">
      <formula>NOT(ISERROR(SEARCH("wse",I60)))</formula>
    </cfRule>
    <cfRule type="containsText" dxfId="798" priority="489" operator="containsText" text="d">
      <formula>NOT(ISERROR(SEARCH("d",I60)))</formula>
    </cfRule>
    <cfRule type="containsText" dxfId="797" priority="483" operator="containsText" text="12g">
      <formula>NOT(ISERROR(SEARCH("12g",I60)))</formula>
    </cfRule>
  </conditionalFormatting>
  <conditionalFormatting sqref="I73">
    <cfRule type="containsText" dxfId="796" priority="512" operator="containsText" text="l4">
      <formula>NOT(ISERROR(SEARCH("l4",I73)))</formula>
    </cfRule>
    <cfRule type="containsText" dxfId="795" priority="513" operator="containsText" text="12g">
      <formula>NOT(ISERROR(SEARCH("12g",I73)))</formula>
    </cfRule>
    <cfRule type="containsText" dxfId="793" priority="515" operator="containsText" text="wse">
      <formula>NOT(ISERROR(SEARCH("wse",I73)))</formula>
    </cfRule>
    <cfRule type="containsText" dxfId="792" priority="516" operator="containsText" text="k">
      <formula>NOT(ISERROR(SEARCH("k",I73)))</formula>
    </cfRule>
    <cfRule type="cellIs" dxfId="791" priority="520" operator="greaterThan">
      <formula>0</formula>
    </cfRule>
    <cfRule type="containsText" dxfId="790" priority="517" operator="containsText" text="u">
      <formula>NOT(ISERROR(SEARCH("u",I73)))</formula>
    </cfRule>
    <cfRule type="containsText" dxfId="789" priority="518" operator="containsText" text="s">
      <formula>NOT(ISERROR(SEARCH("s",I73)))</formula>
    </cfRule>
    <cfRule type="containsText" dxfId="788" priority="519" operator="containsText" text="d">
      <formula>NOT(ISERROR(SEARCH("d",I73)))</formula>
    </cfRule>
  </conditionalFormatting>
  <conditionalFormatting sqref="I75">
    <cfRule type="containsText" dxfId="787" priority="525" operator="containsText" text="wse">
      <formula>NOT(ISERROR(SEARCH("wse",I75)))</formula>
    </cfRule>
    <cfRule type="containsText" dxfId="785" priority="522" operator="containsText" text="l4">
      <formula>NOT(ISERROR(SEARCH("l4",I75)))</formula>
    </cfRule>
    <cfRule type="containsText" dxfId="784" priority="523" operator="containsText" text="12g">
      <formula>NOT(ISERROR(SEARCH("12g",I75)))</formula>
    </cfRule>
    <cfRule type="cellIs" dxfId="783" priority="530" operator="greaterThan">
      <formula>0</formula>
    </cfRule>
    <cfRule type="containsText" dxfId="782" priority="529" operator="containsText" text="d">
      <formula>NOT(ISERROR(SEARCH("d",I75)))</formula>
    </cfRule>
    <cfRule type="containsText" dxfId="781" priority="528" operator="containsText" text="s">
      <formula>NOT(ISERROR(SEARCH("s",I75)))</formula>
    </cfRule>
    <cfRule type="containsText" dxfId="780" priority="527" operator="containsText" text="u">
      <formula>NOT(ISERROR(SEARCH("u",I75)))</formula>
    </cfRule>
    <cfRule type="containsText" dxfId="779" priority="526" operator="containsText" text="k">
      <formula>NOT(ISERROR(SEARCH("k",I75)))</formula>
    </cfRule>
  </conditionalFormatting>
  <conditionalFormatting sqref="I77">
    <cfRule type="containsText" dxfId="778" priority="532" operator="containsText" text="l4">
      <formula>NOT(ISERROR(SEARCH("l4",I77)))</formula>
    </cfRule>
    <cfRule type="containsText" dxfId="777" priority="533" operator="containsText" text="12g">
      <formula>NOT(ISERROR(SEARCH("12g",I77)))</formula>
    </cfRule>
    <cfRule type="cellIs" dxfId="776" priority="540" operator="greaterThan">
      <formula>0</formula>
    </cfRule>
    <cfRule type="containsText" dxfId="775" priority="539" operator="containsText" text="d">
      <formula>NOT(ISERROR(SEARCH("d",I77)))</formula>
    </cfRule>
    <cfRule type="containsText" dxfId="774" priority="538" operator="containsText" text="s">
      <formula>NOT(ISERROR(SEARCH("s",I77)))</formula>
    </cfRule>
    <cfRule type="containsText" dxfId="773" priority="537" operator="containsText" text="u">
      <formula>NOT(ISERROR(SEARCH("u",I77)))</formula>
    </cfRule>
    <cfRule type="containsText" dxfId="772" priority="536" operator="containsText" text="k">
      <formula>NOT(ISERROR(SEARCH("k",I77)))</formula>
    </cfRule>
    <cfRule type="containsText" dxfId="771" priority="535" operator="containsText" text="wse">
      <formula>NOT(ISERROR(SEARCH("wse",I77)))</formula>
    </cfRule>
  </conditionalFormatting>
  <conditionalFormatting sqref="I86:I87">
    <cfRule type="containsText" dxfId="769" priority="546" operator="containsText" text="k">
      <formula>NOT(ISERROR(SEARCH("k",I86)))</formula>
    </cfRule>
    <cfRule type="containsText" dxfId="768" priority="545" operator="containsText" text="wse">
      <formula>NOT(ISERROR(SEARCH("wse",I86)))</formula>
    </cfRule>
    <cfRule type="containsText" dxfId="767" priority="549" operator="containsText" text="d">
      <formula>NOT(ISERROR(SEARCH("d",I86)))</formula>
    </cfRule>
    <cfRule type="cellIs" dxfId="765" priority="550" operator="greaterThan">
      <formula>0</formula>
    </cfRule>
    <cfRule type="containsText" dxfId="764" priority="548" operator="containsText" text="s">
      <formula>NOT(ISERROR(SEARCH("s",I86)))</formula>
    </cfRule>
    <cfRule type="containsText" dxfId="763" priority="547" operator="containsText" text="u">
      <formula>NOT(ISERROR(SEARCH("u",I86)))</formula>
    </cfRule>
    <cfRule type="containsText" dxfId="762" priority="543" operator="containsText" text="12g">
      <formula>NOT(ISERROR(SEARCH("12g",I86)))</formula>
    </cfRule>
    <cfRule type="containsText" dxfId="761" priority="542" operator="containsText" text="l4">
      <formula>NOT(ISERROR(SEARCH("l4",I86)))</formula>
    </cfRule>
  </conditionalFormatting>
  <conditionalFormatting sqref="I93:I97">
    <cfRule type="cellIs" dxfId="760" priority="570" operator="greaterThan">
      <formula>0</formula>
    </cfRule>
    <cfRule type="containsText" dxfId="759" priority="562" operator="containsText" text="l4">
      <formula>NOT(ISERROR(SEARCH("l4",I93)))</formula>
    </cfRule>
    <cfRule type="containsText" dxfId="758" priority="563" operator="containsText" text="12g">
      <formula>NOT(ISERROR(SEARCH("12g",I93)))</formula>
    </cfRule>
    <cfRule type="containsText" dxfId="756" priority="565" operator="containsText" text="wse">
      <formula>NOT(ISERROR(SEARCH("wse",I93)))</formula>
    </cfRule>
    <cfRule type="containsText" dxfId="755" priority="566" operator="containsText" text="k">
      <formula>NOT(ISERROR(SEARCH("k",I93)))</formula>
    </cfRule>
    <cfRule type="containsText" dxfId="754" priority="567" operator="containsText" text="u">
      <formula>NOT(ISERROR(SEARCH("u",I93)))</formula>
    </cfRule>
    <cfRule type="containsText" dxfId="753" priority="568" operator="containsText" text="s">
      <formula>NOT(ISERROR(SEARCH("s",I93)))</formula>
    </cfRule>
    <cfRule type="containsText" dxfId="752" priority="569" operator="containsText" text="d">
      <formula>NOT(ISERROR(SEARCH("d",I93)))</formula>
    </cfRule>
  </conditionalFormatting>
  <conditionalFormatting sqref="I63:K72 I76:K76 I78:K85 I88:K92 I98:K101">
    <cfRule type="containsText" dxfId="750" priority="402" operator="containsText" text="wse">
      <formula>NOT(ISERROR(SEARCH("wse",I63)))</formula>
    </cfRule>
    <cfRule type="containsText" dxfId="749" priority="403" operator="containsText" text="k">
      <formula>NOT(ISERROR(SEARCH("k",I63)))</formula>
    </cfRule>
    <cfRule type="containsText" dxfId="748" priority="405" operator="containsText" text="s">
      <formula>NOT(ISERROR(SEARCH("s",I63)))</formula>
    </cfRule>
    <cfRule type="containsText" dxfId="747" priority="404" operator="containsText" text="u">
      <formula>NOT(ISERROR(SEARCH("u",I63)))</formula>
    </cfRule>
    <cfRule type="containsText" dxfId="746" priority="399" operator="containsText" text="l4">
      <formula>NOT(ISERROR(SEARCH("l4",I63)))</formula>
    </cfRule>
    <cfRule type="containsText" dxfId="745" priority="400" operator="containsText" text="12g">
      <formula>NOT(ISERROR(SEARCH("12g",I63)))</formula>
    </cfRule>
    <cfRule type="cellIs" dxfId="744" priority="407" operator="greaterThan">
      <formula>0</formula>
    </cfRule>
    <cfRule type="containsText" dxfId="743" priority="406" operator="containsText" text="d">
      <formula>NOT(ISERROR(SEARCH("d",I63)))</formula>
    </cfRule>
  </conditionalFormatting>
  <conditionalFormatting sqref="J2:K2">
    <cfRule type="containsText" dxfId="742" priority="2" operator="containsText" text="D">
      <formula>NOT(ISERROR(SEARCH("D",J2)))</formula>
    </cfRule>
  </conditionalFormatting>
  <conditionalFormatting sqref="J3:K7">
    <cfRule type="containsText" dxfId="741" priority="158" operator="containsText" text="12g">
      <formula>NOT(ISERROR(SEARCH("12g",J3)))</formula>
    </cfRule>
    <cfRule type="containsText" dxfId="740" priority="157" operator="containsText" text="l4">
      <formula>NOT(ISERROR(SEARCH("l4",J3)))</formula>
    </cfRule>
    <cfRule type="containsText" dxfId="738" priority="160" operator="containsText" text="wse">
      <formula>NOT(ISERROR(SEARCH("wse",J3)))</formula>
    </cfRule>
    <cfRule type="containsText" dxfId="737" priority="161" operator="containsText" text="k">
      <formula>NOT(ISERROR(SEARCH("k",J3)))</formula>
    </cfRule>
    <cfRule type="containsText" dxfId="736" priority="162" operator="containsText" text="u">
      <formula>NOT(ISERROR(SEARCH("u",J3)))</formula>
    </cfRule>
    <cfRule type="containsText" dxfId="735" priority="163" operator="containsText" text="s">
      <formula>NOT(ISERROR(SEARCH("s",J3)))</formula>
    </cfRule>
    <cfRule type="containsText" dxfId="734" priority="164" operator="containsText" text="d">
      <formula>NOT(ISERROR(SEARCH("d",J3)))</formula>
    </cfRule>
  </conditionalFormatting>
  <conditionalFormatting sqref="J51:K62">
    <cfRule type="containsText" dxfId="733" priority="189" operator="containsText" text="D">
      <formula>NOT(ISERROR(SEARCH("D",J51)))</formula>
    </cfRule>
  </conditionalFormatting>
  <conditionalFormatting sqref="J73:K73">
    <cfRule type="containsText" dxfId="732" priority="511" operator="containsText" text="D">
      <formula>NOT(ISERROR(SEARCH("D",J73)))</formula>
    </cfRule>
  </conditionalFormatting>
  <conditionalFormatting sqref="J75:K75">
    <cfRule type="containsText" dxfId="731" priority="521" operator="containsText" text="D">
      <formula>NOT(ISERROR(SEARCH("D",J75)))</formula>
    </cfRule>
  </conditionalFormatting>
  <conditionalFormatting sqref="J77:K77">
    <cfRule type="containsText" dxfId="730" priority="531" operator="containsText" text="D">
      <formula>NOT(ISERROR(SEARCH("D",J77)))</formula>
    </cfRule>
  </conditionalFormatting>
  <conditionalFormatting sqref="J86:K87">
    <cfRule type="containsText" dxfId="729" priority="541" operator="containsText" text="D">
      <formula>NOT(ISERROR(SEARCH("D",J86)))</formula>
    </cfRule>
  </conditionalFormatting>
  <conditionalFormatting sqref="J93:K97">
    <cfRule type="containsText" dxfId="728" priority="561" operator="containsText" text="D">
      <formula>NOT(ISERROR(SEARCH("D",J93)))</formula>
    </cfRule>
  </conditionalFormatting>
  <conditionalFormatting sqref="J118:Z118">
    <cfRule type="cellIs" dxfId="727" priority="968" operator="between">
      <formula>0.5</formula>
      <formula>1.5</formula>
    </cfRule>
    <cfRule type="cellIs" dxfId="726" priority="969" operator="equal">
      <formula>0</formula>
    </cfRule>
    <cfRule type="cellIs" dxfId="725" priority="970" operator="greaterThan">
      <formula>1.5</formula>
    </cfRule>
  </conditionalFormatting>
  <conditionalFormatting sqref="L2:P7 L10:P14 L16:P16 L18:P29 L31:P32">
    <cfRule type="cellIs" dxfId="724" priority="129" operator="greaterThan">
      <formula>0</formula>
    </cfRule>
  </conditionalFormatting>
  <conditionalFormatting sqref="L51:P52">
    <cfRule type="cellIs" dxfId="723" priority="207" operator="greaterThan">
      <formula>0</formula>
    </cfRule>
  </conditionalFormatting>
  <conditionalFormatting sqref="L53:P73 L75:P101">
    <cfRule type="cellIs" dxfId="722" priority="339" operator="greaterThan">
      <formula>0</formula>
    </cfRule>
  </conditionalFormatting>
  <conditionalFormatting sqref="L53:R62 L63:Y73 L75:Y75 L76:R101">
    <cfRule type="containsText" dxfId="721" priority="331" operator="containsText" text="l4">
      <formula>NOT(ISERROR(SEARCH("l4",L53)))</formula>
    </cfRule>
    <cfRule type="containsText" dxfId="720" priority="332" operator="containsText" text="12g">
      <formula>NOT(ISERROR(SEARCH("12g",L53)))</formula>
    </cfRule>
    <cfRule type="containsText" dxfId="718" priority="334" operator="containsText" text="wse">
      <formula>NOT(ISERROR(SEARCH("wse",L53)))</formula>
    </cfRule>
    <cfRule type="containsText" dxfId="717" priority="335" operator="containsText" text="k">
      <formula>NOT(ISERROR(SEARCH("k",L53)))</formula>
    </cfRule>
    <cfRule type="containsText" dxfId="716" priority="336" operator="containsText" text="u">
      <formula>NOT(ISERROR(SEARCH("u",L53)))</formula>
    </cfRule>
    <cfRule type="containsText" dxfId="715" priority="337" operator="containsText" text="s">
      <formula>NOT(ISERROR(SEARCH("s",L53)))</formula>
    </cfRule>
    <cfRule type="containsText" dxfId="714" priority="338" operator="containsText" text="d">
      <formula>NOT(ISERROR(SEARCH("d",L53)))</formula>
    </cfRule>
  </conditionalFormatting>
  <conditionalFormatting sqref="L102:R102">
    <cfRule type="containsText" dxfId="713" priority="77" operator="containsText" text="k">
      <formula>NOT(ISERROR(SEARCH("k",L102)))</formula>
    </cfRule>
    <cfRule type="containsText" dxfId="712" priority="76" operator="containsText" text="wse">
      <formula>NOT(ISERROR(SEARCH("wse",L102)))</formula>
    </cfRule>
    <cfRule type="containsText" dxfId="711" priority="80" operator="containsText" text="d">
      <formula>NOT(ISERROR(SEARCH("d",L102)))</formula>
    </cfRule>
    <cfRule type="containsText" dxfId="710" priority="79" operator="containsText" text="s">
      <formula>NOT(ISERROR(SEARCH("s",L102)))</formula>
    </cfRule>
    <cfRule type="containsText" dxfId="709" priority="78" operator="containsText" text="u">
      <formula>NOT(ISERROR(SEARCH("u",L102)))</formula>
    </cfRule>
  </conditionalFormatting>
  <conditionalFormatting sqref="L2:W7">
    <cfRule type="containsText" dxfId="708" priority="127" operator="containsText" text="s">
      <formula>NOT(ISERROR(SEARCH("s",L2)))</formula>
    </cfRule>
    <cfRule type="containsText" dxfId="707" priority="126" operator="containsText" text="u">
      <formula>NOT(ISERROR(SEARCH("u",L2)))</formula>
    </cfRule>
    <cfRule type="containsText" dxfId="706" priority="125" operator="containsText" text="k">
      <formula>NOT(ISERROR(SEARCH("k",L2)))</formula>
    </cfRule>
    <cfRule type="containsText" dxfId="705" priority="124" operator="containsText" text="wse">
      <formula>NOT(ISERROR(SEARCH("wse",L2)))</formula>
    </cfRule>
    <cfRule type="containsText" dxfId="704" priority="128" operator="containsText" text="d">
      <formula>NOT(ISERROR(SEARCH("d",L2)))</formula>
    </cfRule>
    <cfRule type="containsText" dxfId="702" priority="122" operator="containsText" text="12g">
      <formula>NOT(ISERROR(SEARCH("12g",L2)))</formula>
    </cfRule>
    <cfRule type="containsText" dxfId="701" priority="121" operator="containsText" text="l4">
      <formula>NOT(ISERROR(SEARCH("l4",L2)))</formula>
    </cfRule>
  </conditionalFormatting>
  <conditionalFormatting sqref="L51:AI52">
    <cfRule type="containsText" dxfId="700" priority="200" operator="containsText" text="12g">
      <formula>NOT(ISERROR(SEARCH("12g",L51)))</formula>
    </cfRule>
    <cfRule type="containsText" dxfId="699" priority="204" operator="containsText" text="u">
      <formula>NOT(ISERROR(SEARCH("u",L51)))</formula>
    </cfRule>
    <cfRule type="containsText" dxfId="698" priority="199" operator="containsText" text="l4">
      <formula>NOT(ISERROR(SEARCH("l4",L51)))</formula>
    </cfRule>
    <cfRule type="containsText" dxfId="697" priority="206" operator="containsText" text="d">
      <formula>NOT(ISERROR(SEARCH("d",L51)))</formula>
    </cfRule>
    <cfRule type="containsText" dxfId="696" priority="205" operator="containsText" text="s">
      <formula>NOT(ISERROR(SEARCH("s",L51)))</formula>
    </cfRule>
    <cfRule type="containsText" dxfId="695" priority="203" operator="containsText" text="k">
      <formula>NOT(ISERROR(SEARCH("k",L51)))</formula>
    </cfRule>
    <cfRule type="containsText" dxfId="694" priority="202" operator="containsText" text="wse">
      <formula>NOT(ISERROR(SEARCH("wse",L51)))</formula>
    </cfRule>
  </conditionalFormatting>
  <conditionalFormatting sqref="S51:W52">
    <cfRule type="cellIs" dxfId="691" priority="216" operator="greaterThan">
      <formula>0</formula>
    </cfRule>
  </conditionalFormatting>
  <conditionalFormatting sqref="S53:W60 S61 S62:W73 T74:W74 S75:W79 S81:W91 S92 S93:W101">
    <cfRule type="cellIs" dxfId="690" priority="348" operator="greaterThan">
      <formula>0</formula>
    </cfRule>
  </conditionalFormatting>
  <conditionalFormatting sqref="S102:W102 Z102:AD102 L102:P102 E102:I102">
    <cfRule type="cellIs" dxfId="689" priority="105" operator="greaterThan">
      <formula>0</formula>
    </cfRule>
  </conditionalFormatting>
  <conditionalFormatting sqref="S102:W102">
    <cfRule type="containsText" dxfId="688" priority="100" operator="containsText" text="wse">
      <formula>NOT(ISERROR(SEARCH("wse",S102)))</formula>
    </cfRule>
    <cfRule type="containsText" dxfId="687" priority="102" operator="containsText" text="u">
      <formula>NOT(ISERROR(SEARCH("u",S102)))</formula>
    </cfRule>
    <cfRule type="containsText" dxfId="685" priority="103" operator="containsText" text="s">
      <formula>NOT(ISERROR(SEARCH("s",S102)))</formula>
    </cfRule>
    <cfRule type="containsText" dxfId="684" priority="104" operator="containsText" text="d">
      <formula>NOT(ISERROR(SEARCH("d",S102)))</formula>
    </cfRule>
    <cfRule type="containsText" dxfId="683" priority="101" operator="containsText" text="k">
      <formula>NOT(ISERROR(SEARCH("k",S102)))</formula>
    </cfRule>
  </conditionalFormatting>
  <conditionalFormatting sqref="S53:AI60 S61 S62:Y62 T74:Y74 S76:Y79 S81:AI91 S92 S93:AI101">
    <cfRule type="containsText" dxfId="682" priority="345" operator="containsText" text="u">
      <formula>NOT(ISERROR(SEARCH("u",S53)))</formula>
    </cfRule>
    <cfRule type="containsText" dxfId="681" priority="344" operator="containsText" text="k">
      <formula>NOT(ISERROR(SEARCH("k",S53)))</formula>
    </cfRule>
    <cfRule type="containsText" dxfId="680" priority="343" operator="containsText" text="wse">
      <formula>NOT(ISERROR(SEARCH("wse",S53)))</formula>
    </cfRule>
    <cfRule type="containsText" dxfId="678" priority="340" operator="containsText" text="l4">
      <formula>NOT(ISERROR(SEARCH("l4",S53)))</formula>
    </cfRule>
    <cfRule type="containsText" dxfId="677" priority="341" operator="containsText" text="12g">
      <formula>NOT(ISERROR(SEARCH("12g",S53)))</formula>
    </cfRule>
    <cfRule type="containsText" dxfId="676" priority="347" operator="containsText" text="d">
      <formula>NOT(ISERROR(SEARCH("d",S53)))</formula>
    </cfRule>
    <cfRule type="containsText" dxfId="675" priority="346" operator="containsText" text="s">
      <formula>NOT(ISERROR(SEARCH("s",S53)))</formula>
    </cfRule>
  </conditionalFormatting>
  <conditionalFormatting sqref="T8:W9 S10:W14 T15:W15 T17:W17 S18:W19 S20:S21 S22:W25 S26 S27:W29 T30:W30 S2:W7 S16:W16 S31:W32">
    <cfRule type="cellIs" dxfId="674" priority="138" operator="greaterThan">
      <formula>0</formula>
    </cfRule>
  </conditionalFormatting>
  <conditionalFormatting sqref="T8:W9 S10:W14 T15:W15 T17:W17 S18:W19 S20:S21 S22:AI25 S26 S27:W29 T30:W30">
    <cfRule type="containsText" dxfId="673" priority="137" operator="containsText" text="d">
      <formula>NOT(ISERROR(SEARCH("d",S8)))</formula>
    </cfRule>
    <cfRule type="containsText" dxfId="672" priority="136" operator="containsText" text="s">
      <formula>NOT(ISERROR(SEARCH("s",S8)))</formula>
    </cfRule>
    <cfRule type="containsText" dxfId="671" priority="135" operator="containsText" text="u">
      <formula>NOT(ISERROR(SEARCH("u",S8)))</formula>
    </cfRule>
    <cfRule type="containsText" dxfId="670" priority="134" operator="containsText" text="k">
      <formula>NOT(ISERROR(SEARCH("k",S8)))</formula>
    </cfRule>
    <cfRule type="containsText" dxfId="669" priority="133" operator="containsText" text="wse">
      <formula>NOT(ISERROR(SEARCH("wse",S8)))</formula>
    </cfRule>
  </conditionalFormatting>
  <conditionalFormatting sqref="T8:W9 T15:W15 T17:W17 S18:W19 S20:S21 S22:AI25 S26 S27:W29 T30:W30">
    <cfRule type="containsText" dxfId="667" priority="131" operator="containsText" text="12g">
      <formula>NOT(ISERROR(SEARCH("12g",S8)))</formula>
    </cfRule>
    <cfRule type="containsText" dxfId="666" priority="130" operator="containsText" text="l4">
      <formula>NOT(ISERROR(SEARCH("l4",S8)))</formula>
    </cfRule>
  </conditionalFormatting>
  <conditionalFormatting sqref="X102:Y102">
    <cfRule type="containsText" dxfId="665" priority="85" operator="containsText" text="k">
      <formula>NOT(ISERROR(SEARCH("k",X102)))</formula>
    </cfRule>
    <cfRule type="containsText" dxfId="663" priority="84" operator="containsText" text="wse">
      <formula>NOT(ISERROR(SEARCH("wse",X102)))</formula>
    </cfRule>
    <cfRule type="containsText" dxfId="662" priority="87" operator="containsText" text="s">
      <formula>NOT(ISERROR(SEARCH("s",X102)))</formula>
    </cfRule>
    <cfRule type="containsText" dxfId="661" priority="86" operator="containsText" text="u">
      <formula>NOT(ISERROR(SEARCH("u",X102)))</formula>
    </cfRule>
    <cfRule type="containsText" dxfId="660" priority="88" operator="containsText" text="d">
      <formula>NOT(ISERROR(SEARCH("d",X102)))</formula>
    </cfRule>
  </conditionalFormatting>
  <conditionalFormatting sqref="X2:AI19 X27:AI32">
    <cfRule type="containsText" dxfId="659" priority="146" operator="containsText" text="d">
      <formula>NOT(ISERROR(SEARCH("d",X2)))</formula>
    </cfRule>
    <cfRule type="containsText" dxfId="658" priority="144" operator="containsText" text="u">
      <formula>NOT(ISERROR(SEARCH("u",X2)))</formula>
    </cfRule>
    <cfRule type="containsText" dxfId="657" priority="142" operator="containsText" text="wse">
      <formula>NOT(ISERROR(SEARCH("wse",X2)))</formula>
    </cfRule>
    <cfRule type="containsText" dxfId="655" priority="140" operator="containsText" text="12g">
      <formula>NOT(ISERROR(SEARCH("12g",X2)))</formula>
    </cfRule>
    <cfRule type="containsText" dxfId="654" priority="139" operator="containsText" text="l4">
      <formula>NOT(ISERROR(SEARCH("l4",X2)))</formula>
    </cfRule>
    <cfRule type="containsText" dxfId="653" priority="143" operator="containsText" text="k">
      <formula>NOT(ISERROR(SEARCH("k",X2)))</formula>
    </cfRule>
    <cfRule type="containsText" dxfId="652" priority="145" operator="containsText" text="s">
      <formula>NOT(ISERROR(SEARCH("s",X2)))</formula>
    </cfRule>
  </conditionalFormatting>
  <conditionalFormatting sqref="Z2:AD19 Z27:AD32 Z22:AD25">
    <cfRule type="cellIs" dxfId="651" priority="147" operator="greaterThan">
      <formula>0</formula>
    </cfRule>
  </conditionalFormatting>
  <conditionalFormatting sqref="Z51:AD52">
    <cfRule type="cellIs" dxfId="650" priority="225" operator="greaterThan">
      <formula>0</formula>
    </cfRule>
  </conditionalFormatting>
  <conditionalFormatting sqref="Z62:AD79 Z53:AD60 Z81:AD91 Z93:AD101">
    <cfRule type="cellIs" dxfId="649" priority="357" operator="greaterThan">
      <formula>0</formula>
    </cfRule>
  </conditionalFormatting>
  <conditionalFormatting sqref="Z102:AF102">
    <cfRule type="containsText" dxfId="648" priority="95" operator="containsText" text="s">
      <formula>NOT(ISERROR(SEARCH("s",Z102)))</formula>
    </cfRule>
    <cfRule type="containsText" dxfId="646" priority="92" operator="containsText" text="wse">
      <formula>NOT(ISERROR(SEARCH("wse",Z102)))</formula>
    </cfRule>
    <cfRule type="containsText" dxfId="645" priority="93" operator="containsText" text="k">
      <formula>NOT(ISERROR(SEARCH("k",Z102)))</formula>
    </cfRule>
    <cfRule type="containsText" dxfId="644" priority="94" operator="containsText" text="u">
      <formula>NOT(ISERROR(SEARCH("u",Z102)))</formula>
    </cfRule>
    <cfRule type="containsText" dxfId="643" priority="96" operator="containsText" text="d">
      <formula>NOT(ISERROR(SEARCH("d",Z102)))</formula>
    </cfRule>
  </conditionalFormatting>
  <conditionalFormatting sqref="Z62:AI79">
    <cfRule type="containsText" dxfId="642" priority="355" operator="containsText" text="s">
      <formula>NOT(ISERROR(SEARCH("s",Z62)))</formula>
    </cfRule>
    <cfRule type="containsText" dxfId="641" priority="354" operator="containsText" text="u">
      <formula>NOT(ISERROR(SEARCH("u",Z62)))</formula>
    </cfRule>
    <cfRule type="containsText" dxfId="640" priority="352" operator="containsText" text="wse">
      <formula>NOT(ISERROR(SEARCH("wse",Z62)))</formula>
    </cfRule>
    <cfRule type="containsText" dxfId="638" priority="350" operator="containsText" text="12g">
      <formula>NOT(ISERROR(SEARCH("12g",Z62)))</formula>
    </cfRule>
    <cfRule type="containsText" dxfId="637" priority="349" operator="containsText" text="l4">
      <formula>NOT(ISERROR(SEARCH("l4",Z62)))</formula>
    </cfRule>
    <cfRule type="containsText" dxfId="636" priority="353" operator="containsText" text="k">
      <formula>NOT(ISERROR(SEARCH("k",Z62)))</formula>
    </cfRule>
    <cfRule type="containsText" dxfId="635" priority="356" operator="containsText" text="d">
      <formula>NOT(ISERROR(SEARCH("d",Z62)))</formula>
    </cfRule>
  </conditionalFormatting>
  <conditionalFormatting sqref="AG2:AI19 AG27:AI32 AG22:AI25">
    <cfRule type="cellIs" dxfId="634" priority="156" operator="greaterThan">
      <formula>0</formula>
    </cfRule>
  </conditionalFormatting>
  <conditionalFormatting sqref="AG51:AI52">
    <cfRule type="cellIs" dxfId="633" priority="234" operator="greaterThan">
      <formula>0</formula>
    </cfRule>
  </conditionalFormatting>
  <conditionalFormatting sqref="AG62:AI79 AG53:AI60 AG81:AI91 AG93:AI101">
    <cfRule type="cellIs" dxfId="632" priority="366" operator="greaterThan">
      <formula>0</formula>
    </cfRule>
  </conditionalFormatting>
  <conditionalFormatting sqref="AQ5:AQ14">
    <cfRule type="containsText" dxfId="631" priority="8" operator="containsText" text="d">
      <formula>NOT(ISERROR(SEARCH("d",AQ5)))</formula>
    </cfRule>
    <cfRule type="containsText" dxfId="630" priority="7" operator="containsText" text="s">
      <formula>NOT(ISERROR(SEARCH("s",AQ5)))</formula>
    </cfRule>
    <cfRule type="containsText" dxfId="629" priority="6" operator="containsText" text="u">
      <formula>NOT(ISERROR(SEARCH("u",AQ5)))</formula>
    </cfRule>
    <cfRule type="containsText" dxfId="628" priority="5" operator="containsText" text="k">
      <formula>NOT(ISERROR(SEARCH("k",AQ5)))</formula>
    </cfRule>
    <cfRule type="containsText" dxfId="627" priority="4" operator="containsText" text="wse">
      <formula>NOT(ISERROR(SEARCH("wse",AQ5)))</formula>
    </cfRule>
    <cfRule type="containsText" dxfId="626" priority="3" operator="containsText" text="12g">
      <formula>NOT(ISERROR(SEARCH("12g",AQ5)))</formula>
    </cfRule>
  </conditionalFormatting>
  <pageMargins left="0" right="0" top="0" bottom="0" header="0.51180555555555496" footer="0.51180555555555496"/>
  <pageSetup paperSize="9" orientation="landscape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24" operator="containsText" id="{17A65FE3-29D9-4F68-8599-505590C633C3}">
            <xm:f>NOT(ISERROR(SEARCH("-",E54)))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E54 E55:I59 E60:H67 E68 E69:H75 E76 E77:H82 E83 E84:H100 E101</xm:sqref>
        </x14:conditionalFormatting>
        <x14:conditionalFormatting xmlns:xm="http://schemas.microsoft.com/office/excel/2006/main">
          <x14:cfRule type="containsText" priority="114" operator="containsText" id="{62E0376C-4B89-435A-A723-8D5186433B7A}">
            <xm:f>NOT(ISERROR(SEARCH("-",E2)))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E2:I4 G4:AF4 E5 I5 E6:I7 E15:H15 E16:W16 E17:H17 E18:R29 E30:H30 E31:W32 E8:H8 E9:G9 E10:P14</xm:sqref>
        </x14:conditionalFormatting>
        <x14:conditionalFormatting xmlns:xm="http://schemas.microsoft.com/office/excel/2006/main">
          <x14:cfRule type="containsText" priority="192" operator="containsText" id="{A2168E20-1C8C-4DFA-AAE0-86C0C9D1B5B2}">
            <xm:f>NOT(ISERROR(SEARCH("-",E51)))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E51:I53</xm:sqref>
        </x14:conditionalFormatting>
        <x14:conditionalFormatting xmlns:xm="http://schemas.microsoft.com/office/excel/2006/main">
          <x14:cfRule type="containsText" priority="67" operator="containsText" id="{2ED14564-1E6F-4BE3-BDA1-70B95ECC9015}">
            <xm:f>NOT(ISERROR(SEARCH("-",E102)))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E102:P102</xm:sqref>
        </x14:conditionalFormatting>
        <x14:conditionalFormatting xmlns:xm="http://schemas.microsoft.com/office/excel/2006/main">
          <x14:cfRule type="containsText" priority="19" operator="containsText" id="{E74E7369-C5DB-4070-B98C-1DBC2A3D768A}">
            <xm:f>NOT(ISERROR(SEARCH("-",E33)))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E33:AF33</xm:sqref>
        </x14:conditionalFormatting>
        <x14:conditionalFormatting xmlns:xm="http://schemas.microsoft.com/office/excel/2006/main">
          <x14:cfRule type="containsText" priority="1020" operator="containsText" id="{6038B42A-54AF-44A5-9D79-9F3C40CCFA42}">
            <xm:f>NOT(ISERROR(SEARCH("-",H5)))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H9 Q10:R14 S80 AQ5:AQ15</xm:sqref>
        </x14:conditionalFormatting>
        <x14:conditionalFormatting xmlns:xm="http://schemas.microsoft.com/office/excel/2006/main">
          <x14:cfRule type="containsText" priority="474" operator="containsText" id="{949DF139-8BCA-4152-952B-6ACAF7F24E1D}">
            <xm:f>NOT(ISERROR(SEARCH("-",I54)))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I54</xm:sqref>
        </x14:conditionalFormatting>
        <x14:conditionalFormatting xmlns:xm="http://schemas.microsoft.com/office/excel/2006/main">
          <x14:cfRule type="containsText" priority="484" operator="containsText" id="{97FC806A-E4B7-447F-9657-CDA03D4BC517}">
            <xm:f>NOT(ISERROR(SEARCH("-",I60)))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I60:I62</xm:sqref>
        </x14:conditionalFormatting>
        <x14:conditionalFormatting xmlns:xm="http://schemas.microsoft.com/office/excel/2006/main">
          <x14:cfRule type="containsText" priority="514" operator="containsText" id="{9A973EBD-3843-4FE4-A6B3-E7F4FAC79025}">
            <xm:f>NOT(ISERROR(SEARCH("-",I73)))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I73</xm:sqref>
        </x14:conditionalFormatting>
        <x14:conditionalFormatting xmlns:xm="http://schemas.microsoft.com/office/excel/2006/main">
          <x14:cfRule type="containsText" priority="524" operator="containsText" id="{B31ADB94-E5A6-4BB5-AE6E-8A9CDD79DDE6}">
            <xm:f>NOT(ISERROR(SEARCH("-",I75)))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I75</xm:sqref>
        </x14:conditionalFormatting>
        <x14:conditionalFormatting xmlns:xm="http://schemas.microsoft.com/office/excel/2006/main">
          <x14:cfRule type="containsText" priority="534" operator="containsText" id="{992999FC-3A7A-4197-94E7-4E58D04B9AFD}">
            <xm:f>NOT(ISERROR(SEARCH("-",I77)))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I77</xm:sqref>
        </x14:conditionalFormatting>
        <x14:conditionalFormatting xmlns:xm="http://schemas.microsoft.com/office/excel/2006/main">
          <x14:cfRule type="containsText" priority="544" operator="containsText" id="{A7E01981-3DA2-41AE-8080-7054115F80C4}">
            <xm:f>NOT(ISERROR(SEARCH("-",I86)))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I86:I87</xm:sqref>
        </x14:conditionalFormatting>
        <x14:conditionalFormatting xmlns:xm="http://schemas.microsoft.com/office/excel/2006/main">
          <x14:cfRule type="containsText" priority="564" operator="containsText" id="{A38035A4-D8C8-4C94-826F-53C0721E3C65}">
            <xm:f>NOT(ISERROR(SEARCH("-",I93)))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I93:I97</xm:sqref>
        </x14:conditionalFormatting>
        <x14:conditionalFormatting xmlns:xm="http://schemas.microsoft.com/office/excel/2006/main">
          <x14:cfRule type="containsText" priority="401" operator="containsText" id="{4288357F-D54E-4597-B1FE-BB1C9FDFD15D}">
            <xm:f>NOT(ISERROR(SEARCH("-",I63)))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I63:K72 I76:K76 I78:K85 I88:K92 I98:K101</xm:sqref>
        </x14:conditionalFormatting>
        <x14:conditionalFormatting xmlns:xm="http://schemas.microsoft.com/office/excel/2006/main">
          <x14:cfRule type="containsText" priority="159" operator="containsText" id="{C229B6E7-8625-4A2B-9353-998764E9A4D9}">
            <xm:f>NOT(ISERROR(SEARCH("-",J3)))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J3:K7</xm:sqref>
        </x14:conditionalFormatting>
        <x14:conditionalFormatting xmlns:xm="http://schemas.microsoft.com/office/excel/2006/main">
          <x14:cfRule type="containsText" priority="333" operator="containsText" id="{195D6BB2-BE9D-4B6E-BDD4-BCBCF5A0E783}">
            <xm:f>NOT(ISERROR(SEARCH("-",L53)))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L53:R62 L63:Y73 L75:Y75 L76:R101</xm:sqref>
        </x14:conditionalFormatting>
        <x14:conditionalFormatting xmlns:xm="http://schemas.microsoft.com/office/excel/2006/main">
          <x14:cfRule type="containsText" priority="123" operator="containsText" id="{8280AF41-E269-4722-BAFA-7B5960C3EC1C}">
            <xm:f>NOT(ISERROR(SEARCH("-",L2)))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L2:W7</xm:sqref>
        </x14:conditionalFormatting>
        <x14:conditionalFormatting xmlns:xm="http://schemas.microsoft.com/office/excel/2006/main">
          <x14:cfRule type="containsText" priority="201" operator="containsText" id="{A321C4BC-7568-419E-A439-F6B16B9DDEC1}">
            <xm:f>NOT(ISERROR(SEARCH("-",L51)))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L51:AI52</xm:sqref>
        </x14:conditionalFormatting>
        <x14:conditionalFormatting xmlns:xm="http://schemas.microsoft.com/office/excel/2006/main">
          <x14:cfRule type="containsText" priority="75" operator="containsText" id="{5D8CB22E-25C7-423F-A355-2EF23A6B8B31}">
            <xm:f>NOT(ISERROR(SEARCH("-",Q102)))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Q102:R102</xm:sqref>
        </x14:conditionalFormatting>
        <x14:conditionalFormatting xmlns:xm="http://schemas.microsoft.com/office/excel/2006/main">
          <x14:cfRule type="containsText" priority="99" operator="containsText" id="{C0579812-2616-4C33-84CB-A6C0306611C6}">
            <xm:f>NOT(ISERROR(SEARCH("-",S102)))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S102:W102</xm:sqref>
        </x14:conditionalFormatting>
        <x14:conditionalFormatting xmlns:xm="http://schemas.microsoft.com/office/excel/2006/main">
          <x14:cfRule type="containsText" priority="342" operator="containsText" id="{F5366881-2B60-43FC-AF17-7E3B41BE2E70}">
            <xm:f>NOT(ISERROR(SEARCH("-",S53)))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S53:AI60 S61 S62:Y62 T74:Y74 S76:Y79 S81:AI91 S92 S93:AI101</xm:sqref>
        </x14:conditionalFormatting>
        <x14:conditionalFormatting xmlns:xm="http://schemas.microsoft.com/office/excel/2006/main">
          <x14:cfRule type="containsText" priority="132" operator="containsText" id="{A9E020BF-B65F-4927-8B57-88F46C879E47}">
            <xm:f>NOT(ISERROR(SEARCH("-",S8)))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T8:W9 T15:W15 T17:W17 S18:W19 S20:S21 S22:AI25 S26 S27:W29 T30:W30 S10:W14</xm:sqref>
        </x14:conditionalFormatting>
        <x14:conditionalFormatting xmlns:xm="http://schemas.microsoft.com/office/excel/2006/main">
          <x14:cfRule type="containsText" priority="83" operator="containsText" id="{D2C79B7A-C138-4744-A294-363714D0C3EF}">
            <xm:f>NOT(ISERROR(SEARCH("-",X102)))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X102:Y102</xm:sqref>
        </x14:conditionalFormatting>
        <x14:conditionalFormatting xmlns:xm="http://schemas.microsoft.com/office/excel/2006/main">
          <x14:cfRule type="containsText" priority="141" operator="containsText" id="{67504C20-91D4-482A-B3A0-53CB3E859017}">
            <xm:f>NOT(ISERROR(SEARCH("-",X2)))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X2:AI19 X27:AI32</xm:sqref>
        </x14:conditionalFormatting>
        <x14:conditionalFormatting xmlns:xm="http://schemas.microsoft.com/office/excel/2006/main">
          <x14:cfRule type="containsText" priority="91" operator="containsText" id="{2374C590-6D63-4DAD-A836-942DC127F3BF}">
            <xm:f>NOT(ISERROR(SEARCH("-",Z102)))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Z102:AF102</xm:sqref>
        </x14:conditionalFormatting>
        <x14:conditionalFormatting xmlns:xm="http://schemas.microsoft.com/office/excel/2006/main">
          <x14:cfRule type="containsText" priority="351" operator="containsText" id="{257CF57E-E241-4F50-AE9C-6CAE508E3D9E}">
            <xm:f>NOT(ISERROR(SEARCH("-",Z62)))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Z62:AI79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4"/>
  <sheetViews>
    <sheetView zoomScaleNormal="100" workbookViewId="0">
      <selection activeCell="AC1" sqref="AC1"/>
    </sheetView>
  </sheetViews>
  <sheetFormatPr defaultColWidth="8.69140625" defaultRowHeight="14.6"/>
  <cols>
    <col min="1" max="1" width="3.84375" style="176" customWidth="1"/>
    <col min="2" max="2" width="6" style="177" customWidth="1"/>
    <col min="3" max="3" width="28.84375" style="178" customWidth="1"/>
    <col min="4" max="4" width="23.84375" customWidth="1"/>
    <col min="5" max="5" width="24.53515625" customWidth="1"/>
    <col min="7" max="7" width="20.3046875" customWidth="1"/>
    <col min="8" max="8" width="4" customWidth="1"/>
    <col min="9" max="9" width="20.3046875" customWidth="1"/>
    <col min="10" max="11" width="4" customWidth="1"/>
    <col min="12" max="12" width="20.3046875" customWidth="1"/>
    <col min="13" max="13" width="4" customWidth="1"/>
    <col min="14" max="14" width="20.3046875" customWidth="1"/>
  </cols>
  <sheetData>
    <row r="1" spans="1:14" ht="30.9">
      <c r="B1" s="686" t="s">
        <v>274</v>
      </c>
      <c r="C1" s="686"/>
      <c r="D1" s="686"/>
      <c r="E1" s="686"/>
      <c r="G1" s="694" t="s">
        <v>275</v>
      </c>
      <c r="H1" s="694"/>
      <c r="I1" s="694"/>
      <c r="J1" s="694"/>
      <c r="K1" s="694"/>
      <c r="L1" s="694"/>
      <c r="M1" s="694"/>
      <c r="N1" s="694"/>
    </row>
    <row r="2" spans="1:14" ht="28.3">
      <c r="A2" s="687" t="s">
        <v>178</v>
      </c>
      <c r="B2" s="687"/>
      <c r="C2" s="687"/>
      <c r="D2" s="687"/>
      <c r="E2" s="687"/>
      <c r="G2" s="695" t="s">
        <v>221</v>
      </c>
      <c r="H2" s="695"/>
      <c r="I2" s="695"/>
      <c r="J2" s="234"/>
      <c r="K2" s="235"/>
      <c r="L2" s="696" t="s">
        <v>222</v>
      </c>
      <c r="M2" s="696"/>
      <c r="N2" s="696"/>
    </row>
    <row r="3" spans="1:14" ht="23.15">
      <c r="A3" s="688">
        <v>44197</v>
      </c>
      <c r="B3" s="688"/>
      <c r="C3" s="180" t="s">
        <v>179</v>
      </c>
      <c r="D3" s="181" t="s">
        <v>180</v>
      </c>
      <c r="E3" s="181" t="s">
        <v>180</v>
      </c>
      <c r="G3" s="28"/>
      <c r="J3" s="29"/>
      <c r="K3" s="28"/>
      <c r="N3" s="29"/>
    </row>
    <row r="4" spans="1:14" ht="19.3">
      <c r="A4" s="182">
        <v>1</v>
      </c>
      <c r="B4" s="183" t="s">
        <v>181</v>
      </c>
      <c r="C4" s="184" t="e">
        <f>VLOOKUP("D",MAJ!$E$2:$AJ$32,32,0)</f>
        <v>#REF!</v>
      </c>
      <c r="D4" s="185"/>
      <c r="E4" s="185"/>
      <c r="G4" s="238" t="s">
        <v>276</v>
      </c>
      <c r="I4" s="238" t="s">
        <v>277</v>
      </c>
      <c r="J4" s="29"/>
      <c r="K4" s="28"/>
      <c r="L4" s="238" t="s">
        <v>278</v>
      </c>
      <c r="N4" s="238" t="s">
        <v>279</v>
      </c>
    </row>
    <row r="5" spans="1:14" ht="19.3">
      <c r="A5" s="186">
        <v>2</v>
      </c>
      <c r="B5" s="183" t="s">
        <v>182</v>
      </c>
      <c r="C5" s="184" t="e">
        <f>VLOOKUP("D",MAJ!F$2:$AJ$32,31,0)</f>
        <v>#REF!</v>
      </c>
      <c r="D5" s="187"/>
      <c r="E5" s="188"/>
      <c r="G5" s="307" t="str">
        <f>MARZEC!F39</f>
        <v>SZCZEPANIAK</v>
      </c>
      <c r="I5" s="308" t="str">
        <f>MARZEC!J39</f>
        <v>SZCZEPANIAK</v>
      </c>
      <c r="J5" s="29"/>
      <c r="K5" s="28"/>
      <c r="L5" s="309" t="str">
        <f>MARZEC!F44</f>
        <v>MAJCHER</v>
      </c>
      <c r="N5" s="310" t="str">
        <f>MARZEC!J44</f>
        <v>MAJCHER</v>
      </c>
    </row>
    <row r="6" spans="1:14" ht="21.75" customHeight="1">
      <c r="A6" s="186">
        <v>3</v>
      </c>
      <c r="B6" s="183" t="s">
        <v>183</v>
      </c>
      <c r="C6" s="184" t="e">
        <f>VLOOKUP("D",MAJ!G$2:$AJ$32,30,0)</f>
        <v>#REF!</v>
      </c>
      <c r="D6" s="188"/>
      <c r="E6" s="188"/>
      <c r="G6" s="311" t="str">
        <f>MARZEC!F40</f>
        <v>BARAN</v>
      </c>
      <c r="I6" s="312" t="str">
        <f>MARZEC!J40</f>
        <v>NOWICKI</v>
      </c>
      <c r="J6" s="29"/>
      <c r="K6" s="28"/>
      <c r="L6" s="313" t="str">
        <f>MARZEC!F45</f>
        <v>CHŁOPECKI</v>
      </c>
      <c r="N6" s="314" t="str">
        <f>MARZEC!J45</f>
        <v>CHŁOPECKI</v>
      </c>
    </row>
    <row r="7" spans="1:14" ht="21.75" customHeight="1">
      <c r="A7" s="189">
        <v>4</v>
      </c>
      <c r="B7" s="190" t="s">
        <v>184</v>
      </c>
      <c r="C7" s="191" t="e">
        <f>VLOOKUP("D",MAJ!H$2:$AJ$32,29,0)</f>
        <v>#REF!</v>
      </c>
      <c r="D7" s="192"/>
      <c r="E7" s="192"/>
      <c r="G7" s="315" t="str">
        <f>MARZEC!F41</f>
        <v>GĄSIEWSKI</v>
      </c>
      <c r="I7" s="316" t="str">
        <f>MARZEC!J41</f>
        <v>GĄSIEWSKI</v>
      </c>
      <c r="J7" s="29"/>
      <c r="K7" s="28"/>
      <c r="L7" s="315" t="str">
        <f>MARZEC!F46</f>
        <v>PAWLAK</v>
      </c>
      <c r="N7" s="316" t="str">
        <f>MARZEC!J46</f>
        <v>PAWLAK</v>
      </c>
    </row>
    <row r="8" spans="1:14" ht="21.75" customHeight="1">
      <c r="A8" s="189">
        <v>5</v>
      </c>
      <c r="B8" s="190" t="s">
        <v>185</v>
      </c>
      <c r="C8" s="191" t="e">
        <f>VLOOKUP("D",MAJ!I$2:$AJ$32,28,0)</f>
        <v>#REF!</v>
      </c>
      <c r="D8" s="192"/>
      <c r="E8" s="192"/>
      <c r="G8" s="317" t="str">
        <f>MARZEC!F42</f>
        <v>DRGAS</v>
      </c>
      <c r="I8" s="318" t="str">
        <f>MARZEC!J42</f>
        <v>PRYCA</v>
      </c>
      <c r="J8" s="29"/>
      <c r="K8" s="28"/>
      <c r="L8" s="317" t="str">
        <f>MARZEC!F47</f>
        <v>SŁUPKOWSKI</v>
      </c>
      <c r="N8" s="318" t="str">
        <f>MARZEC!J47</f>
        <v>SŁUPKOWSKI</v>
      </c>
    </row>
    <row r="9" spans="1:14" ht="21.75" customHeight="1">
      <c r="A9" s="186">
        <v>6</v>
      </c>
      <c r="B9" s="183" t="s">
        <v>186</v>
      </c>
      <c r="C9" s="184" t="e">
        <f>VLOOKUP("D",MAJ!J$2:$AJ$32,27,0)</f>
        <v>#REF!</v>
      </c>
      <c r="D9" s="188"/>
      <c r="E9" s="188"/>
      <c r="G9" s="28"/>
      <c r="J9" s="29"/>
      <c r="K9" s="28"/>
      <c r="N9" s="29"/>
    </row>
    <row r="10" spans="1:14" ht="21.75" customHeight="1">
      <c r="A10" s="189">
        <v>7</v>
      </c>
      <c r="B10" s="190" t="s">
        <v>187</v>
      </c>
      <c r="C10" s="191" t="e">
        <f>VLOOKUP("D",MAJ!K$2:$AJ$32,26,0)</f>
        <v>#REF!</v>
      </c>
      <c r="D10" s="192"/>
      <c r="E10" s="192"/>
      <c r="G10" s="249" t="s">
        <v>280</v>
      </c>
      <c r="I10" s="249" t="s">
        <v>281</v>
      </c>
      <c r="J10" s="29"/>
      <c r="K10" s="28"/>
      <c r="L10" s="249" t="s">
        <v>282</v>
      </c>
      <c r="N10" s="249" t="s">
        <v>283</v>
      </c>
    </row>
    <row r="11" spans="1:14" ht="21.75" customHeight="1">
      <c r="A11" s="189">
        <v>8</v>
      </c>
      <c r="B11" s="190" t="s">
        <v>181</v>
      </c>
      <c r="C11" s="191" t="e">
        <f>VLOOKUP("D",MAJ!L$2:$AJ$32,25,0)</f>
        <v>#REF!</v>
      </c>
      <c r="D11" s="193"/>
      <c r="E11" s="192"/>
      <c r="G11" s="307" t="str">
        <f>MARZEC!M39</f>
        <v>ŚWIREPO</v>
      </c>
      <c r="I11" s="308" t="str">
        <f>MARZEC!Q39</f>
        <v>GRZEISAK</v>
      </c>
      <c r="J11" s="29"/>
      <c r="K11" s="28"/>
      <c r="L11" s="310" t="str">
        <f>MARZEC!M44</f>
        <v>ZWOLIŃSKI</v>
      </c>
      <c r="N11" s="310" t="str">
        <f>MARZEC!Q44</f>
        <v>ZWOLIŃSKI</v>
      </c>
    </row>
    <row r="12" spans="1:14" ht="21.75" customHeight="1">
      <c r="A12" s="186">
        <v>9</v>
      </c>
      <c r="B12" s="183" t="s">
        <v>182</v>
      </c>
      <c r="C12" s="184" t="e">
        <f>VLOOKUP("D",MAJ!M$2:$AJ$32,24,0)</f>
        <v>#REF!</v>
      </c>
      <c r="D12" s="188"/>
      <c r="E12" s="188"/>
      <c r="G12" s="311" t="str">
        <f>MARZEC!M40</f>
        <v>MOSKALONEK</v>
      </c>
      <c r="I12" s="312" t="str">
        <f>MARZEC!Q40</f>
        <v>MOSKALONEK</v>
      </c>
      <c r="J12" s="29"/>
      <c r="K12" s="28"/>
      <c r="L12" s="313" t="str">
        <f>MARZEC!M45</f>
        <v>PIEŃKOWSKI</v>
      </c>
      <c r="N12" s="314" t="str">
        <f>MARZEC!Q45</f>
        <v>PIEŃKOWSKI</v>
      </c>
    </row>
    <row r="13" spans="1:14" ht="21.75" customHeight="1">
      <c r="A13" s="186">
        <v>10</v>
      </c>
      <c r="B13" s="183" t="s">
        <v>183</v>
      </c>
      <c r="C13" s="184" t="e">
        <f>VLOOKUP("D",MAJ!N$2:$AJ$32,23,0)</f>
        <v>#REF!</v>
      </c>
      <c r="D13" s="188"/>
      <c r="E13" s="188"/>
      <c r="G13" s="315" t="str">
        <f>MARZEC!M41</f>
        <v>MIZGIER</v>
      </c>
      <c r="I13" s="316" t="str">
        <f>MARZEC!Q41</f>
        <v>MIZGIER</v>
      </c>
      <c r="J13" s="29"/>
      <c r="K13" s="28"/>
      <c r="L13" s="315" t="str">
        <f>MARZEC!M46</f>
        <v>ZIEMKOWSKI</v>
      </c>
      <c r="N13" s="316" t="str">
        <f>MARZEC!Q46</f>
        <v>ZIEMKOWSKI</v>
      </c>
    </row>
    <row r="14" spans="1:14" ht="21.75" customHeight="1">
      <c r="A14" s="189">
        <v>11</v>
      </c>
      <c r="B14" s="190" t="s">
        <v>184</v>
      </c>
      <c r="C14" s="191" t="e">
        <f>VLOOKUP("D",MAJ!O$2:$AJ$32,22,0)</f>
        <v>#REF!</v>
      </c>
      <c r="D14" s="192"/>
      <c r="E14" s="192"/>
      <c r="G14" s="317" t="str">
        <f>MARZEC!M42</f>
        <v>CHYŁA</v>
      </c>
      <c r="I14" s="318" t="str">
        <f>MARZEC!Q42</f>
        <v>BUKOWSKI</v>
      </c>
      <c r="J14" s="29"/>
      <c r="K14" s="28"/>
      <c r="L14" s="317" t="str">
        <f>MARZEC!M47</f>
        <v>ZAWOLIK</v>
      </c>
      <c r="N14" s="318" t="str">
        <f>MARZEC!Q47</f>
        <v>ZAWOLIK</v>
      </c>
    </row>
    <row r="15" spans="1:14" ht="21.75" customHeight="1">
      <c r="A15" s="189">
        <v>12</v>
      </c>
      <c r="B15" s="190" t="s">
        <v>185</v>
      </c>
      <c r="C15" s="191" t="e">
        <f>VLOOKUP("D",MAJ!P$2:$AJ$32,21,0)</f>
        <v>#REF!</v>
      </c>
      <c r="D15" s="192"/>
      <c r="E15" s="192"/>
      <c r="G15" s="28"/>
      <c r="J15" s="29"/>
      <c r="K15" s="28"/>
      <c r="N15" s="29"/>
    </row>
    <row r="16" spans="1:14" ht="21.75" customHeight="1">
      <c r="A16" s="189">
        <v>13</v>
      </c>
      <c r="B16" s="190" t="s">
        <v>186</v>
      </c>
      <c r="C16" s="191" t="e">
        <f>VLOOKUP("D",MAJ!Q$2:$AJ$32,20,0)</f>
        <v>#REF!</v>
      </c>
      <c r="D16" s="192"/>
      <c r="E16" s="192"/>
      <c r="G16" s="249" t="s">
        <v>284</v>
      </c>
      <c r="I16" s="249" t="s">
        <v>285</v>
      </c>
      <c r="J16" s="29"/>
      <c r="K16" s="28"/>
      <c r="L16" s="249" t="s">
        <v>286</v>
      </c>
      <c r="N16" s="249" t="s">
        <v>287</v>
      </c>
    </row>
    <row r="17" spans="1:14" ht="21.75" customHeight="1">
      <c r="A17" s="189">
        <v>14</v>
      </c>
      <c r="B17" s="190" t="s">
        <v>187</v>
      </c>
      <c r="C17" s="191" t="e">
        <f>VLOOKUP("D",MAJ!R$2:$AJ$32,19,0)</f>
        <v>#REF!</v>
      </c>
      <c r="D17" s="192"/>
      <c r="E17" s="192"/>
      <c r="G17" s="307" t="str">
        <f>MARZEC!T39</f>
        <v>BORZĘCKI</v>
      </c>
      <c r="I17" s="308" t="str">
        <f>MARZEC!X39</f>
        <v>BORZĘCKI</v>
      </c>
      <c r="J17" s="29"/>
      <c r="K17" s="28"/>
      <c r="L17" s="309" t="str">
        <f>MARZEC!T44</f>
        <v>PADJAS</v>
      </c>
      <c r="N17" s="309" t="str">
        <f>MARZEC!X44</f>
        <v>PADJAS</v>
      </c>
    </row>
    <row r="18" spans="1:14" ht="21.75" customHeight="1">
      <c r="A18" s="189">
        <v>15</v>
      </c>
      <c r="B18" s="190" t="s">
        <v>181</v>
      </c>
      <c r="C18" s="191" t="e">
        <f>VLOOKUP("D",MAJ!S$2:$AJ$32,18,0)</f>
        <v>#REF!</v>
      </c>
      <c r="D18" s="192"/>
      <c r="E18" s="192"/>
      <c r="G18" s="311" t="str">
        <f>MARZEC!T40</f>
        <v>SZYMAŃSKI</v>
      </c>
      <c r="I18" s="312" t="str">
        <f>MARZEC!X40</f>
        <v>SZYMAŃSKI</v>
      </c>
      <c r="J18" s="29"/>
      <c r="K18" s="28"/>
      <c r="L18" s="313" t="str">
        <f>MARZEC!T45</f>
        <v>KOSTRZEWSKI</v>
      </c>
      <c r="N18" s="314" t="str">
        <f>MARZEC!X45</f>
        <v>KOSTRZEWSKI</v>
      </c>
    </row>
    <row r="19" spans="1:14" ht="21.75" customHeight="1">
      <c r="A19" s="186">
        <v>16</v>
      </c>
      <c r="B19" s="183" t="s">
        <v>182</v>
      </c>
      <c r="C19" s="184" t="e">
        <f>VLOOKUP("D",MAJ!T$2:$AJ$32,17,0)</f>
        <v>#REF!</v>
      </c>
      <c r="D19" s="188"/>
      <c r="E19" s="188"/>
      <c r="G19" s="315" t="str">
        <f>MARZEC!T41</f>
        <v>WITWICKI</v>
      </c>
      <c r="I19" s="316" t="str">
        <f>MARZEC!X41</f>
        <v>WITWICKI</v>
      </c>
      <c r="J19" s="29"/>
      <c r="K19" s="28"/>
      <c r="L19" s="315" t="str">
        <f>MARZEC!T46</f>
        <v>MATUK</v>
      </c>
      <c r="N19" s="316" t="str">
        <f>MARZEC!X46</f>
        <v>MATUK</v>
      </c>
    </row>
    <row r="20" spans="1:14" ht="21.75" customHeight="1">
      <c r="A20" s="186">
        <v>17</v>
      </c>
      <c r="B20" s="183" t="s">
        <v>183</v>
      </c>
      <c r="C20" s="184" t="e">
        <f>VLOOKUP("D",MAJ!U$2:$AJ$32,16,0)</f>
        <v>#REF!</v>
      </c>
      <c r="D20" s="188"/>
      <c r="E20" s="188"/>
      <c r="G20" s="317" t="str">
        <f>MARZEC!T42</f>
        <v>ROZMYTAŃSKA</v>
      </c>
      <c r="I20" s="318" t="str">
        <f>MARZEC!X42</f>
        <v>ROZMYTAŃSKA</v>
      </c>
      <c r="J20" s="29"/>
      <c r="K20" s="28"/>
      <c r="L20" s="317" t="str">
        <f>MARZEC!T47</f>
        <v>KRYSZTOFIAK</v>
      </c>
      <c r="N20" s="318" t="str">
        <f>MARZEC!X47</f>
        <v>KOMOSA</v>
      </c>
    </row>
    <row r="21" spans="1:14" ht="21.75" customHeight="1">
      <c r="A21" s="189">
        <v>18</v>
      </c>
      <c r="B21" s="190" t="s">
        <v>184</v>
      </c>
      <c r="C21" s="191" t="e">
        <f>VLOOKUP("D",MAJ!V$2:$AJ$32,15,0)</f>
        <v>#REF!</v>
      </c>
      <c r="D21" s="192"/>
      <c r="E21" s="192"/>
      <c r="G21" s="28"/>
      <c r="J21" s="29"/>
      <c r="K21" s="28"/>
      <c r="N21" s="29"/>
    </row>
    <row r="22" spans="1:14" ht="21.75" customHeight="1">
      <c r="A22" s="189">
        <v>19</v>
      </c>
      <c r="B22" s="190" t="s">
        <v>185</v>
      </c>
      <c r="C22" s="191" t="e">
        <f>VLOOKUP("D",MAJ!W$2:$AJ$32,14,0)</f>
        <v>#REF!</v>
      </c>
      <c r="D22" s="192"/>
      <c r="E22" s="192"/>
      <c r="G22" s="249" t="s">
        <v>288</v>
      </c>
      <c r="I22" s="249" t="s">
        <v>289</v>
      </c>
      <c r="J22" s="29"/>
      <c r="K22" s="28"/>
      <c r="L22" s="249" t="s">
        <v>290</v>
      </c>
      <c r="N22" s="249" t="s">
        <v>289</v>
      </c>
    </row>
    <row r="23" spans="1:14" ht="21.75" customHeight="1">
      <c r="A23" s="189">
        <v>20</v>
      </c>
      <c r="B23" s="190" t="s">
        <v>186</v>
      </c>
      <c r="C23" s="191" t="e">
        <f>VLOOKUP("D",MAJ!X$2:$AJ$32,13,0)</f>
        <v>#REF!</v>
      </c>
      <c r="D23" s="192"/>
      <c r="E23" s="192"/>
      <c r="G23" s="307" t="str">
        <f>MARZEC!AA39</f>
        <v>KALITA</v>
      </c>
      <c r="I23" s="308" t="str">
        <f>MARZEC!AE39</f>
        <v>KALITA</v>
      </c>
      <c r="J23" s="29"/>
      <c r="K23" s="28"/>
      <c r="L23" s="309" t="str">
        <f>MARZEC!AA44</f>
        <v>KUSIAK</v>
      </c>
      <c r="N23" s="310" t="str">
        <f>MARZEC!AE44</f>
        <v>KUSIAK</v>
      </c>
    </row>
    <row r="24" spans="1:14" ht="21.75" customHeight="1">
      <c r="A24" s="189">
        <v>21</v>
      </c>
      <c r="B24" s="190" t="s">
        <v>187</v>
      </c>
      <c r="C24" s="191" t="e">
        <f>VLOOKUP("D",MAJ!Y$2:$AJ$32,12,0)</f>
        <v>#REF!</v>
      </c>
      <c r="D24" s="192"/>
      <c r="E24" s="192"/>
      <c r="G24" s="311" t="str">
        <f>MARZEC!AA40</f>
        <v>WALKOWIAK</v>
      </c>
      <c r="I24" s="312" t="str">
        <f>MARZEC!AE40</f>
        <v>WALKOWIAK</v>
      </c>
      <c r="J24" s="29"/>
      <c r="K24" s="28"/>
      <c r="L24" s="313" t="str">
        <f>MARZEC!AA45</f>
        <v>SKALSKA</v>
      </c>
      <c r="N24" s="314" t="str">
        <f>MARZEC!AE45</f>
        <v>SKALSKA</v>
      </c>
    </row>
    <row r="25" spans="1:14" ht="21.75" customHeight="1">
      <c r="A25" s="189">
        <v>22</v>
      </c>
      <c r="B25" s="190" t="s">
        <v>181</v>
      </c>
      <c r="C25" s="191" t="e">
        <f>VLOOKUP("D",MAJ!Z$2:$AJ$32,11,0)</f>
        <v>#REF!</v>
      </c>
      <c r="D25" s="192"/>
      <c r="E25" s="192"/>
      <c r="G25" s="315" t="str">
        <f>MARZEC!AA41</f>
        <v>ZEMBRZUSKI</v>
      </c>
      <c r="I25" s="316" t="str">
        <f>MARZEC!AE41</f>
        <v>SPRUTTA</v>
      </c>
      <c r="J25" s="29"/>
      <c r="K25" s="28"/>
      <c r="L25" s="315" t="str">
        <f>MARZEC!AA46</f>
        <v>BARTOSIEWICZ</v>
      </c>
      <c r="N25" s="316" t="str">
        <f>MARZEC!AE46</f>
        <v>BARTOSIEWICZ</v>
      </c>
    </row>
    <row r="26" spans="1:14" ht="21.75" customHeight="1">
      <c r="A26" s="186">
        <v>23</v>
      </c>
      <c r="B26" s="183" t="s">
        <v>182</v>
      </c>
      <c r="C26" s="184" t="e">
        <f>VLOOKUP("D",MAJ!AA$2:$AJ$32,10,0)</f>
        <v>#REF!</v>
      </c>
      <c r="D26" s="188"/>
      <c r="E26" s="188"/>
      <c r="G26" s="317" t="str">
        <f>MARZEC!AA42</f>
        <v>MŁYŃSKI</v>
      </c>
      <c r="H26" s="319"/>
      <c r="I26" s="318" t="str">
        <f>MARZEC!AE42</f>
        <v>MŁYŃSKI</v>
      </c>
      <c r="J26" s="320"/>
      <c r="K26" s="321"/>
      <c r="L26" s="317" t="str">
        <f>MARZEC!AA47</f>
        <v>PAWŁOWSKA</v>
      </c>
      <c r="M26" s="319"/>
      <c r="N26" s="318" t="str">
        <f>MARZEC!AE47</f>
        <v>PAWŁOWSKA</v>
      </c>
    </row>
    <row r="27" spans="1:14" ht="21.75" customHeight="1">
      <c r="A27" s="186">
        <v>24</v>
      </c>
      <c r="B27" s="183" t="s">
        <v>183</v>
      </c>
      <c r="C27" s="184" t="e">
        <f>VLOOKUP("D",MAJ!AB$2:$AJ$32,9,0)</f>
        <v>#REF!</v>
      </c>
      <c r="D27" s="188"/>
      <c r="E27" s="188"/>
      <c r="G27" s="322"/>
      <c r="H27" s="323"/>
      <c r="I27" s="323"/>
      <c r="J27" s="324"/>
      <c r="K27" s="322"/>
      <c r="L27" s="323"/>
      <c r="M27" s="323"/>
      <c r="N27" s="324"/>
    </row>
    <row r="28" spans="1:14" ht="21.75" customHeight="1">
      <c r="A28" s="189">
        <v>25</v>
      </c>
      <c r="B28" s="190" t="s">
        <v>184</v>
      </c>
      <c r="C28" s="191" t="e">
        <f>VLOOKUP("D",MAJ!AC$2:$AJ$32,8,0)</f>
        <v>#REF!</v>
      </c>
      <c r="D28" s="192"/>
      <c r="E28" s="192"/>
      <c r="G28" s="249" t="s">
        <v>292</v>
      </c>
      <c r="I28" s="325"/>
      <c r="J28" s="29"/>
      <c r="K28" s="28"/>
      <c r="L28" s="249" t="s">
        <v>290</v>
      </c>
      <c r="N28" s="326"/>
    </row>
    <row r="29" spans="1:14" ht="21.75" customHeight="1">
      <c r="A29" s="189">
        <v>26</v>
      </c>
      <c r="B29" s="190" t="s">
        <v>185</v>
      </c>
      <c r="C29" s="191" t="e">
        <f>VLOOKUP("D",MAJ!AD$2:$AJ$32,7,0)</f>
        <v>#REF!</v>
      </c>
      <c r="D29" s="192"/>
      <c r="E29" s="192"/>
      <c r="G29" s="309" t="str">
        <f>MARZEC!AH39</f>
        <v>ŚWIREPO</v>
      </c>
      <c r="I29" s="121"/>
      <c r="J29" s="29"/>
      <c r="K29" s="28"/>
      <c r="L29" s="309">
        <f>MARZEC!AH44</f>
        <v>0</v>
      </c>
      <c r="N29" s="327"/>
    </row>
    <row r="30" spans="1:14" ht="21.75" customHeight="1">
      <c r="A30" s="189">
        <v>27</v>
      </c>
      <c r="B30" s="190" t="s">
        <v>186</v>
      </c>
      <c r="C30" s="191" t="e">
        <f>VLOOKUP("D",MAJ!AE$2:$AJ$32,6,0)</f>
        <v>#REF!</v>
      </c>
      <c r="D30" s="192"/>
      <c r="E30" s="192"/>
      <c r="G30" s="328" t="str">
        <f>MARZEC!AH40</f>
        <v>STRANC</v>
      </c>
      <c r="J30" s="29"/>
      <c r="K30" s="28"/>
      <c r="L30" s="328">
        <f>MARZEC!AH45</f>
        <v>0</v>
      </c>
      <c r="N30" s="29"/>
    </row>
    <row r="31" spans="1:14" ht="21.75" customHeight="1">
      <c r="A31" s="189">
        <v>28</v>
      </c>
      <c r="B31" s="190" t="s">
        <v>187</v>
      </c>
      <c r="C31" s="191" t="e">
        <f>VLOOKUP("D",MAJ!AF$2:$AJ$32,5,0)</f>
        <v>#REF!</v>
      </c>
      <c r="D31" s="192"/>
      <c r="E31" s="192"/>
      <c r="G31" s="329" t="str">
        <f>MARZEC!AH41</f>
        <v>PAWŁOWSKI</v>
      </c>
      <c r="J31" s="29"/>
      <c r="K31" s="28"/>
      <c r="L31" s="329">
        <f>MARZEC!AH46</f>
        <v>0</v>
      </c>
      <c r="N31" s="29"/>
    </row>
    <row r="32" spans="1:14" ht="21.75" customHeight="1">
      <c r="A32" s="189">
        <v>29</v>
      </c>
      <c r="B32" s="190" t="s">
        <v>181</v>
      </c>
      <c r="C32" s="191" t="e">
        <f>VLOOKUP("D",MAJ!AG$2:$AJ$32,4,0)</f>
        <v>#REF!</v>
      </c>
      <c r="D32" s="192"/>
      <c r="E32" s="192"/>
      <c r="G32" s="330" t="str">
        <f>MARZEC!AH42</f>
        <v>DRGAS</v>
      </c>
      <c r="H32" s="319"/>
      <c r="I32" s="319"/>
      <c r="J32" s="320"/>
      <c r="K32" s="321"/>
      <c r="L32" s="330">
        <f>MARZEC!AH47</f>
        <v>0</v>
      </c>
      <c r="M32" s="319"/>
      <c r="N32" s="320"/>
    </row>
    <row r="33" spans="1:5" ht="21.75" customHeight="1">
      <c r="A33" s="186">
        <v>30</v>
      </c>
      <c r="B33" s="183" t="s">
        <v>182</v>
      </c>
      <c r="C33" s="184" t="e">
        <f>VLOOKUP("D",MAJ!AH$2:$AJ$32,3,0)</f>
        <v>#REF!</v>
      </c>
      <c r="D33" s="188"/>
      <c r="E33" s="188"/>
    </row>
    <row r="34" spans="1:5" ht="19.5" customHeight="1">
      <c r="A34" s="186">
        <v>31</v>
      </c>
      <c r="B34" s="183" t="s">
        <v>183</v>
      </c>
      <c r="C34" s="331" t="e">
        <f>VLOOKUP("D",MAJ!AI$2:$AJ$32,2,0)</f>
        <v>#N/A</v>
      </c>
      <c r="D34" s="194"/>
      <c r="E34" s="194"/>
    </row>
  </sheetData>
  <mergeCells count="6">
    <mergeCell ref="A3:B3"/>
    <mergeCell ref="B1:E1"/>
    <mergeCell ref="G1:N1"/>
    <mergeCell ref="A2:E2"/>
    <mergeCell ref="G2:I2"/>
    <mergeCell ref="L2:N2"/>
  </mergeCells>
  <pageMargins left="0.23611111111111099" right="0.23611111111111099" top="0.15763888888888899" bottom="0.15763888888888899" header="0.51180555555555496" footer="0.51180555555555496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AMJ117"/>
  <sheetViews>
    <sheetView zoomScale="110" zoomScaleNormal="110" workbookViewId="0">
      <pane ySplit="1" topLeftCell="A41" activePane="bottomLeft" state="frozen"/>
      <selection pane="bottomLeft" activeCell="AC1" sqref="AC1"/>
    </sheetView>
  </sheetViews>
  <sheetFormatPr defaultColWidth="8.84375" defaultRowHeight="14.6"/>
  <cols>
    <col min="1" max="1" width="6" style="1" customWidth="1"/>
    <col min="2" max="2" width="4.4609375" style="1" customWidth="1"/>
    <col min="3" max="3" width="18.53515625" style="7" customWidth="1"/>
    <col min="4" max="4" width="6" style="1" customWidth="1"/>
    <col min="5" max="33" width="3.53515625" style="1" customWidth="1"/>
    <col min="34" max="34" width="3.84375" style="1" customWidth="1"/>
    <col min="35" max="35" width="3.53515625" style="1" hidden="1" customWidth="1"/>
    <col min="36" max="36" width="6" style="1" hidden="1" customWidth="1"/>
    <col min="37" max="37" width="7.15234375" style="8" customWidth="1"/>
    <col min="38" max="38" width="7.3046875" style="8" customWidth="1"/>
    <col min="39" max="39" width="4.69140625" style="1" customWidth="1"/>
    <col min="40" max="40" width="5.69140625" style="1" customWidth="1"/>
    <col min="41" max="41" width="4.53515625" style="1" customWidth="1"/>
    <col min="42" max="44" width="8.84375" style="1"/>
    <col min="45" max="45" width="20.3046875" style="1" customWidth="1"/>
    <col min="46" max="46" width="8.84375" style="1"/>
    <col min="47" max="47" width="6" style="1" customWidth="1"/>
    <col min="48" max="1024" width="8.84375" style="1"/>
  </cols>
  <sheetData>
    <row r="1" spans="1:47" ht="43.3">
      <c r="A1" s="1" t="s">
        <v>52</v>
      </c>
      <c r="D1" s="9">
        <v>44348</v>
      </c>
      <c r="E1" s="433">
        <v>44348</v>
      </c>
      <c r="F1" s="433">
        <v>44349</v>
      </c>
      <c r="G1" s="378">
        <v>44350</v>
      </c>
      <c r="H1" s="433">
        <v>44351</v>
      </c>
      <c r="I1" s="378">
        <v>44352</v>
      </c>
      <c r="J1" s="378">
        <v>44353</v>
      </c>
      <c r="K1" s="433">
        <v>44354</v>
      </c>
      <c r="L1" s="433">
        <v>44355</v>
      </c>
      <c r="M1" s="433">
        <v>44356</v>
      </c>
      <c r="N1" s="433">
        <v>44357</v>
      </c>
      <c r="O1" s="433">
        <v>44358</v>
      </c>
      <c r="P1" s="378">
        <v>44359</v>
      </c>
      <c r="Q1" s="378">
        <v>44360</v>
      </c>
      <c r="R1" s="433">
        <v>44361</v>
      </c>
      <c r="S1" s="433">
        <v>44362</v>
      </c>
      <c r="T1" s="433">
        <v>44363</v>
      </c>
      <c r="U1" s="433">
        <v>44364</v>
      </c>
      <c r="V1" s="433">
        <v>44365</v>
      </c>
      <c r="W1" s="378">
        <v>44366</v>
      </c>
      <c r="X1" s="378">
        <v>44367</v>
      </c>
      <c r="Y1" s="433">
        <v>44368</v>
      </c>
      <c r="Z1" s="433">
        <v>44369</v>
      </c>
      <c r="AA1" s="433">
        <v>44370</v>
      </c>
      <c r="AB1" s="433">
        <v>44371</v>
      </c>
      <c r="AC1" s="433">
        <v>44372</v>
      </c>
      <c r="AD1" s="378">
        <v>44373</v>
      </c>
      <c r="AE1" s="378">
        <v>44374</v>
      </c>
      <c r="AF1" s="433">
        <v>44375</v>
      </c>
      <c r="AG1" s="433">
        <v>44376</v>
      </c>
      <c r="AH1" s="433">
        <v>44377</v>
      </c>
      <c r="AI1" s="433"/>
      <c r="AJ1" s="434"/>
      <c r="AK1" s="435">
        <f>21*8</f>
        <v>168</v>
      </c>
      <c r="AL1" s="436"/>
      <c r="AM1" s="16" t="s">
        <v>53</v>
      </c>
      <c r="AN1" s="17" t="s">
        <v>54</v>
      </c>
      <c r="AO1" s="18" t="s">
        <v>55</v>
      </c>
      <c r="AP1" s="1" t="s">
        <v>56</v>
      </c>
      <c r="AQ1" s="1" t="s">
        <v>322</v>
      </c>
      <c r="AU1" s="123"/>
    </row>
    <row r="2" spans="1:47" ht="15.9">
      <c r="A2" s="1" t="s">
        <v>58</v>
      </c>
      <c r="B2" s="1" t="s">
        <v>59</v>
      </c>
      <c r="C2" s="198" t="s">
        <v>60</v>
      </c>
      <c r="D2" s="266" t="e">
        <f>Zasoby!#REF!</f>
        <v>#REF!</v>
      </c>
      <c r="E2" s="200" t="s">
        <v>66</v>
      </c>
      <c r="F2" s="22"/>
      <c r="G2" s="201"/>
      <c r="H2" s="22"/>
      <c r="I2" s="201" t="s">
        <v>66</v>
      </c>
      <c r="J2" s="201" t="s">
        <v>66</v>
      </c>
      <c r="K2" s="382"/>
      <c r="L2" s="22">
        <v>14.5</v>
      </c>
      <c r="M2" s="22" t="s">
        <v>62</v>
      </c>
      <c r="N2" s="22" t="s">
        <v>62</v>
      </c>
      <c r="O2" s="22" t="s">
        <v>61</v>
      </c>
      <c r="P2" s="201"/>
      <c r="Q2" s="201"/>
      <c r="R2" s="22"/>
      <c r="S2" s="437">
        <v>5</v>
      </c>
      <c r="T2" s="22">
        <v>5</v>
      </c>
      <c r="U2" s="22"/>
      <c r="V2" s="22"/>
      <c r="W2" s="201"/>
      <c r="X2" s="201"/>
      <c r="Y2" s="22" t="s">
        <v>75</v>
      </c>
      <c r="Z2" s="22" t="s">
        <v>75</v>
      </c>
      <c r="AA2" s="22" t="s">
        <v>75</v>
      </c>
      <c r="AB2" s="22" t="s">
        <v>75</v>
      </c>
      <c r="AC2" s="22" t="s">
        <v>75</v>
      </c>
      <c r="AD2" s="201"/>
      <c r="AE2" s="201"/>
      <c r="AF2" s="22"/>
      <c r="AG2" s="22"/>
      <c r="AH2" s="438"/>
      <c r="AI2" s="439"/>
      <c r="AJ2" s="440" t="e">
        <f>_xlfn.CONCAT(#REF!,Tabela13[[#This Row],[FUNKCJONARIUSZ]])</f>
        <v>#REF!</v>
      </c>
      <c r="AK2" s="441" t="e">
        <f t="shared" ref="AK2:AK27" si="0">D2+AM2+AN2+AO2-$AK$1+AP2+AQ2</f>
        <v>#REF!</v>
      </c>
      <c r="AL2" s="442" t="e">
        <f>#REF!</f>
        <v>#REF!</v>
      </c>
      <c r="AM2">
        <f t="shared" ref="AM2:AM32" si="1">COUNTIF(E2:AI2,"D")*24+COUNTIF(E2:AI2,"12g")*12</f>
        <v>0</v>
      </c>
      <c r="AN2">
        <f t="shared" ref="AN2:AN32" si="2">SUM(COUNTIF(E2:AI2,"k")+COUNTIF(E2:AI2,"s")+COUNTIF(E2:AI2,"wse"))*24+SUM(COUNTIF(E2:AI2,"Pk")+COUNTIF(E2:AI2,"Ps"))*12</f>
        <v>60</v>
      </c>
      <c r="AO2" s="29">
        <f t="shared" ref="AO2:AO32" si="3">SUM(E2:AI2)+COUNTIF(E2:AI2,"uw")*8+COUNTIF(E2:AI2,"us")*8+COUNTIF(E2:AI2,"uz")*8</f>
        <v>64.5</v>
      </c>
      <c r="AP2" s="1">
        <f t="shared" ref="AP2:AP32" si="4">COUNTIF(E2:AI2,"DT")*8</f>
        <v>0</v>
      </c>
      <c r="AQ2" s="1">
        <v>0</v>
      </c>
      <c r="AU2" s="57"/>
    </row>
    <row r="3" spans="1:47" ht="15.9">
      <c r="A3" s="1" t="s">
        <v>63</v>
      </c>
      <c r="B3" s="1" t="s">
        <v>64</v>
      </c>
      <c r="C3" s="203" t="s">
        <v>65</v>
      </c>
      <c r="D3" s="266">
        <v>43</v>
      </c>
      <c r="E3" s="204" t="s">
        <v>62</v>
      </c>
      <c r="F3" s="32" t="s">
        <v>62</v>
      </c>
      <c r="G3" s="36" t="s">
        <v>62</v>
      </c>
      <c r="H3" s="32">
        <v>13</v>
      </c>
      <c r="I3" s="36"/>
      <c r="J3" s="270"/>
      <c r="K3" s="231">
        <v>8</v>
      </c>
      <c r="L3" s="32">
        <v>8</v>
      </c>
      <c r="M3" s="32"/>
      <c r="N3" s="32"/>
      <c r="O3" s="32"/>
      <c r="P3" s="36"/>
      <c r="Q3" s="36"/>
      <c r="R3" s="136">
        <v>8</v>
      </c>
      <c r="S3" s="137">
        <v>8</v>
      </c>
      <c r="T3" s="48">
        <v>8</v>
      </c>
      <c r="U3" s="32"/>
      <c r="V3" s="32" t="s">
        <v>66</v>
      </c>
      <c r="W3" s="36" t="s">
        <v>66</v>
      </c>
      <c r="X3" s="36" t="s">
        <v>66</v>
      </c>
      <c r="Y3" s="32"/>
      <c r="Z3" s="32"/>
      <c r="AA3" s="32"/>
      <c r="AB3" s="32"/>
      <c r="AC3" s="32"/>
      <c r="AD3" s="36"/>
      <c r="AE3" s="36"/>
      <c r="AF3" s="32"/>
      <c r="AG3" s="32"/>
      <c r="AH3" s="136"/>
      <c r="AI3" s="443"/>
      <c r="AJ3" s="440" t="e">
        <f>_xlfn.CONCAT(#REF!,Tabela13[[#This Row],[FUNKCJONARIUSZ]])</f>
        <v>#REF!</v>
      </c>
      <c r="AK3" s="444">
        <f t="shared" si="0"/>
        <v>0</v>
      </c>
      <c r="AL3" s="445" t="e">
        <f>#REF!</f>
        <v>#REF!</v>
      </c>
      <c r="AM3">
        <f t="shared" si="1"/>
        <v>0</v>
      </c>
      <c r="AN3">
        <f t="shared" si="2"/>
        <v>72</v>
      </c>
      <c r="AO3" s="29">
        <f t="shared" si="3"/>
        <v>53</v>
      </c>
      <c r="AP3" s="1">
        <f t="shared" si="4"/>
        <v>0</v>
      </c>
      <c r="AU3" s="57"/>
    </row>
    <row r="4" spans="1:47" ht="15.9">
      <c r="A4" s="1" t="s">
        <v>67</v>
      </c>
      <c r="B4" s="1" t="s">
        <v>64</v>
      </c>
      <c r="C4" s="203" t="s">
        <v>68</v>
      </c>
      <c r="D4" s="266" t="e">
        <f>Zasoby!#REF!</f>
        <v>#REF!</v>
      </c>
      <c r="E4" s="204" t="s">
        <v>59</v>
      </c>
      <c r="F4" s="32" t="s">
        <v>66</v>
      </c>
      <c r="G4" s="36"/>
      <c r="H4" s="32">
        <v>12</v>
      </c>
      <c r="I4" s="36">
        <v>7</v>
      </c>
      <c r="J4" s="271">
        <v>8</v>
      </c>
      <c r="K4" s="231"/>
      <c r="L4" s="32"/>
      <c r="M4" s="32">
        <v>4</v>
      </c>
      <c r="N4" s="32">
        <v>8</v>
      </c>
      <c r="O4" s="32">
        <v>8</v>
      </c>
      <c r="P4" s="36"/>
      <c r="Q4" s="36">
        <v>4</v>
      </c>
      <c r="R4" s="32">
        <v>8</v>
      </c>
      <c r="S4" s="41"/>
      <c r="T4" s="32">
        <v>4</v>
      </c>
      <c r="U4" s="32" t="s">
        <v>59</v>
      </c>
      <c r="V4" s="32"/>
      <c r="W4" s="36"/>
      <c r="X4" s="36"/>
      <c r="Y4" s="32"/>
      <c r="Z4" s="32"/>
      <c r="AA4" s="32">
        <v>12</v>
      </c>
      <c r="AB4" s="32">
        <v>12</v>
      </c>
      <c r="AC4" s="32"/>
      <c r="AD4" s="36"/>
      <c r="AE4" s="36">
        <v>24</v>
      </c>
      <c r="AF4" s="32"/>
      <c r="AG4" s="32"/>
      <c r="AH4" s="136"/>
      <c r="AI4" s="443" t="s">
        <v>66</v>
      </c>
      <c r="AJ4" s="440" t="e">
        <f>_xlfn.CONCAT(#REF!,Tabela13[[#This Row],[FUNKCJONARIUSZ]])</f>
        <v>#REF!</v>
      </c>
      <c r="AK4" s="444" t="e">
        <f t="shared" si="0"/>
        <v>#REF!</v>
      </c>
      <c r="AL4" s="445" t="e">
        <f>#REF!</f>
        <v>#REF!</v>
      </c>
      <c r="AM4">
        <f t="shared" si="1"/>
        <v>48</v>
      </c>
      <c r="AN4">
        <f t="shared" si="2"/>
        <v>0</v>
      </c>
      <c r="AO4" s="29">
        <f t="shared" si="3"/>
        <v>111</v>
      </c>
      <c r="AP4" s="1">
        <f t="shared" si="4"/>
        <v>0</v>
      </c>
      <c r="AU4" s="57"/>
    </row>
    <row r="5" spans="1:47" ht="15.9">
      <c r="A5" s="1" t="s">
        <v>63</v>
      </c>
      <c r="B5" s="1" t="s">
        <v>64</v>
      </c>
      <c r="C5" s="206" t="s">
        <v>71</v>
      </c>
      <c r="D5" s="266" t="e">
        <f>Zasoby!#REF!</f>
        <v>#REF!</v>
      </c>
      <c r="E5" s="204" t="s">
        <v>75</v>
      </c>
      <c r="F5" s="32" t="s">
        <v>75</v>
      </c>
      <c r="G5" s="36" t="s">
        <v>66</v>
      </c>
      <c r="H5" s="32" t="s">
        <v>75</v>
      </c>
      <c r="I5" s="36" t="s">
        <v>66</v>
      </c>
      <c r="J5" s="36" t="s">
        <v>66</v>
      </c>
      <c r="K5" s="32" t="s">
        <v>75</v>
      </c>
      <c r="L5" s="32" t="s">
        <v>75</v>
      </c>
      <c r="M5" s="32"/>
      <c r="N5" s="32">
        <v>12</v>
      </c>
      <c r="O5" s="32"/>
      <c r="P5" s="36"/>
      <c r="Q5" s="36"/>
      <c r="R5" s="32"/>
      <c r="S5" s="32"/>
      <c r="T5" s="32"/>
      <c r="U5" s="32"/>
      <c r="V5" s="32"/>
      <c r="W5" s="36"/>
      <c r="X5" s="36"/>
      <c r="Y5" s="32"/>
      <c r="Z5" s="32"/>
      <c r="AA5" s="32"/>
      <c r="AB5" s="32"/>
      <c r="AC5" s="32"/>
      <c r="AD5" s="36"/>
      <c r="AE5" s="36"/>
      <c r="AF5" s="32">
        <v>17</v>
      </c>
      <c r="AG5" s="32" t="s">
        <v>62</v>
      </c>
      <c r="AH5" s="136" t="s">
        <v>62</v>
      </c>
      <c r="AI5" s="443"/>
      <c r="AJ5" s="440" t="e">
        <f>_xlfn.CONCAT(#REF!,Tabela13[[#This Row],[FUNKCJONARIUSZ]])</f>
        <v>#REF!</v>
      </c>
      <c r="AK5" s="444" t="e">
        <f t="shared" si="0"/>
        <v>#REF!</v>
      </c>
      <c r="AL5" s="445" t="e">
        <f>#REF!</f>
        <v>#REF!</v>
      </c>
      <c r="AM5">
        <f t="shared" si="1"/>
        <v>0</v>
      </c>
      <c r="AN5">
        <f t="shared" si="2"/>
        <v>48</v>
      </c>
      <c r="AO5" s="29">
        <f t="shared" si="3"/>
        <v>69</v>
      </c>
      <c r="AP5" s="1">
        <f t="shared" si="4"/>
        <v>0</v>
      </c>
      <c r="AR5" s="36" t="s">
        <v>59</v>
      </c>
      <c r="AS5" s="1" t="s">
        <v>72</v>
      </c>
      <c r="AT5" s="1">
        <v>24</v>
      </c>
      <c r="AU5" s="57"/>
    </row>
    <row r="6" spans="1:47" ht="15.9">
      <c r="A6" s="1" t="s">
        <v>67</v>
      </c>
      <c r="B6" s="1" t="s">
        <v>73</v>
      </c>
      <c r="C6" s="203" t="s">
        <v>74</v>
      </c>
      <c r="D6" s="266" t="e">
        <f>Zasoby!#REF!</f>
        <v>#REF!</v>
      </c>
      <c r="E6" s="204" t="s">
        <v>62</v>
      </c>
      <c r="F6" s="32" t="s">
        <v>62</v>
      </c>
      <c r="G6" s="36" t="s">
        <v>62</v>
      </c>
      <c r="H6" s="32">
        <v>13</v>
      </c>
      <c r="I6" s="36" t="s">
        <v>66</v>
      </c>
      <c r="J6" s="36" t="s">
        <v>66</v>
      </c>
      <c r="K6" s="32" t="s">
        <v>66</v>
      </c>
      <c r="L6" s="32" t="s">
        <v>66</v>
      </c>
      <c r="M6" s="32" t="s">
        <v>113</v>
      </c>
      <c r="N6" s="32"/>
      <c r="O6" s="32"/>
      <c r="P6" s="36"/>
      <c r="Q6" s="36"/>
      <c r="R6" s="32"/>
      <c r="S6" s="32" t="s">
        <v>113</v>
      </c>
      <c r="T6" s="32"/>
      <c r="U6" s="32">
        <v>6</v>
      </c>
      <c r="V6" s="32"/>
      <c r="W6" s="36"/>
      <c r="X6" s="36"/>
      <c r="Y6" s="32"/>
      <c r="Z6" s="32"/>
      <c r="AA6" s="32"/>
      <c r="AB6" s="32"/>
      <c r="AC6" s="32"/>
      <c r="AD6" s="36"/>
      <c r="AE6" s="36"/>
      <c r="AF6" s="32"/>
      <c r="AG6" s="32"/>
      <c r="AH6" s="136"/>
      <c r="AI6" s="443"/>
      <c r="AJ6" s="440" t="e">
        <f>_xlfn.CONCAT(#REF!,Tabela13[[#This Row],[FUNKCJONARIUSZ]])</f>
        <v>#REF!</v>
      </c>
      <c r="AK6" s="444" t="e">
        <f t="shared" si="0"/>
        <v>#REF!</v>
      </c>
      <c r="AL6" s="445" t="e">
        <f>#REF!</f>
        <v>#REF!</v>
      </c>
      <c r="AM6">
        <f t="shared" si="1"/>
        <v>48</v>
      </c>
      <c r="AN6">
        <f t="shared" si="2"/>
        <v>72</v>
      </c>
      <c r="AO6" s="29">
        <f t="shared" si="3"/>
        <v>19</v>
      </c>
      <c r="AP6" s="1">
        <f t="shared" si="4"/>
        <v>0</v>
      </c>
      <c r="AR6" s="36" t="s">
        <v>76</v>
      </c>
      <c r="AS6" s="1" t="s">
        <v>77</v>
      </c>
      <c r="AT6" s="1">
        <v>12</v>
      </c>
      <c r="AU6" s="57"/>
    </row>
    <row r="7" spans="1:47" ht="15.9">
      <c r="A7" s="1" t="s">
        <v>67</v>
      </c>
      <c r="B7" s="1" t="s">
        <v>59</v>
      </c>
      <c r="C7" s="30" t="s">
        <v>78</v>
      </c>
      <c r="D7" s="266" t="e">
        <f>Zasoby!#REF!</f>
        <v>#REF!</v>
      </c>
      <c r="E7" s="204"/>
      <c r="F7" s="32"/>
      <c r="G7" s="36"/>
      <c r="H7" s="32">
        <v>17</v>
      </c>
      <c r="I7" s="36" t="s">
        <v>70</v>
      </c>
      <c r="J7" s="36" t="s">
        <v>70</v>
      </c>
      <c r="K7" s="32" t="s">
        <v>62</v>
      </c>
      <c r="L7" s="32">
        <v>15</v>
      </c>
      <c r="M7" s="32"/>
      <c r="N7" s="32"/>
      <c r="O7" s="32"/>
      <c r="P7" s="36"/>
      <c r="Q7" s="36"/>
      <c r="R7" s="32">
        <v>12</v>
      </c>
      <c r="S7" s="32" t="s">
        <v>98</v>
      </c>
      <c r="T7" s="32" t="s">
        <v>98</v>
      </c>
      <c r="U7" s="32">
        <v>7</v>
      </c>
      <c r="V7" s="32"/>
      <c r="W7" s="36"/>
      <c r="X7" s="36"/>
      <c r="Y7" s="32"/>
      <c r="Z7" s="32"/>
      <c r="AA7" s="32"/>
      <c r="AB7" s="32"/>
      <c r="AC7" s="32"/>
      <c r="AD7" s="36"/>
      <c r="AE7" s="36"/>
      <c r="AF7" s="32"/>
      <c r="AG7" s="32"/>
      <c r="AH7" s="136"/>
      <c r="AI7" s="443"/>
      <c r="AJ7" s="440" t="e">
        <f>_xlfn.CONCAT(#REF!,Tabela13[[#This Row],[FUNKCJONARIUSZ]])</f>
        <v>#REF!</v>
      </c>
      <c r="AK7" s="444" t="e">
        <f t="shared" si="0"/>
        <v>#REF!</v>
      </c>
      <c r="AL7" s="446" t="e">
        <f>#REF!</f>
        <v>#REF!</v>
      </c>
      <c r="AM7">
        <f t="shared" si="1"/>
        <v>0</v>
      </c>
      <c r="AN7">
        <f t="shared" si="2"/>
        <v>120</v>
      </c>
      <c r="AO7" s="29">
        <f t="shared" si="3"/>
        <v>51</v>
      </c>
      <c r="AP7" s="1">
        <f t="shared" si="4"/>
        <v>0</v>
      </c>
      <c r="AR7" s="36" t="s">
        <v>69</v>
      </c>
      <c r="AS7" s="1" t="s">
        <v>79</v>
      </c>
      <c r="AT7" s="1">
        <v>12</v>
      </c>
      <c r="AU7" s="57"/>
    </row>
    <row r="8" spans="1:47" ht="15.9">
      <c r="A8" s="1" t="s">
        <v>67</v>
      </c>
      <c r="B8" s="1" t="s">
        <v>59</v>
      </c>
      <c r="C8" s="203" t="s">
        <v>80</v>
      </c>
      <c r="D8" s="266" t="e">
        <f>Zasoby!#REF!</f>
        <v>#REF!</v>
      </c>
      <c r="E8" s="204" t="s">
        <v>75</v>
      </c>
      <c r="F8" s="32" t="s">
        <v>75</v>
      </c>
      <c r="G8" s="36" t="s">
        <v>66</v>
      </c>
      <c r="H8" s="32" t="s">
        <v>75</v>
      </c>
      <c r="I8" s="36" t="s">
        <v>66</v>
      </c>
      <c r="J8" s="36" t="s">
        <v>66</v>
      </c>
      <c r="K8" s="32"/>
      <c r="L8" s="32"/>
      <c r="M8" s="32"/>
      <c r="N8" s="32">
        <v>2</v>
      </c>
      <c r="O8" s="37"/>
      <c r="P8" s="207"/>
      <c r="Q8" s="36"/>
      <c r="R8" s="32"/>
      <c r="S8" s="32">
        <v>7</v>
      </c>
      <c r="T8" s="32">
        <v>7</v>
      </c>
      <c r="U8" s="32"/>
      <c r="V8" s="32"/>
      <c r="W8" s="36"/>
      <c r="X8" s="36"/>
      <c r="Y8" s="32"/>
      <c r="Z8" s="32"/>
      <c r="AA8" s="32"/>
      <c r="AB8" s="32"/>
      <c r="AC8" s="32" t="s">
        <v>113</v>
      </c>
      <c r="AD8" s="36"/>
      <c r="AE8" s="36"/>
      <c r="AF8" s="32">
        <v>17</v>
      </c>
      <c r="AG8" s="32" t="s">
        <v>62</v>
      </c>
      <c r="AH8" s="136" t="s">
        <v>62</v>
      </c>
      <c r="AI8" s="443"/>
      <c r="AJ8" s="440" t="e">
        <f>_xlfn.CONCAT(#REF!,Tabela13[[#This Row],[FUNKCJONARIUSZ]])</f>
        <v>#REF!</v>
      </c>
      <c r="AK8" s="444" t="e">
        <f t="shared" si="0"/>
        <v>#REF!</v>
      </c>
      <c r="AL8" s="446" t="e">
        <f>#REF!</f>
        <v>#REF!</v>
      </c>
      <c r="AM8">
        <f t="shared" si="1"/>
        <v>24</v>
      </c>
      <c r="AN8">
        <f t="shared" si="2"/>
        <v>48</v>
      </c>
      <c r="AO8" s="29">
        <f t="shared" si="3"/>
        <v>57</v>
      </c>
      <c r="AP8" s="1">
        <f t="shared" si="4"/>
        <v>0</v>
      </c>
      <c r="AR8" s="36" t="s">
        <v>70</v>
      </c>
      <c r="AS8" s="1" t="s">
        <v>81</v>
      </c>
      <c r="AT8" s="1">
        <v>24</v>
      </c>
      <c r="AU8" s="57"/>
    </row>
    <row r="9" spans="1:47" ht="15.9">
      <c r="A9" s="1" t="s">
        <v>67</v>
      </c>
      <c r="B9" s="1" t="s">
        <v>59</v>
      </c>
      <c r="C9" s="203" t="s">
        <v>82</v>
      </c>
      <c r="D9" s="266" t="e">
        <f>Zasoby!#REF!</f>
        <v>#REF!</v>
      </c>
      <c r="E9" s="204">
        <v>8</v>
      </c>
      <c r="F9" s="32"/>
      <c r="G9" s="36"/>
      <c r="H9" s="32">
        <v>8</v>
      </c>
      <c r="I9" s="36" t="s">
        <v>59</v>
      </c>
      <c r="J9" s="36"/>
      <c r="K9" s="32"/>
      <c r="L9" s="32"/>
      <c r="M9" s="32"/>
      <c r="N9" s="136"/>
      <c r="O9" s="32"/>
      <c r="P9" s="36"/>
      <c r="Q9" s="168"/>
      <c r="R9" s="32"/>
      <c r="S9" s="32"/>
      <c r="T9" s="32"/>
      <c r="U9" s="32"/>
      <c r="V9" s="32"/>
      <c r="W9" s="36"/>
      <c r="X9" s="36"/>
      <c r="Y9" s="32">
        <v>17</v>
      </c>
      <c r="Z9" s="32" t="s">
        <v>70</v>
      </c>
      <c r="AA9" s="32" t="s">
        <v>70</v>
      </c>
      <c r="AB9" s="32" t="s">
        <v>70</v>
      </c>
      <c r="AC9" s="32" t="s">
        <v>70</v>
      </c>
      <c r="AD9" s="36" t="s">
        <v>70</v>
      </c>
      <c r="AE9" s="36" t="s">
        <v>70</v>
      </c>
      <c r="AF9" s="32">
        <v>15</v>
      </c>
      <c r="AG9" s="32"/>
      <c r="AH9" s="136"/>
      <c r="AI9" s="443"/>
      <c r="AJ9" s="440" t="e">
        <f>_xlfn.CONCAT(#REF!,Tabela13[[#This Row],[FUNKCJONARIUSZ]])</f>
        <v>#REF!</v>
      </c>
      <c r="AK9" s="444" t="e">
        <f t="shared" si="0"/>
        <v>#REF!</v>
      </c>
      <c r="AL9" s="446" t="e">
        <f>#REF!</f>
        <v>#REF!</v>
      </c>
      <c r="AM9">
        <f t="shared" si="1"/>
        <v>24</v>
      </c>
      <c r="AN9">
        <f t="shared" si="2"/>
        <v>144</v>
      </c>
      <c r="AO9" s="29">
        <f t="shared" si="3"/>
        <v>48</v>
      </c>
      <c r="AP9" s="1">
        <f t="shared" si="4"/>
        <v>0</v>
      </c>
      <c r="AR9" s="36" t="s">
        <v>83</v>
      </c>
      <c r="AS9" s="1" t="s">
        <v>84</v>
      </c>
      <c r="AT9" s="1">
        <v>8</v>
      </c>
      <c r="AU9" s="57"/>
    </row>
    <row r="10" spans="1:47" ht="15.9">
      <c r="A10" s="1" t="s">
        <v>58</v>
      </c>
      <c r="B10" s="1" t="s">
        <v>73</v>
      </c>
      <c r="C10" s="203" t="s">
        <v>85</v>
      </c>
      <c r="D10" s="266" t="e">
        <f>Zasoby!#REF!</f>
        <v>#REF!</v>
      </c>
      <c r="E10" s="204"/>
      <c r="F10" s="32"/>
      <c r="G10" s="36"/>
      <c r="H10" s="32">
        <v>17</v>
      </c>
      <c r="I10" s="36" t="s">
        <v>62</v>
      </c>
      <c r="J10" s="36" t="s">
        <v>62</v>
      </c>
      <c r="K10" s="32" t="s">
        <v>62</v>
      </c>
      <c r="L10" s="32">
        <v>15</v>
      </c>
      <c r="M10" s="32">
        <v>6</v>
      </c>
      <c r="N10" s="32"/>
      <c r="O10" s="32" t="s">
        <v>66</v>
      </c>
      <c r="P10" s="208" t="s">
        <v>66</v>
      </c>
      <c r="Q10" s="36" t="s">
        <v>66</v>
      </c>
      <c r="R10" s="32">
        <v>7</v>
      </c>
      <c r="S10" s="32"/>
      <c r="T10" s="32"/>
      <c r="U10" s="32"/>
      <c r="V10" s="32"/>
      <c r="W10" s="36"/>
      <c r="X10" s="36"/>
      <c r="Y10" s="32"/>
      <c r="Z10" s="32"/>
      <c r="AA10" s="32"/>
      <c r="AB10" s="32"/>
      <c r="AC10" s="32"/>
      <c r="AD10" s="36"/>
      <c r="AE10" s="36"/>
      <c r="AF10" s="32"/>
      <c r="AG10" s="32"/>
      <c r="AH10" s="136"/>
      <c r="AI10" s="443"/>
      <c r="AJ10" s="440" t="e">
        <f>_xlfn.CONCAT(#REF!,Tabela13[[#This Row],[FUNKCJONARIUSZ]])</f>
        <v>#REF!</v>
      </c>
      <c r="AK10" s="444" t="e">
        <f t="shared" si="0"/>
        <v>#REF!</v>
      </c>
      <c r="AL10" s="445" t="e">
        <f>#REF!</f>
        <v>#REF!</v>
      </c>
      <c r="AM10">
        <f t="shared" si="1"/>
        <v>0</v>
      </c>
      <c r="AN10">
        <f t="shared" si="2"/>
        <v>72</v>
      </c>
      <c r="AO10" s="29">
        <f t="shared" si="3"/>
        <v>45</v>
      </c>
      <c r="AP10" s="1">
        <f t="shared" si="4"/>
        <v>0</v>
      </c>
      <c r="AR10" s="36" t="s">
        <v>75</v>
      </c>
      <c r="AS10" s="1" t="s">
        <v>86</v>
      </c>
      <c r="AT10" s="1">
        <v>8</v>
      </c>
      <c r="AU10" s="57"/>
    </row>
    <row r="11" spans="1:47" ht="15.9">
      <c r="A11" s="1" t="s">
        <v>58</v>
      </c>
      <c r="B11" s="1" t="s">
        <v>73</v>
      </c>
      <c r="C11" s="203" t="s">
        <v>87</v>
      </c>
      <c r="D11" s="266" t="e">
        <f>Zasoby!#REF!</f>
        <v>#REF!</v>
      </c>
      <c r="E11" s="204"/>
      <c r="F11" s="32"/>
      <c r="G11" s="36" t="s">
        <v>66</v>
      </c>
      <c r="H11" s="32" t="s">
        <v>75</v>
      </c>
      <c r="I11" s="36" t="s">
        <v>66</v>
      </c>
      <c r="J11" s="36" t="s">
        <v>66</v>
      </c>
      <c r="K11" s="32" t="s">
        <v>75</v>
      </c>
      <c r="L11" s="32">
        <v>14</v>
      </c>
      <c r="M11" s="32" t="s">
        <v>70</v>
      </c>
      <c r="N11" s="32" t="s">
        <v>70</v>
      </c>
      <c r="O11" s="32">
        <v>16</v>
      </c>
      <c r="P11" s="36"/>
      <c r="Q11" s="36"/>
      <c r="R11" s="32"/>
      <c r="S11" s="32"/>
      <c r="T11" s="32"/>
      <c r="U11" s="32">
        <v>12</v>
      </c>
      <c r="V11" s="32">
        <v>7</v>
      </c>
      <c r="W11" s="36"/>
      <c r="X11" s="36"/>
      <c r="Y11" s="32"/>
      <c r="Z11" s="32" t="s">
        <v>113</v>
      </c>
      <c r="AA11" s="32"/>
      <c r="AB11" s="32" t="s">
        <v>75</v>
      </c>
      <c r="AC11" s="32" t="s">
        <v>75</v>
      </c>
      <c r="AD11" s="36" t="s">
        <v>66</v>
      </c>
      <c r="AE11" s="36" t="s">
        <v>66</v>
      </c>
      <c r="AF11" s="32" t="s">
        <v>75</v>
      </c>
      <c r="AG11" s="32" t="s">
        <v>75</v>
      </c>
      <c r="AH11" s="136" t="s">
        <v>75</v>
      </c>
      <c r="AI11" s="443" t="s">
        <v>66</v>
      </c>
      <c r="AJ11" s="440" t="e">
        <f>_xlfn.CONCAT(#REF!,Tabela13[[#This Row],[FUNKCJONARIUSZ]])</f>
        <v>#REF!</v>
      </c>
      <c r="AK11" s="444" t="e">
        <f t="shared" si="0"/>
        <v>#REF!</v>
      </c>
      <c r="AL11" s="445" t="e">
        <f>#REF!</f>
        <v>#REF!</v>
      </c>
      <c r="AM11">
        <f t="shared" si="1"/>
        <v>24</v>
      </c>
      <c r="AN11">
        <f t="shared" si="2"/>
        <v>48</v>
      </c>
      <c r="AO11" s="29">
        <f t="shared" si="3"/>
        <v>105</v>
      </c>
      <c r="AP11" s="1">
        <f t="shared" si="4"/>
        <v>0</v>
      </c>
      <c r="AR11" s="36" t="s">
        <v>88</v>
      </c>
      <c r="AS11" s="1" t="s">
        <v>89</v>
      </c>
      <c r="AT11" s="1">
        <v>8</v>
      </c>
      <c r="AU11" s="57"/>
    </row>
    <row r="12" spans="1:47" ht="15.9">
      <c r="A12" s="1" t="s">
        <v>90</v>
      </c>
      <c r="B12" s="1" t="s">
        <v>64</v>
      </c>
      <c r="C12" s="203" t="s">
        <v>91</v>
      </c>
      <c r="D12" s="266" t="e">
        <f>Zasoby!#REF!</f>
        <v>#REF!</v>
      </c>
      <c r="E12" s="204"/>
      <c r="F12" s="32"/>
      <c r="G12" s="36"/>
      <c r="H12" s="32" t="s">
        <v>66</v>
      </c>
      <c r="I12" s="36"/>
      <c r="J12" s="36"/>
      <c r="K12" s="32"/>
      <c r="L12" s="32"/>
      <c r="M12" s="32"/>
      <c r="N12" s="32"/>
      <c r="O12" s="32" t="s">
        <v>66</v>
      </c>
      <c r="P12" s="36" t="s">
        <v>66</v>
      </c>
      <c r="Q12" s="36" t="s">
        <v>66</v>
      </c>
      <c r="R12" s="32">
        <v>17</v>
      </c>
      <c r="S12" s="32" t="s">
        <v>62</v>
      </c>
      <c r="T12" s="32" t="s">
        <v>62</v>
      </c>
      <c r="U12" s="32" t="s">
        <v>62</v>
      </c>
      <c r="V12" s="32" t="s">
        <v>69</v>
      </c>
      <c r="W12" s="36"/>
      <c r="X12" s="36"/>
      <c r="Y12" s="32"/>
      <c r="Z12" s="32"/>
      <c r="AA12" s="32"/>
      <c r="AB12" s="32"/>
      <c r="AC12" s="32"/>
      <c r="AD12" s="36"/>
      <c r="AE12" s="36"/>
      <c r="AF12" s="32"/>
      <c r="AG12" s="32"/>
      <c r="AH12" s="136"/>
      <c r="AI12" s="443"/>
      <c r="AJ12" s="440" t="e">
        <f>_xlfn.CONCAT(#REF!,Tabela13[[#This Row],[FUNKCJONARIUSZ]])</f>
        <v>#REF!</v>
      </c>
      <c r="AK12" s="444" t="e">
        <f t="shared" si="0"/>
        <v>#REF!</v>
      </c>
      <c r="AL12" s="445" t="e">
        <f>#REF!</f>
        <v>#REF!</v>
      </c>
      <c r="AM12">
        <f t="shared" si="1"/>
        <v>0</v>
      </c>
      <c r="AN12">
        <f t="shared" si="2"/>
        <v>84</v>
      </c>
      <c r="AO12" s="29">
        <f t="shared" si="3"/>
        <v>17</v>
      </c>
      <c r="AP12" s="1">
        <f t="shared" si="4"/>
        <v>0</v>
      </c>
      <c r="AQ12" s="1">
        <v>0</v>
      </c>
      <c r="AR12" s="36" t="s">
        <v>92</v>
      </c>
      <c r="AS12" s="1" t="s">
        <v>79</v>
      </c>
      <c r="AT12" s="1">
        <v>12</v>
      </c>
      <c r="AU12" s="57"/>
    </row>
    <row r="13" spans="1:47" ht="15.9">
      <c r="A13" s="1" t="s">
        <v>58</v>
      </c>
      <c r="B13" s="1" t="s">
        <v>93</v>
      </c>
      <c r="C13" s="203" t="s">
        <v>94</v>
      </c>
      <c r="D13" s="266" t="e">
        <f>Zasoby!#REF!</f>
        <v>#REF!</v>
      </c>
      <c r="E13" s="204"/>
      <c r="F13" s="32"/>
      <c r="G13" s="36"/>
      <c r="H13" s="32"/>
      <c r="I13" s="36"/>
      <c r="J13" s="36"/>
      <c r="K13" s="32"/>
      <c r="L13" s="32">
        <v>4</v>
      </c>
      <c r="M13" s="32">
        <v>8</v>
      </c>
      <c r="N13" s="32"/>
      <c r="O13" s="32"/>
      <c r="P13" s="36"/>
      <c r="Q13" s="36"/>
      <c r="R13" s="32">
        <v>16.5</v>
      </c>
      <c r="S13" s="32" t="s">
        <v>62</v>
      </c>
      <c r="T13" s="32" t="s">
        <v>62</v>
      </c>
      <c r="U13" s="32" t="s">
        <v>62</v>
      </c>
      <c r="V13" s="32">
        <v>9</v>
      </c>
      <c r="W13" s="36"/>
      <c r="X13" s="36"/>
      <c r="Y13" s="32"/>
      <c r="Z13" s="32"/>
      <c r="AA13" s="32"/>
      <c r="AB13" s="32"/>
      <c r="AC13" s="32" t="s">
        <v>61</v>
      </c>
      <c r="AD13" s="36" t="s">
        <v>62</v>
      </c>
      <c r="AE13" s="36" t="s">
        <v>62</v>
      </c>
      <c r="AF13" s="32" t="s">
        <v>61</v>
      </c>
      <c r="AG13" s="32"/>
      <c r="AH13" s="136"/>
      <c r="AI13" s="443"/>
      <c r="AJ13" s="440" t="e">
        <f>_xlfn.CONCAT(#REF!,Tabela13[[#This Row],[FUNKCJONARIUSZ]])</f>
        <v>#REF!</v>
      </c>
      <c r="AK13" s="444" t="e">
        <f t="shared" si="0"/>
        <v>#REF!</v>
      </c>
      <c r="AL13" s="446" t="e">
        <f>#REF!</f>
        <v>#REF!</v>
      </c>
      <c r="AM13">
        <f t="shared" si="1"/>
        <v>0</v>
      </c>
      <c r="AN13">
        <f t="shared" si="2"/>
        <v>144</v>
      </c>
      <c r="AO13" s="29">
        <f t="shared" si="3"/>
        <v>37.5</v>
      </c>
      <c r="AP13" s="1">
        <f t="shared" si="4"/>
        <v>0</v>
      </c>
      <c r="AQ13" s="1">
        <v>0</v>
      </c>
      <c r="AR13" s="36" t="s">
        <v>95</v>
      </c>
      <c r="AS13" s="1" t="s">
        <v>96</v>
      </c>
      <c r="AT13" s="1">
        <v>24</v>
      </c>
      <c r="AU13" s="57"/>
    </row>
    <row r="14" spans="1:47" ht="15.9">
      <c r="A14" s="1" t="s">
        <v>90</v>
      </c>
      <c r="B14" s="1" t="s">
        <v>59</v>
      </c>
      <c r="C14" s="203" t="s">
        <v>97</v>
      </c>
      <c r="D14" s="266" t="e">
        <f>Zasoby!#REF!</f>
        <v>#REF!</v>
      </c>
      <c r="E14" s="204">
        <v>8</v>
      </c>
      <c r="F14" s="32">
        <v>8</v>
      </c>
      <c r="G14" s="36" t="s">
        <v>66</v>
      </c>
      <c r="H14" s="32" t="s">
        <v>66</v>
      </c>
      <c r="I14" s="36" t="s">
        <v>66</v>
      </c>
      <c r="J14" s="36" t="s">
        <v>66</v>
      </c>
      <c r="K14" s="32">
        <v>8</v>
      </c>
      <c r="L14" s="32">
        <v>8</v>
      </c>
      <c r="M14" s="32">
        <v>4</v>
      </c>
      <c r="N14" s="32">
        <v>2</v>
      </c>
      <c r="O14" s="32"/>
      <c r="P14" s="36"/>
      <c r="Q14" s="36"/>
      <c r="R14" s="32"/>
      <c r="S14" s="32"/>
      <c r="T14" s="32"/>
      <c r="U14" s="32"/>
      <c r="V14" s="32">
        <v>17</v>
      </c>
      <c r="W14" s="36" t="s">
        <v>62</v>
      </c>
      <c r="X14" s="36" t="s">
        <v>62</v>
      </c>
      <c r="Y14" s="32">
        <v>11</v>
      </c>
      <c r="Z14" s="32"/>
      <c r="AA14" s="32"/>
      <c r="AB14" s="32"/>
      <c r="AC14" s="32"/>
      <c r="AD14" s="36"/>
      <c r="AE14" s="36"/>
      <c r="AF14" s="32"/>
      <c r="AG14" s="32" t="s">
        <v>113</v>
      </c>
      <c r="AH14" s="136"/>
      <c r="AI14" s="443"/>
      <c r="AJ14" s="440" t="e">
        <f>_xlfn.CONCAT(#REF!,Tabela13[[#This Row],[FUNKCJONARIUSZ]])</f>
        <v>#REF!</v>
      </c>
      <c r="AK14" s="444" t="e">
        <f t="shared" si="0"/>
        <v>#REF!</v>
      </c>
      <c r="AL14" s="446" t="e">
        <f>#REF!</f>
        <v>#REF!</v>
      </c>
      <c r="AM14">
        <f t="shared" si="1"/>
        <v>24</v>
      </c>
      <c r="AN14">
        <f t="shared" si="2"/>
        <v>48</v>
      </c>
      <c r="AO14" s="29">
        <f t="shared" si="3"/>
        <v>66</v>
      </c>
      <c r="AP14" s="1">
        <f t="shared" si="4"/>
        <v>0</v>
      </c>
      <c r="AQ14" s="1">
        <v>0</v>
      </c>
      <c r="AR14" s="36" t="s">
        <v>98</v>
      </c>
      <c r="AS14" s="1" t="s">
        <v>99</v>
      </c>
      <c r="AT14" s="1">
        <v>24</v>
      </c>
      <c r="AU14" s="57"/>
    </row>
    <row r="15" spans="1:47" ht="15.9">
      <c r="A15" s="1" t="s">
        <v>58</v>
      </c>
      <c r="B15" s="1" t="s">
        <v>93</v>
      </c>
      <c r="C15" s="203" t="s">
        <v>100</v>
      </c>
      <c r="D15" s="266" t="e">
        <f>Zasoby!#REF!</f>
        <v>#REF!</v>
      </c>
      <c r="E15" s="204" t="s">
        <v>75</v>
      </c>
      <c r="F15" s="32" t="s">
        <v>75</v>
      </c>
      <c r="G15" s="36" t="s">
        <v>66</v>
      </c>
      <c r="H15" s="32" t="s">
        <v>75</v>
      </c>
      <c r="I15" s="36" t="s">
        <v>66</v>
      </c>
      <c r="J15" s="36" t="s">
        <v>66</v>
      </c>
      <c r="K15" s="32" t="s">
        <v>75</v>
      </c>
      <c r="L15" s="32" t="s">
        <v>75</v>
      </c>
      <c r="M15" s="32" t="s">
        <v>75</v>
      </c>
      <c r="N15" s="32" t="s">
        <v>75</v>
      </c>
      <c r="O15" s="32" t="s">
        <v>75</v>
      </c>
      <c r="P15" s="36" t="s">
        <v>66</v>
      </c>
      <c r="Q15" s="36" t="s">
        <v>66</v>
      </c>
      <c r="R15" s="32" t="s">
        <v>75</v>
      </c>
      <c r="S15" s="32" t="s">
        <v>75</v>
      </c>
      <c r="T15" s="32" t="s">
        <v>75</v>
      </c>
      <c r="U15" s="32"/>
      <c r="V15" s="32"/>
      <c r="W15" s="36"/>
      <c r="X15" s="36"/>
      <c r="Y15" s="32" t="s">
        <v>75</v>
      </c>
      <c r="Z15" s="32" t="s">
        <v>75</v>
      </c>
      <c r="AA15" s="32" t="s">
        <v>75</v>
      </c>
      <c r="AB15" s="32" t="s">
        <v>75</v>
      </c>
      <c r="AC15" s="32" t="s">
        <v>75</v>
      </c>
      <c r="AD15" s="36"/>
      <c r="AE15" s="36"/>
      <c r="AF15" s="32" t="s">
        <v>61</v>
      </c>
      <c r="AG15" s="32" t="s">
        <v>62</v>
      </c>
      <c r="AH15" s="136" t="s">
        <v>62</v>
      </c>
      <c r="AI15" s="443"/>
      <c r="AJ15" s="440" t="e">
        <f>_xlfn.CONCAT(#REF!,Tabela13[[#This Row],[FUNKCJONARIUSZ]])</f>
        <v>#REF!</v>
      </c>
      <c r="AK15" s="444" t="e">
        <f t="shared" si="0"/>
        <v>#REF!</v>
      </c>
      <c r="AL15" s="446" t="e">
        <f>#REF!</f>
        <v>#REF!</v>
      </c>
      <c r="AM15">
        <f t="shared" si="1"/>
        <v>0</v>
      </c>
      <c r="AN15">
        <f t="shared" si="2"/>
        <v>60</v>
      </c>
      <c r="AO15" s="29">
        <f t="shared" si="3"/>
        <v>128</v>
      </c>
      <c r="AP15" s="1">
        <f t="shared" si="4"/>
        <v>0</v>
      </c>
      <c r="AR15" s="32" t="s">
        <v>101</v>
      </c>
      <c r="AS15" s="1" t="s">
        <v>102</v>
      </c>
      <c r="AT15" s="1" t="s">
        <v>103</v>
      </c>
      <c r="AU15" s="57"/>
    </row>
    <row r="16" spans="1:47" ht="15.9">
      <c r="A16" s="1" t="s">
        <v>90</v>
      </c>
      <c r="B16" s="1" t="s">
        <v>64</v>
      </c>
      <c r="C16" s="203" t="s">
        <v>104</v>
      </c>
      <c r="D16" s="266" t="e">
        <f>Zasoby!#REF!</f>
        <v>#REF!</v>
      </c>
      <c r="E16" s="204" t="s">
        <v>66</v>
      </c>
      <c r="F16" s="32" t="s">
        <v>66</v>
      </c>
      <c r="G16" s="36" t="s">
        <v>66</v>
      </c>
      <c r="H16" s="32" t="s">
        <v>66</v>
      </c>
      <c r="I16" s="36" t="s">
        <v>66</v>
      </c>
      <c r="J16" s="36" t="s">
        <v>66</v>
      </c>
      <c r="K16" s="32"/>
      <c r="L16" s="32">
        <v>17</v>
      </c>
      <c r="M16" s="32" t="s">
        <v>62</v>
      </c>
      <c r="N16" s="32" t="s">
        <v>62</v>
      </c>
      <c r="O16" s="32" t="s">
        <v>70</v>
      </c>
      <c r="P16" s="36">
        <v>11.5</v>
      </c>
      <c r="Q16" s="36" t="s">
        <v>66</v>
      </c>
      <c r="R16" s="32" t="s">
        <v>66</v>
      </c>
      <c r="S16" s="32" t="s">
        <v>66</v>
      </c>
      <c r="T16" s="32" t="s">
        <v>59</v>
      </c>
      <c r="U16" s="32"/>
      <c r="V16" s="32"/>
      <c r="W16" s="36" t="s">
        <v>113</v>
      </c>
      <c r="X16" s="36"/>
      <c r="Y16" s="32"/>
      <c r="Z16" s="32"/>
      <c r="AA16" s="32" t="s">
        <v>113</v>
      </c>
      <c r="AB16" s="32"/>
      <c r="AC16" s="32" t="s">
        <v>75</v>
      </c>
      <c r="AD16" s="36"/>
      <c r="AE16" s="36"/>
      <c r="AF16" s="32" t="s">
        <v>75</v>
      </c>
      <c r="AG16" s="32" t="s">
        <v>75</v>
      </c>
      <c r="AH16" s="136" t="s">
        <v>75</v>
      </c>
      <c r="AI16" s="443"/>
      <c r="AJ16" s="440" t="e">
        <f>_xlfn.CONCAT(#REF!,Tabela13[[#This Row],[FUNKCJONARIUSZ]])</f>
        <v>#REF!</v>
      </c>
      <c r="AK16" s="444" t="e">
        <f t="shared" si="0"/>
        <v>#REF!</v>
      </c>
      <c r="AL16" s="445" t="e">
        <f>#REF!</f>
        <v>#REF!</v>
      </c>
      <c r="AM16">
        <f t="shared" si="1"/>
        <v>72</v>
      </c>
      <c r="AN16">
        <f t="shared" si="2"/>
        <v>72</v>
      </c>
      <c r="AO16" s="29">
        <f t="shared" si="3"/>
        <v>60.5</v>
      </c>
      <c r="AP16" s="1">
        <f t="shared" si="4"/>
        <v>0</v>
      </c>
      <c r="AQ16" s="1">
        <v>0</v>
      </c>
      <c r="AU16" s="57"/>
    </row>
    <row r="17" spans="1:47" ht="15.9">
      <c r="A17" s="1" t="s">
        <v>58</v>
      </c>
      <c r="B17" s="1" t="s">
        <v>64</v>
      </c>
      <c r="C17" s="203" t="s">
        <v>161</v>
      </c>
      <c r="D17" s="266" t="e">
        <f>Zasoby!#REF!</f>
        <v>#REF!</v>
      </c>
      <c r="E17" s="204"/>
      <c r="F17" s="32"/>
      <c r="G17" s="36" t="s">
        <v>113</v>
      </c>
      <c r="H17" s="32" t="s">
        <v>66</v>
      </c>
      <c r="I17" s="36" t="s">
        <v>66</v>
      </c>
      <c r="J17" s="36" t="s">
        <v>66</v>
      </c>
      <c r="K17" s="32">
        <v>2</v>
      </c>
      <c r="L17" s="32"/>
      <c r="M17" s="32">
        <v>6</v>
      </c>
      <c r="N17" s="32">
        <v>6</v>
      </c>
      <c r="O17" s="32"/>
      <c r="P17" s="36"/>
      <c r="Q17" s="36" t="s">
        <v>66</v>
      </c>
      <c r="R17" s="32">
        <v>17</v>
      </c>
      <c r="S17" s="32" t="s">
        <v>95</v>
      </c>
      <c r="T17" s="32" t="s">
        <v>95</v>
      </c>
      <c r="U17" s="32" t="s">
        <v>95</v>
      </c>
      <c r="V17" s="32">
        <v>15</v>
      </c>
      <c r="W17" s="36"/>
      <c r="X17" s="36"/>
      <c r="Y17" s="32"/>
      <c r="Z17" s="32"/>
      <c r="AA17" s="32"/>
      <c r="AB17" s="32"/>
      <c r="AC17" s="32"/>
      <c r="AD17" s="36"/>
      <c r="AE17" s="36"/>
      <c r="AF17" s="32">
        <v>8</v>
      </c>
      <c r="AG17" s="32">
        <v>8</v>
      </c>
      <c r="AH17" s="136">
        <v>8</v>
      </c>
      <c r="AI17" s="443"/>
      <c r="AJ17" s="440" t="e">
        <f>_xlfn.CONCAT(#REF!,Tabela13[[#This Row],[FUNKCJONARIUSZ]])</f>
        <v>#REF!</v>
      </c>
      <c r="AK17" s="444" t="e">
        <f t="shared" si="0"/>
        <v>#REF!</v>
      </c>
      <c r="AL17" s="445" t="e">
        <f>#REF!</f>
        <v>#REF!</v>
      </c>
      <c r="AM17">
        <f t="shared" si="1"/>
        <v>24</v>
      </c>
      <c r="AN17">
        <f t="shared" si="2"/>
        <v>72</v>
      </c>
      <c r="AO17" s="29">
        <f t="shared" si="3"/>
        <v>70</v>
      </c>
      <c r="AP17" s="1">
        <f t="shared" si="4"/>
        <v>0</v>
      </c>
      <c r="AQ17" s="1">
        <v>0</v>
      </c>
      <c r="AU17" s="57"/>
    </row>
    <row r="18" spans="1:47" ht="15.9">
      <c r="A18" s="1" t="s">
        <v>105</v>
      </c>
      <c r="B18" s="1" t="s">
        <v>64</v>
      </c>
      <c r="C18" s="203" t="s">
        <v>106</v>
      </c>
      <c r="D18" s="266" t="e">
        <f>Zasoby!#REF!</f>
        <v>#REF!</v>
      </c>
      <c r="E18" s="204"/>
      <c r="F18" s="32"/>
      <c r="G18" s="36"/>
      <c r="H18" s="32"/>
      <c r="I18" s="36"/>
      <c r="J18" s="36" t="s">
        <v>59</v>
      </c>
      <c r="K18" s="32"/>
      <c r="L18" s="32"/>
      <c r="M18" s="32"/>
      <c r="N18" s="32">
        <v>12</v>
      </c>
      <c r="O18" s="32"/>
      <c r="P18" s="36"/>
      <c r="Q18" s="36"/>
      <c r="R18" s="32"/>
      <c r="S18" s="32"/>
      <c r="T18" s="32"/>
      <c r="U18" s="32">
        <v>9</v>
      </c>
      <c r="V18" s="32">
        <v>17</v>
      </c>
      <c r="W18" s="36" t="s">
        <v>62</v>
      </c>
      <c r="X18" s="36" t="s">
        <v>62</v>
      </c>
      <c r="Y18" s="32">
        <v>16</v>
      </c>
      <c r="Z18" s="32"/>
      <c r="AA18" s="32">
        <v>12</v>
      </c>
      <c r="AB18" s="32"/>
      <c r="AC18" s="32"/>
      <c r="AD18" s="36"/>
      <c r="AE18" s="36"/>
      <c r="AF18" s="32"/>
      <c r="AG18" s="32"/>
      <c r="AH18" s="136"/>
      <c r="AI18" s="443"/>
      <c r="AJ18" s="440" t="e">
        <f>_xlfn.CONCAT(#REF!,Tabela13[[#This Row],[FUNKCJONARIUSZ]])</f>
        <v>#REF!</v>
      </c>
      <c r="AK18" s="444" t="e">
        <f t="shared" si="0"/>
        <v>#REF!</v>
      </c>
      <c r="AL18" s="445" t="e">
        <f>#REF!</f>
        <v>#REF!</v>
      </c>
      <c r="AM18">
        <f t="shared" si="1"/>
        <v>24</v>
      </c>
      <c r="AN18">
        <f t="shared" si="2"/>
        <v>48</v>
      </c>
      <c r="AO18" s="29">
        <f t="shared" si="3"/>
        <v>66</v>
      </c>
      <c r="AP18" s="1">
        <f t="shared" si="4"/>
        <v>0</v>
      </c>
      <c r="AQ18" s="1">
        <v>0</v>
      </c>
      <c r="AU18" s="57"/>
    </row>
    <row r="19" spans="1:47" ht="15.9">
      <c r="A19" s="1" t="s">
        <v>67</v>
      </c>
      <c r="B19" s="1" t="s">
        <v>73</v>
      </c>
      <c r="C19" s="203" t="s">
        <v>107</v>
      </c>
      <c r="D19" s="266" t="e">
        <f>Zasoby!#REF!</f>
        <v>#REF!</v>
      </c>
      <c r="E19" s="299"/>
      <c r="F19" s="37"/>
      <c r="G19" s="207"/>
      <c r="H19" s="37">
        <v>6</v>
      </c>
      <c r="I19" s="207"/>
      <c r="J19" s="207"/>
      <c r="K19" s="32"/>
      <c r="L19" s="32">
        <v>6</v>
      </c>
      <c r="M19" s="32">
        <v>6</v>
      </c>
      <c r="N19" s="32"/>
      <c r="O19" s="32"/>
      <c r="P19" s="36"/>
      <c r="Q19" s="36"/>
      <c r="R19" s="32">
        <v>17</v>
      </c>
      <c r="S19" s="32" t="s">
        <v>62</v>
      </c>
      <c r="T19" s="32" t="s">
        <v>62</v>
      </c>
      <c r="U19" s="32" t="s">
        <v>62</v>
      </c>
      <c r="V19" s="32">
        <v>15</v>
      </c>
      <c r="W19" s="36"/>
      <c r="X19" s="36"/>
      <c r="Y19" s="32"/>
      <c r="Z19" s="32"/>
      <c r="AA19" s="32"/>
      <c r="AB19" s="32"/>
      <c r="AC19" s="32"/>
      <c r="AD19" s="36"/>
      <c r="AE19" s="36"/>
      <c r="AF19" s="32"/>
      <c r="AG19" s="32"/>
      <c r="AH19" s="136"/>
      <c r="AI19" s="443"/>
      <c r="AJ19" s="440" t="e">
        <f>_xlfn.CONCAT(#REF!,Tabela13[[#This Row],[FUNKCJONARIUSZ]])</f>
        <v>#REF!</v>
      </c>
      <c r="AK19" s="444" t="e">
        <f t="shared" si="0"/>
        <v>#REF!</v>
      </c>
      <c r="AL19" s="445" t="e">
        <f>#REF!</f>
        <v>#REF!</v>
      </c>
      <c r="AM19">
        <f t="shared" si="1"/>
        <v>0</v>
      </c>
      <c r="AN19">
        <f t="shared" si="2"/>
        <v>72</v>
      </c>
      <c r="AO19" s="29">
        <f t="shared" si="3"/>
        <v>50</v>
      </c>
      <c r="AP19" s="1">
        <f t="shared" si="4"/>
        <v>0</v>
      </c>
      <c r="AQ19" s="1">
        <v>0</v>
      </c>
      <c r="AU19" s="57"/>
    </row>
    <row r="20" spans="1:47" ht="15.9">
      <c r="A20" s="1" t="s">
        <v>90</v>
      </c>
      <c r="B20" s="1" t="s">
        <v>59</v>
      </c>
      <c r="C20" s="203" t="s">
        <v>108</v>
      </c>
      <c r="D20" s="266" t="e">
        <f>Zasoby!#REF!</f>
        <v>#REF!</v>
      </c>
      <c r="E20" s="707"/>
      <c r="F20" s="707"/>
      <c r="G20" s="707"/>
      <c r="H20" s="707"/>
      <c r="I20" s="707"/>
      <c r="J20" s="707"/>
      <c r="K20" s="48" t="s">
        <v>66</v>
      </c>
      <c r="L20" s="32" t="s">
        <v>66</v>
      </c>
      <c r="M20" s="32"/>
      <c r="N20" s="32"/>
      <c r="O20" s="32"/>
      <c r="P20" s="36">
        <v>17</v>
      </c>
      <c r="Q20" s="36" t="s">
        <v>62</v>
      </c>
      <c r="R20" s="32">
        <v>15</v>
      </c>
      <c r="S20" s="32">
        <v>3</v>
      </c>
      <c r="T20" s="32"/>
      <c r="U20" s="32"/>
      <c r="V20" s="32"/>
      <c r="W20" s="36"/>
      <c r="X20" s="36" t="s">
        <v>59</v>
      </c>
      <c r="Y20" s="32"/>
      <c r="Z20" s="32"/>
      <c r="AA20" s="32">
        <v>12</v>
      </c>
      <c r="AB20" s="32"/>
      <c r="AC20" s="32"/>
      <c r="AD20" s="36"/>
      <c r="AE20" s="36"/>
      <c r="AF20" s="32" t="s">
        <v>113</v>
      </c>
      <c r="AG20" s="32"/>
      <c r="AH20" s="136"/>
      <c r="AI20" s="443"/>
      <c r="AJ20" s="440" t="e">
        <f>_xlfn.CONCAT(#REF!,Tabela13[[#This Row],[FUNKCJONARIUSZ]])</f>
        <v>#REF!</v>
      </c>
      <c r="AK20" s="447" t="e">
        <f t="shared" si="0"/>
        <v>#REF!</v>
      </c>
      <c r="AL20" s="446" t="e">
        <f>#REF!</f>
        <v>#REF!</v>
      </c>
      <c r="AM20">
        <f t="shared" si="1"/>
        <v>48</v>
      </c>
      <c r="AN20">
        <f t="shared" si="2"/>
        <v>24</v>
      </c>
      <c r="AO20" s="29">
        <f t="shared" si="3"/>
        <v>47</v>
      </c>
      <c r="AP20" s="1">
        <f t="shared" si="4"/>
        <v>0</v>
      </c>
      <c r="AQ20" s="392">
        <f>24</f>
        <v>24</v>
      </c>
      <c r="AU20" s="57"/>
    </row>
    <row r="21" spans="1:47" ht="15.9">
      <c r="A21" s="1" t="s">
        <v>58</v>
      </c>
      <c r="B21" s="1" t="s">
        <v>59</v>
      </c>
      <c r="C21" s="203" t="s">
        <v>109</v>
      </c>
      <c r="D21" s="266" t="e">
        <f>Zasoby!#REF!</f>
        <v>#REF!</v>
      </c>
      <c r="E21" s="707"/>
      <c r="F21" s="707"/>
      <c r="G21" s="707"/>
      <c r="H21" s="707"/>
      <c r="I21" s="707"/>
      <c r="J21" s="707"/>
      <c r="K21" s="48"/>
      <c r="L21" s="32"/>
      <c r="M21" s="32"/>
      <c r="N21" s="32"/>
      <c r="O21" s="32"/>
      <c r="P21" s="36"/>
      <c r="Q21" s="36"/>
      <c r="R21" s="32" t="s">
        <v>61</v>
      </c>
      <c r="S21" s="32" t="s">
        <v>62</v>
      </c>
      <c r="T21" s="32" t="s">
        <v>62</v>
      </c>
      <c r="U21" s="32" t="s">
        <v>62</v>
      </c>
      <c r="V21" s="32" t="s">
        <v>62</v>
      </c>
      <c r="W21" s="36" t="s">
        <v>62</v>
      </c>
      <c r="X21" s="36" t="s">
        <v>62</v>
      </c>
      <c r="Y21" s="32" t="s">
        <v>61</v>
      </c>
      <c r="Z21" s="32"/>
      <c r="AA21" s="32"/>
      <c r="AB21" s="37"/>
      <c r="AC21" s="37"/>
      <c r="AD21" s="36"/>
      <c r="AE21" s="36"/>
      <c r="AF21" s="32"/>
      <c r="AG21" s="32"/>
      <c r="AH21" s="136"/>
      <c r="AI21" s="443"/>
      <c r="AJ21" s="440" t="e">
        <f>_xlfn.CONCAT(#REF!,Tabela13[[#This Row],[FUNKCJONARIUSZ]])</f>
        <v>#REF!</v>
      </c>
      <c r="AK21" s="447" t="e">
        <f t="shared" si="0"/>
        <v>#REF!</v>
      </c>
      <c r="AL21" s="446" t="e">
        <f>#REF!</f>
        <v>#REF!</v>
      </c>
      <c r="AM21">
        <f t="shared" si="1"/>
        <v>0</v>
      </c>
      <c r="AN21">
        <f t="shared" si="2"/>
        <v>168</v>
      </c>
      <c r="AO21" s="29">
        <f t="shared" si="3"/>
        <v>0</v>
      </c>
      <c r="AP21" s="1">
        <f t="shared" si="4"/>
        <v>0</v>
      </c>
      <c r="AQ21" s="392">
        <v>24</v>
      </c>
      <c r="AU21" s="57"/>
    </row>
    <row r="22" spans="1:47" ht="15.9">
      <c r="A22" s="1" t="s">
        <v>63</v>
      </c>
      <c r="B22" s="1" t="s">
        <v>59</v>
      </c>
      <c r="C22" s="203" t="s">
        <v>162</v>
      </c>
      <c r="D22" s="266" t="e">
        <f>Zasoby!#REF!</f>
        <v>#REF!</v>
      </c>
      <c r="E22" s="302"/>
      <c r="F22" s="41"/>
      <c r="G22" s="208"/>
      <c r="H22" s="41"/>
      <c r="I22" s="208"/>
      <c r="J22" s="208"/>
      <c r="K22" s="32">
        <v>4</v>
      </c>
      <c r="L22" s="32">
        <v>8</v>
      </c>
      <c r="M22" s="32"/>
      <c r="N22" s="32"/>
      <c r="O22" s="32"/>
      <c r="P22" s="36"/>
      <c r="Q22" s="36"/>
      <c r="R22" s="32">
        <v>17</v>
      </c>
      <c r="S22" s="32" t="s">
        <v>98</v>
      </c>
      <c r="T22" s="32" t="s">
        <v>98</v>
      </c>
      <c r="U22" s="32">
        <v>3</v>
      </c>
      <c r="V22" s="32" t="s">
        <v>113</v>
      </c>
      <c r="W22" s="36"/>
      <c r="X22" s="36"/>
      <c r="Y22" s="32"/>
      <c r="Z22" s="32"/>
      <c r="AA22" s="136"/>
      <c r="AB22" s="32" t="s">
        <v>113</v>
      </c>
      <c r="AC22" s="32"/>
      <c r="AD22" s="168"/>
      <c r="AE22" s="36"/>
      <c r="AF22" s="32"/>
      <c r="AG22" s="32"/>
      <c r="AH22" s="136"/>
      <c r="AI22" s="443"/>
      <c r="AJ22" s="440" t="e">
        <f>_xlfn.CONCAT(#REF!,Tabela13[[#This Row],[FUNKCJONARIUSZ]])</f>
        <v>#REF!</v>
      </c>
      <c r="AK22" s="444" t="e">
        <f t="shared" si="0"/>
        <v>#REF!</v>
      </c>
      <c r="AL22" s="446" t="e">
        <f>#REF!</f>
        <v>#REF!</v>
      </c>
      <c r="AM22">
        <f t="shared" si="1"/>
        <v>48</v>
      </c>
      <c r="AN22">
        <f t="shared" si="2"/>
        <v>48</v>
      </c>
      <c r="AO22" s="29">
        <f t="shared" si="3"/>
        <v>32</v>
      </c>
      <c r="AP22" s="1">
        <f t="shared" si="4"/>
        <v>0</v>
      </c>
      <c r="AQ22" s="1">
        <v>0</v>
      </c>
      <c r="AU22" s="57"/>
    </row>
    <row r="23" spans="1:47" ht="15.9">
      <c r="A23" s="1" t="s">
        <v>67</v>
      </c>
      <c r="B23" s="1" t="s">
        <v>93</v>
      </c>
      <c r="C23" s="203" t="s">
        <v>110</v>
      </c>
      <c r="D23" s="266" t="e">
        <f>Zasoby!#REF!</f>
        <v>#REF!</v>
      </c>
      <c r="E23" s="204" t="s">
        <v>62</v>
      </c>
      <c r="F23" s="32" t="s">
        <v>70</v>
      </c>
      <c r="G23" s="36" t="s">
        <v>70</v>
      </c>
      <c r="H23" s="32" t="s">
        <v>62</v>
      </c>
      <c r="I23" s="36" t="s">
        <v>62</v>
      </c>
      <c r="J23" s="36" t="s">
        <v>62</v>
      </c>
      <c r="K23" s="32" t="s">
        <v>62</v>
      </c>
      <c r="L23" s="32">
        <v>15</v>
      </c>
      <c r="M23" s="32"/>
      <c r="N23" s="32"/>
      <c r="O23" s="32"/>
      <c r="P23" s="36"/>
      <c r="Q23" s="36"/>
      <c r="R23" s="32"/>
      <c r="S23" s="32"/>
      <c r="T23" s="32"/>
      <c r="U23" s="32"/>
      <c r="V23" s="32"/>
      <c r="W23" s="36"/>
      <c r="X23" s="36"/>
      <c r="Y23" s="32"/>
      <c r="Z23" s="32"/>
      <c r="AA23" s="32"/>
      <c r="AB23" s="41"/>
      <c r="AC23" s="41"/>
      <c r="AD23" s="36"/>
      <c r="AE23" s="36"/>
      <c r="AF23" s="32"/>
      <c r="AG23" s="32"/>
      <c r="AH23" s="136"/>
      <c r="AI23" s="443"/>
      <c r="AJ23" s="440" t="e">
        <f>_xlfn.CONCAT(#REF!,Tabela13[[#This Row],[FUNKCJONARIUSZ]])</f>
        <v>#REF!</v>
      </c>
      <c r="AK23" s="444" t="e">
        <f t="shared" si="0"/>
        <v>#REF!</v>
      </c>
      <c r="AL23" s="446" t="e">
        <f>#REF!</f>
        <v>#REF!</v>
      </c>
      <c r="AM23">
        <f t="shared" si="1"/>
        <v>0</v>
      </c>
      <c r="AN23">
        <f t="shared" si="2"/>
        <v>168</v>
      </c>
      <c r="AO23" s="29">
        <f t="shared" si="3"/>
        <v>15</v>
      </c>
      <c r="AP23" s="1">
        <f t="shared" si="4"/>
        <v>0</v>
      </c>
      <c r="AQ23" s="1">
        <v>0</v>
      </c>
      <c r="AU23" s="57"/>
    </row>
    <row r="24" spans="1:47" ht="15.9">
      <c r="A24" s="1" t="s">
        <v>58</v>
      </c>
      <c r="B24" s="1" t="s">
        <v>59</v>
      </c>
      <c r="C24" s="203" t="s">
        <v>111</v>
      </c>
      <c r="D24" s="266" t="e">
        <f>Zasoby!#REF!</f>
        <v>#REF!</v>
      </c>
      <c r="E24" s="204"/>
      <c r="F24" s="32" t="s">
        <v>59</v>
      </c>
      <c r="G24" s="36"/>
      <c r="H24" s="32"/>
      <c r="I24" s="36"/>
      <c r="J24" s="36"/>
      <c r="K24" s="32"/>
      <c r="L24" s="32"/>
      <c r="M24" s="32" t="s">
        <v>323</v>
      </c>
      <c r="N24" s="32"/>
      <c r="O24" s="32" t="s">
        <v>61</v>
      </c>
      <c r="P24" s="36" t="s">
        <v>62</v>
      </c>
      <c r="Q24" s="36" t="s">
        <v>62</v>
      </c>
      <c r="R24" s="32" t="s">
        <v>61</v>
      </c>
      <c r="S24" s="32"/>
      <c r="T24" s="32"/>
      <c r="U24" s="32"/>
      <c r="V24" s="32"/>
      <c r="W24" s="36"/>
      <c r="X24" s="36"/>
      <c r="Y24" s="32"/>
      <c r="Z24" s="32"/>
      <c r="AA24" s="32"/>
      <c r="AB24" s="32"/>
      <c r="AC24" s="32"/>
      <c r="AD24" s="36"/>
      <c r="AE24" s="36"/>
      <c r="AF24" s="32"/>
      <c r="AG24" s="32"/>
      <c r="AH24" s="136"/>
      <c r="AI24" s="443"/>
      <c r="AJ24" s="440" t="e">
        <f>_xlfn.CONCAT(#REF!,Tabela13[[#This Row],[FUNKCJONARIUSZ]])</f>
        <v>#REF!</v>
      </c>
      <c r="AK24" s="444" t="e">
        <f t="shared" si="0"/>
        <v>#REF!</v>
      </c>
      <c r="AL24" s="446" t="e">
        <f>#REF!</f>
        <v>#REF!</v>
      </c>
      <c r="AM24">
        <f t="shared" si="1"/>
        <v>24</v>
      </c>
      <c r="AN24">
        <f t="shared" si="2"/>
        <v>72</v>
      </c>
      <c r="AO24" s="29">
        <f t="shared" si="3"/>
        <v>0</v>
      </c>
      <c r="AP24" s="1">
        <f t="shared" si="4"/>
        <v>0</v>
      </c>
      <c r="AU24" s="57"/>
    </row>
    <row r="25" spans="1:47" ht="15.9">
      <c r="A25" s="1" t="s">
        <v>63</v>
      </c>
      <c r="B25" s="1" t="s">
        <v>192</v>
      </c>
      <c r="C25" s="210" t="s">
        <v>112</v>
      </c>
      <c r="D25" s="266" t="e">
        <f>Zasoby!#REF!</f>
        <v>#REF!</v>
      </c>
      <c r="E25" s="299" t="s">
        <v>66</v>
      </c>
      <c r="F25" s="37" t="s">
        <v>66</v>
      </c>
      <c r="G25" s="207" t="s">
        <v>66</v>
      </c>
      <c r="H25" s="37" t="s">
        <v>66</v>
      </c>
      <c r="I25" s="207" t="s">
        <v>66</v>
      </c>
      <c r="J25" s="207" t="s">
        <v>66</v>
      </c>
      <c r="K25" s="32" t="s">
        <v>59</v>
      </c>
      <c r="L25" s="32"/>
      <c r="M25" s="32"/>
      <c r="N25" s="32">
        <v>12</v>
      </c>
      <c r="O25" s="32"/>
      <c r="P25" s="36"/>
      <c r="Q25" s="36"/>
      <c r="R25" s="32" t="s">
        <v>59</v>
      </c>
      <c r="S25" s="32"/>
      <c r="T25" s="32"/>
      <c r="U25" s="40">
        <v>9</v>
      </c>
      <c r="V25" s="40">
        <v>7</v>
      </c>
      <c r="W25" s="36"/>
      <c r="X25" s="36"/>
      <c r="Y25" s="32">
        <v>5</v>
      </c>
      <c r="Z25" s="32">
        <v>7</v>
      </c>
      <c r="AA25" s="32"/>
      <c r="AB25" s="32"/>
      <c r="AC25" s="32"/>
      <c r="AD25" s="36" t="s">
        <v>59</v>
      </c>
      <c r="AE25" s="36"/>
      <c r="AF25" s="32"/>
      <c r="AG25" s="32"/>
      <c r="AH25" s="136"/>
      <c r="AI25" s="443"/>
      <c r="AJ25" s="440" t="e">
        <f>_xlfn.CONCAT(#REF!,Tabela13[[#This Row],[FUNKCJONARIUSZ]])</f>
        <v>#REF!</v>
      </c>
      <c r="AK25" s="444" t="e">
        <f t="shared" si="0"/>
        <v>#REF!</v>
      </c>
      <c r="AL25" s="445" t="e">
        <f>#REF!</f>
        <v>#REF!</v>
      </c>
      <c r="AM25">
        <f t="shared" si="1"/>
        <v>72</v>
      </c>
      <c r="AN25">
        <f t="shared" si="2"/>
        <v>0</v>
      </c>
      <c r="AO25" s="29">
        <f t="shared" si="3"/>
        <v>40</v>
      </c>
      <c r="AP25" s="1">
        <f t="shared" si="4"/>
        <v>0</v>
      </c>
      <c r="AQ25" s="1">
        <v>0</v>
      </c>
      <c r="AU25" s="57"/>
    </row>
    <row r="26" spans="1:47" ht="15.9">
      <c r="A26" s="1" t="s">
        <v>67</v>
      </c>
      <c r="B26" s="1" t="s">
        <v>93</v>
      </c>
      <c r="C26" s="203" t="s">
        <v>114</v>
      </c>
      <c r="D26" s="266" t="e">
        <f>Zasoby!#REF!</f>
        <v>#REF!</v>
      </c>
      <c r="E26" s="707"/>
      <c r="F26" s="707"/>
      <c r="G26" s="707"/>
      <c r="H26" s="707"/>
      <c r="I26" s="707"/>
      <c r="J26" s="707"/>
      <c r="K26" s="48" t="s">
        <v>103</v>
      </c>
      <c r="L26" s="32" t="s">
        <v>75</v>
      </c>
      <c r="M26" s="32" t="s">
        <v>75</v>
      </c>
      <c r="N26" s="32" t="s">
        <v>103</v>
      </c>
      <c r="O26" s="32" t="s">
        <v>323</v>
      </c>
      <c r="P26" s="36"/>
      <c r="Q26" s="36" t="s">
        <v>113</v>
      </c>
      <c r="R26" s="32"/>
      <c r="S26" s="32"/>
      <c r="T26" s="32"/>
      <c r="U26" s="32"/>
      <c r="V26" s="32"/>
      <c r="W26" s="36"/>
      <c r="X26" s="36"/>
      <c r="Y26" s="32" t="s">
        <v>69</v>
      </c>
      <c r="Z26" s="32" t="s">
        <v>70</v>
      </c>
      <c r="AA26" s="32" t="s">
        <v>70</v>
      </c>
      <c r="AB26" s="32" t="s">
        <v>70</v>
      </c>
      <c r="AC26" s="32" t="s">
        <v>61</v>
      </c>
      <c r="AD26" s="36"/>
      <c r="AE26" s="36"/>
      <c r="AF26" s="32"/>
      <c r="AG26" s="32"/>
      <c r="AH26" s="136"/>
      <c r="AI26" s="443"/>
      <c r="AJ26" s="440" t="e">
        <f>_xlfn.CONCAT(#REF!,Tabela13[[#This Row],[FUNKCJONARIUSZ]])</f>
        <v>#REF!</v>
      </c>
      <c r="AK26" s="447" t="e">
        <f t="shared" si="0"/>
        <v>#REF!</v>
      </c>
      <c r="AL26" s="446" t="e">
        <f>#REF!</f>
        <v>#REF!</v>
      </c>
      <c r="AM26">
        <f t="shared" si="1"/>
        <v>24</v>
      </c>
      <c r="AN26">
        <f t="shared" si="2"/>
        <v>96</v>
      </c>
      <c r="AO26" s="29">
        <f t="shared" si="3"/>
        <v>16</v>
      </c>
      <c r="AP26" s="1">
        <f t="shared" si="4"/>
        <v>0</v>
      </c>
      <c r="AQ26" s="392">
        <f>24</f>
        <v>24</v>
      </c>
      <c r="AU26" s="57"/>
    </row>
    <row r="27" spans="1:47" ht="15.9">
      <c r="A27" s="1" t="s">
        <v>63</v>
      </c>
      <c r="B27" s="1" t="s">
        <v>59</v>
      </c>
      <c r="C27" s="203" t="s">
        <v>115</v>
      </c>
      <c r="D27" s="266" t="e">
        <f>Zasoby!#REF!</f>
        <v>#REF!</v>
      </c>
      <c r="E27" s="302" t="s">
        <v>101</v>
      </c>
      <c r="F27" s="41" t="s">
        <v>101</v>
      </c>
      <c r="G27" s="208" t="s">
        <v>66</v>
      </c>
      <c r="H27" s="41" t="s">
        <v>101</v>
      </c>
      <c r="I27" s="208" t="s">
        <v>66</v>
      </c>
      <c r="J27" s="208" t="s">
        <v>66</v>
      </c>
      <c r="K27" s="32">
        <v>8</v>
      </c>
      <c r="L27" s="32"/>
      <c r="M27" s="32"/>
      <c r="N27" s="32">
        <v>12</v>
      </c>
      <c r="O27" s="32"/>
      <c r="P27" s="36" t="s">
        <v>59</v>
      </c>
      <c r="Q27" s="36"/>
      <c r="R27" s="32" t="s">
        <v>323</v>
      </c>
      <c r="S27" s="32"/>
      <c r="T27" s="32"/>
      <c r="U27" s="32">
        <v>8</v>
      </c>
      <c r="V27" s="32">
        <v>8</v>
      </c>
      <c r="W27" s="36"/>
      <c r="X27" s="36"/>
      <c r="Y27" s="32" t="s">
        <v>113</v>
      </c>
      <c r="Z27" s="32"/>
      <c r="AA27" s="32"/>
      <c r="AB27" s="32"/>
      <c r="AC27" s="32"/>
      <c r="AD27" s="36"/>
      <c r="AE27" s="36"/>
      <c r="AF27" s="32"/>
      <c r="AG27" s="32"/>
      <c r="AH27" s="136"/>
      <c r="AI27" s="443"/>
      <c r="AJ27" s="440" t="e">
        <f>_xlfn.CONCAT(#REF!,Tabela13[[#This Row],[FUNKCJONARIUSZ]])</f>
        <v>#REF!</v>
      </c>
      <c r="AK27" s="444" t="e">
        <f t="shared" si="0"/>
        <v>#REF!</v>
      </c>
      <c r="AL27" s="446" t="e">
        <f>#REF!</f>
        <v>#REF!</v>
      </c>
      <c r="AM27">
        <f t="shared" si="1"/>
        <v>48</v>
      </c>
      <c r="AN27">
        <f t="shared" si="2"/>
        <v>0</v>
      </c>
      <c r="AO27" s="29">
        <f t="shared" si="3"/>
        <v>36</v>
      </c>
      <c r="AP27" s="1">
        <f t="shared" si="4"/>
        <v>0</v>
      </c>
      <c r="AQ27" s="1">
        <f>24</f>
        <v>24</v>
      </c>
      <c r="AU27" s="57"/>
    </row>
    <row r="28" spans="1:47" s="1" customFormat="1" ht="15.9" hidden="1">
      <c r="A28" s="1" t="s">
        <v>58</v>
      </c>
      <c r="B28" s="1" t="s">
        <v>59</v>
      </c>
      <c r="C28" s="203" t="s">
        <v>170</v>
      </c>
      <c r="D28" s="266" t="e">
        <f>Zasoby!#REF!</f>
        <v>#REF!</v>
      </c>
      <c r="E28" s="204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6"/>
      <c r="Q28" s="36"/>
      <c r="R28" s="32"/>
      <c r="S28" s="32"/>
      <c r="T28" s="32"/>
      <c r="U28" s="32"/>
      <c r="V28" s="32"/>
      <c r="W28" s="36"/>
      <c r="X28" s="36"/>
      <c r="Y28" s="32"/>
      <c r="Z28" s="32"/>
      <c r="AA28" s="32"/>
      <c r="AB28" s="32"/>
      <c r="AC28" s="32"/>
      <c r="AD28" s="36"/>
      <c r="AE28" s="36"/>
      <c r="AF28" s="32"/>
      <c r="AG28" s="32"/>
      <c r="AH28" s="136"/>
      <c r="AI28" s="443"/>
      <c r="AJ28" s="440" t="e">
        <f>_xlfn.CONCAT(#REF!,Tabela13[[#This Row],[FUNKCJONARIUSZ]])</f>
        <v>#REF!</v>
      </c>
      <c r="AK28" s="444"/>
      <c r="AL28" s="446" t="e">
        <f>#REF!</f>
        <v>#REF!</v>
      </c>
      <c r="AM28">
        <f t="shared" si="1"/>
        <v>0</v>
      </c>
      <c r="AN28">
        <f t="shared" si="2"/>
        <v>0</v>
      </c>
      <c r="AO28" s="29">
        <f t="shared" si="3"/>
        <v>0</v>
      </c>
      <c r="AP28" s="1">
        <f t="shared" si="4"/>
        <v>0</v>
      </c>
      <c r="AQ28" s="1">
        <v>0</v>
      </c>
      <c r="AU28" s="57"/>
    </row>
    <row r="29" spans="1:47" ht="15.9">
      <c r="A29" s="1" t="s">
        <v>63</v>
      </c>
      <c r="B29" s="1" t="s">
        <v>73</v>
      </c>
      <c r="C29" s="203" t="s">
        <v>116</v>
      </c>
      <c r="D29" s="266" t="e">
        <f>Zasoby!#REF!</f>
        <v>#REF!</v>
      </c>
      <c r="E29" s="204"/>
      <c r="F29" s="32"/>
      <c r="G29" s="36"/>
      <c r="H29" s="32" t="s">
        <v>113</v>
      </c>
      <c r="I29" s="36"/>
      <c r="J29" s="36"/>
      <c r="K29" s="32"/>
      <c r="L29" s="32" t="s">
        <v>113</v>
      </c>
      <c r="M29" s="32"/>
      <c r="N29" s="32"/>
      <c r="O29" s="32" t="s">
        <v>113</v>
      </c>
      <c r="P29" s="36"/>
      <c r="Q29" s="36"/>
      <c r="R29" s="32">
        <v>17</v>
      </c>
      <c r="S29" s="32" t="s">
        <v>98</v>
      </c>
      <c r="T29" s="32" t="s">
        <v>98</v>
      </c>
      <c r="U29" s="32">
        <v>3</v>
      </c>
      <c r="V29" s="32"/>
      <c r="W29" s="36"/>
      <c r="X29" s="36"/>
      <c r="Y29" s="32">
        <v>17</v>
      </c>
      <c r="Z29" s="32" t="s">
        <v>62</v>
      </c>
      <c r="AA29" s="32" t="s">
        <v>62</v>
      </c>
      <c r="AB29" s="32">
        <v>12</v>
      </c>
      <c r="AC29" s="32"/>
      <c r="AD29" s="36"/>
      <c r="AE29" s="36"/>
      <c r="AF29" s="32"/>
      <c r="AG29" s="32"/>
      <c r="AH29" s="136"/>
      <c r="AI29" s="443"/>
      <c r="AJ29" s="440" t="e">
        <f>_xlfn.CONCAT(#REF!,Tabela13[[#This Row],[FUNKCJONARIUSZ]])</f>
        <v>#REF!</v>
      </c>
      <c r="AK29" s="444" t="e">
        <f>D29+AM29+AN29+AO29-$AK$1+AP29+AQ29</f>
        <v>#REF!</v>
      </c>
      <c r="AL29" s="445" t="e">
        <f>#REF!</f>
        <v>#REF!</v>
      </c>
      <c r="AM29">
        <f t="shared" si="1"/>
        <v>72</v>
      </c>
      <c r="AN29">
        <f t="shared" si="2"/>
        <v>96</v>
      </c>
      <c r="AO29" s="29">
        <f t="shared" si="3"/>
        <v>49</v>
      </c>
      <c r="AP29" s="1">
        <f t="shared" si="4"/>
        <v>0</v>
      </c>
      <c r="AQ29" s="1">
        <v>0</v>
      </c>
      <c r="AU29" s="57"/>
    </row>
    <row r="30" spans="1:47" ht="15.9">
      <c r="A30" s="1" t="s">
        <v>58</v>
      </c>
      <c r="B30" s="1" t="s">
        <v>93</v>
      </c>
      <c r="C30" s="203" t="s">
        <v>117</v>
      </c>
      <c r="D30" s="266" t="e">
        <f>Zasoby!#REF!</f>
        <v>#REF!</v>
      </c>
      <c r="E30" s="204">
        <v>4</v>
      </c>
      <c r="F30" s="32"/>
      <c r="G30" s="36"/>
      <c r="H30" s="32"/>
      <c r="I30" s="36"/>
      <c r="J30" s="36"/>
      <c r="K30" s="32"/>
      <c r="L30" s="32"/>
      <c r="M30" s="32"/>
      <c r="N30" s="32"/>
      <c r="O30" s="32" t="s">
        <v>69</v>
      </c>
      <c r="P30" s="36" t="s">
        <v>70</v>
      </c>
      <c r="Q30" s="36" t="s">
        <v>70</v>
      </c>
      <c r="R30" s="32" t="s">
        <v>69</v>
      </c>
      <c r="S30" s="32"/>
      <c r="T30" s="32"/>
      <c r="U30" s="32"/>
      <c r="V30" s="32"/>
      <c r="W30" s="36"/>
      <c r="X30" s="36"/>
      <c r="Y30" s="32"/>
      <c r="Z30" s="32"/>
      <c r="AA30" s="32"/>
      <c r="AB30" s="32"/>
      <c r="AC30" s="32"/>
      <c r="AD30" s="36"/>
      <c r="AE30" s="36"/>
      <c r="AF30" s="32"/>
      <c r="AG30" s="32"/>
      <c r="AH30" s="136"/>
      <c r="AI30" s="443"/>
      <c r="AJ30" s="440" t="e">
        <f>_xlfn.CONCAT(#REF!,Tabela13[[#This Row],[FUNKCJONARIUSZ]])</f>
        <v>#REF!</v>
      </c>
      <c r="AK30" s="444" t="e">
        <f>D30+AM30+AN30+AO30-$AK$1+AP30+AQ30</f>
        <v>#REF!</v>
      </c>
      <c r="AL30" s="446" t="e">
        <f>#REF!</f>
        <v>#REF!</v>
      </c>
      <c r="AM30">
        <f t="shared" si="1"/>
        <v>0</v>
      </c>
      <c r="AN30">
        <f t="shared" si="2"/>
        <v>72</v>
      </c>
      <c r="AO30" s="29">
        <f t="shared" si="3"/>
        <v>4</v>
      </c>
      <c r="AP30" s="1">
        <f t="shared" si="4"/>
        <v>0</v>
      </c>
      <c r="AQ30" s="1">
        <v>0</v>
      </c>
      <c r="AU30" s="57"/>
    </row>
    <row r="31" spans="1:47" ht="15.9">
      <c r="A31" s="1" t="s">
        <v>105</v>
      </c>
      <c r="B31" s="1" t="s">
        <v>59</v>
      </c>
      <c r="C31" s="203" t="s">
        <v>118</v>
      </c>
      <c r="D31" s="266" t="e">
        <f>Zasoby!#REF!</f>
        <v>#REF!</v>
      </c>
      <c r="E31" s="204" t="s">
        <v>66</v>
      </c>
      <c r="F31" s="32" t="s">
        <v>66</v>
      </c>
      <c r="G31" s="36" t="s">
        <v>66</v>
      </c>
      <c r="H31" s="32" t="s">
        <v>66</v>
      </c>
      <c r="I31" s="36" t="s">
        <v>66</v>
      </c>
      <c r="J31" s="36" t="s">
        <v>66</v>
      </c>
      <c r="K31" s="32"/>
      <c r="L31" s="32">
        <v>12</v>
      </c>
      <c r="M31" s="32" t="s">
        <v>70</v>
      </c>
      <c r="N31" s="32" t="s">
        <v>70</v>
      </c>
      <c r="O31" s="32">
        <v>13</v>
      </c>
      <c r="P31" s="36" t="s">
        <v>66</v>
      </c>
      <c r="Q31" s="36" t="s">
        <v>66</v>
      </c>
      <c r="R31" s="32" t="s">
        <v>66</v>
      </c>
      <c r="S31" s="32" t="s">
        <v>66</v>
      </c>
      <c r="T31" s="32"/>
      <c r="U31" s="32"/>
      <c r="V31" s="32"/>
      <c r="W31" s="36"/>
      <c r="X31" s="36"/>
      <c r="Y31" s="32"/>
      <c r="Z31" s="32">
        <v>8.5</v>
      </c>
      <c r="AA31" s="32">
        <v>10</v>
      </c>
      <c r="AB31" s="32" t="s">
        <v>113</v>
      </c>
      <c r="AC31" s="32"/>
      <c r="AD31" s="36"/>
      <c r="AE31" s="36"/>
      <c r="AF31" s="32"/>
      <c r="AG31" s="32">
        <v>8</v>
      </c>
      <c r="AH31" s="136">
        <v>16</v>
      </c>
      <c r="AI31" s="443"/>
      <c r="AJ31" s="440" t="e">
        <f>_xlfn.CONCAT(#REF!,Tabela13[[#This Row],[FUNKCJONARIUSZ]])</f>
        <v>#REF!</v>
      </c>
      <c r="AK31" s="444" t="e">
        <f>D31+AM31+AN31+AO31-$AK$1+AP31+AQ31</f>
        <v>#REF!</v>
      </c>
      <c r="AL31" s="446" t="e">
        <f>#REF!</f>
        <v>#REF!</v>
      </c>
      <c r="AM31">
        <f t="shared" si="1"/>
        <v>24</v>
      </c>
      <c r="AN31">
        <f t="shared" si="2"/>
        <v>48</v>
      </c>
      <c r="AO31" s="29">
        <f t="shared" si="3"/>
        <v>67.5</v>
      </c>
      <c r="AP31" s="1">
        <f t="shared" si="4"/>
        <v>0</v>
      </c>
      <c r="AQ31" s="1">
        <v>0</v>
      </c>
      <c r="AU31" s="57"/>
    </row>
    <row r="32" spans="1:47" ht="15.9">
      <c r="A32" s="1" t="s">
        <v>58</v>
      </c>
      <c r="B32" s="1" t="s">
        <v>73</v>
      </c>
      <c r="C32" s="212" t="s">
        <v>119</v>
      </c>
      <c r="D32" s="448" t="e">
        <f>Zasoby!#REF!</f>
        <v>#REF!</v>
      </c>
      <c r="E32" s="96">
        <v>8</v>
      </c>
      <c r="F32" s="51">
        <v>8</v>
      </c>
      <c r="G32" s="213"/>
      <c r="H32" s="51">
        <v>8</v>
      </c>
      <c r="I32" s="213"/>
      <c r="J32" s="213"/>
      <c r="K32" s="51">
        <v>8</v>
      </c>
      <c r="L32" s="51">
        <v>8</v>
      </c>
      <c r="M32" s="51"/>
      <c r="N32" s="51" t="s">
        <v>59</v>
      </c>
      <c r="O32" s="51"/>
      <c r="P32" s="213"/>
      <c r="Q32" s="213"/>
      <c r="R32" s="51" t="s">
        <v>323</v>
      </c>
      <c r="S32" s="51"/>
      <c r="T32" s="51"/>
      <c r="U32" s="51"/>
      <c r="V32" s="51"/>
      <c r="W32" s="213"/>
      <c r="X32" s="213"/>
      <c r="Y32" s="51"/>
      <c r="Z32" s="51"/>
      <c r="AA32" s="51"/>
      <c r="AB32" s="51"/>
      <c r="AC32" s="51"/>
      <c r="AD32" s="213"/>
      <c r="AE32" s="213"/>
      <c r="AF32" s="51" t="s">
        <v>61</v>
      </c>
      <c r="AG32" s="51" t="s">
        <v>62</v>
      </c>
      <c r="AH32" s="449" t="s">
        <v>62</v>
      </c>
      <c r="AI32" s="450" t="s">
        <v>66</v>
      </c>
      <c r="AJ32" s="451" t="e">
        <f>_xlfn.CONCAT(#REF!,Tabela13[[#This Row],[FUNKCJONARIUSZ]])</f>
        <v>#REF!</v>
      </c>
      <c r="AK32" s="452" t="e">
        <f>D32+AM32+AN32+AO32-$AK$1+AP32+AQ32</f>
        <v>#REF!</v>
      </c>
      <c r="AL32" s="453" t="e">
        <f>#REF!</f>
        <v>#REF!</v>
      </c>
      <c r="AM32">
        <f t="shared" si="1"/>
        <v>24</v>
      </c>
      <c r="AN32">
        <f t="shared" si="2"/>
        <v>60</v>
      </c>
      <c r="AO32" s="29">
        <f t="shared" si="3"/>
        <v>40</v>
      </c>
      <c r="AP32" s="1">
        <f t="shared" si="4"/>
        <v>0</v>
      </c>
      <c r="AU32" s="57"/>
    </row>
    <row r="33" spans="1:47" ht="15.9">
      <c r="A33" s="55"/>
      <c r="B33" s="55"/>
      <c r="C33" s="56"/>
      <c r="D33" s="57"/>
      <c r="E33" s="753"/>
      <c r="F33" s="753"/>
      <c r="G33" s="753"/>
      <c r="H33" s="753"/>
      <c r="I33" s="753"/>
      <c r="J33" s="753"/>
      <c r="K33" s="753"/>
      <c r="L33" s="753"/>
      <c r="M33" s="455">
        <f>COUNTIF(M2:M32,"$")</f>
        <v>1</v>
      </c>
      <c r="N33" s="455">
        <f>COUNTIF(N1:N31,"$")</f>
        <v>0</v>
      </c>
      <c r="O33" s="455">
        <f>COUNTIF(O1:O31,"$")</f>
        <v>1</v>
      </c>
      <c r="P33" s="456"/>
      <c r="Q33" s="454"/>
      <c r="R33" s="455">
        <f>COUNTIF(R1:R32,"$")</f>
        <v>2</v>
      </c>
      <c r="S33" s="455">
        <f>COUNTIF(S1:S31,"$")</f>
        <v>0</v>
      </c>
      <c r="T33" s="456"/>
      <c r="U33" s="457"/>
      <c r="V33" s="457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9"/>
      <c r="AH33" s="27"/>
      <c r="AI33" s="27"/>
      <c r="AJ33"/>
      <c r="AK33" s="325" t="e">
        <f>SUM(AK2:AK32)</f>
        <v>#REF!</v>
      </c>
      <c r="AL33" s="325" t="e">
        <f>SUM(AL2:AL32)</f>
        <v>#REF!</v>
      </c>
      <c r="AM33" s="28"/>
      <c r="AN33"/>
      <c r="AO33" s="29"/>
      <c r="AU33" s="57"/>
    </row>
    <row r="34" spans="1:47" ht="15.9">
      <c r="B34" s="61"/>
      <c r="C34" s="62" t="s">
        <v>120</v>
      </c>
      <c r="D34" s="63"/>
      <c r="E34" s="64">
        <f t="shared" ref="E34:AI34" si="5">COUNTIF(E2:E32,"D")</f>
        <v>1</v>
      </c>
      <c r="F34" s="64">
        <f t="shared" si="5"/>
        <v>1</v>
      </c>
      <c r="G34" s="64">
        <f t="shared" si="5"/>
        <v>1</v>
      </c>
      <c r="H34" s="64">
        <f t="shared" si="5"/>
        <v>1</v>
      </c>
      <c r="I34" s="64">
        <f t="shared" si="5"/>
        <v>1</v>
      </c>
      <c r="J34" s="64">
        <f t="shared" si="5"/>
        <v>1</v>
      </c>
      <c r="K34" s="64">
        <f t="shared" si="5"/>
        <v>1</v>
      </c>
      <c r="L34" s="64">
        <f t="shared" si="5"/>
        <v>1</v>
      </c>
      <c r="M34" s="457">
        <f t="shared" si="5"/>
        <v>1</v>
      </c>
      <c r="N34" s="457">
        <f t="shared" si="5"/>
        <v>1</v>
      </c>
      <c r="O34" s="457">
        <f t="shared" si="5"/>
        <v>1</v>
      </c>
      <c r="P34" s="64">
        <f t="shared" si="5"/>
        <v>1</v>
      </c>
      <c r="Q34" s="64">
        <f t="shared" si="5"/>
        <v>1</v>
      </c>
      <c r="R34" s="457">
        <f t="shared" si="5"/>
        <v>1</v>
      </c>
      <c r="S34" s="457">
        <f t="shared" si="5"/>
        <v>1</v>
      </c>
      <c r="T34" s="64">
        <f t="shared" si="5"/>
        <v>1</v>
      </c>
      <c r="U34" s="64">
        <f t="shared" si="5"/>
        <v>1</v>
      </c>
      <c r="V34" s="64">
        <f t="shared" si="5"/>
        <v>1</v>
      </c>
      <c r="W34" s="64">
        <f t="shared" si="5"/>
        <v>1</v>
      </c>
      <c r="X34" s="64">
        <f t="shared" si="5"/>
        <v>1</v>
      </c>
      <c r="Y34" s="64">
        <f t="shared" si="5"/>
        <v>1</v>
      </c>
      <c r="Z34" s="64">
        <f t="shared" si="5"/>
        <v>1</v>
      </c>
      <c r="AA34" s="64">
        <f t="shared" si="5"/>
        <v>1</v>
      </c>
      <c r="AB34" s="64">
        <f t="shared" si="5"/>
        <v>2</v>
      </c>
      <c r="AC34" s="64">
        <f t="shared" si="5"/>
        <v>1</v>
      </c>
      <c r="AD34" s="64">
        <f t="shared" si="5"/>
        <v>1</v>
      </c>
      <c r="AE34" s="64">
        <f t="shared" si="5"/>
        <v>0</v>
      </c>
      <c r="AF34" s="64">
        <f t="shared" si="5"/>
        <v>1</v>
      </c>
      <c r="AG34" s="64">
        <f t="shared" si="5"/>
        <v>1</v>
      </c>
      <c r="AH34" s="64">
        <f t="shared" si="5"/>
        <v>0</v>
      </c>
      <c r="AI34" s="64">
        <f t="shared" si="5"/>
        <v>0</v>
      </c>
      <c r="AJ34"/>
      <c r="AK34" s="27">
        <f>24*(COUNTIF(E35:AH35,0))</f>
        <v>24</v>
      </c>
      <c r="AL34" s="27"/>
      <c r="AM34" s="28"/>
      <c r="AN34"/>
      <c r="AO34" s="29"/>
      <c r="AU34" s="458"/>
    </row>
    <row r="35" spans="1:47" ht="15.9">
      <c r="B35" s="61"/>
      <c r="C35" s="65" t="s">
        <v>121</v>
      </c>
      <c r="D35" s="66"/>
      <c r="E35" s="64">
        <f t="shared" ref="E35:AJ35" si="6">COUNTIF(E52:E102,"D")+COUNTIF(E52:E102,"w")</f>
        <v>2</v>
      </c>
      <c r="F35" s="64">
        <f t="shared" si="6"/>
        <v>2</v>
      </c>
      <c r="G35" s="64">
        <f t="shared" si="6"/>
        <v>2</v>
      </c>
      <c r="H35" s="64">
        <f t="shared" si="6"/>
        <v>2</v>
      </c>
      <c r="I35" s="64">
        <f t="shared" si="6"/>
        <v>3</v>
      </c>
      <c r="J35" s="64">
        <f t="shared" si="6"/>
        <v>1</v>
      </c>
      <c r="K35" s="64">
        <f t="shared" si="6"/>
        <v>2</v>
      </c>
      <c r="L35" s="64">
        <f t="shared" si="6"/>
        <v>2</v>
      </c>
      <c r="M35" s="64">
        <f t="shared" si="6"/>
        <v>2</v>
      </c>
      <c r="N35" s="64">
        <f t="shared" si="6"/>
        <v>2</v>
      </c>
      <c r="O35" s="64">
        <f t="shared" si="6"/>
        <v>2</v>
      </c>
      <c r="P35" s="64">
        <f t="shared" si="6"/>
        <v>2</v>
      </c>
      <c r="Q35" s="64">
        <f t="shared" si="6"/>
        <v>2</v>
      </c>
      <c r="R35" s="64">
        <f t="shared" si="6"/>
        <v>2</v>
      </c>
      <c r="S35" s="64">
        <f t="shared" si="6"/>
        <v>2</v>
      </c>
      <c r="T35" s="64">
        <f t="shared" si="6"/>
        <v>2</v>
      </c>
      <c r="U35" s="64">
        <f t="shared" si="6"/>
        <v>2</v>
      </c>
      <c r="V35" s="64">
        <f t="shared" si="6"/>
        <v>2</v>
      </c>
      <c r="W35" s="64">
        <f t="shared" si="6"/>
        <v>2</v>
      </c>
      <c r="X35" s="64">
        <f t="shared" si="6"/>
        <v>2</v>
      </c>
      <c r="Y35" s="64">
        <f t="shared" si="6"/>
        <v>2</v>
      </c>
      <c r="Z35" s="64">
        <f t="shared" si="6"/>
        <v>2</v>
      </c>
      <c r="AA35" s="64">
        <f t="shared" si="6"/>
        <v>2</v>
      </c>
      <c r="AB35" s="64">
        <f t="shared" si="6"/>
        <v>2</v>
      </c>
      <c r="AC35" s="64">
        <f t="shared" si="6"/>
        <v>2</v>
      </c>
      <c r="AD35" s="64">
        <f t="shared" si="6"/>
        <v>2</v>
      </c>
      <c r="AE35" s="64">
        <f t="shared" si="6"/>
        <v>2</v>
      </c>
      <c r="AF35" s="64">
        <f t="shared" si="6"/>
        <v>2</v>
      </c>
      <c r="AG35" s="64">
        <f t="shared" si="6"/>
        <v>2</v>
      </c>
      <c r="AH35" s="64">
        <f t="shared" si="6"/>
        <v>0</v>
      </c>
      <c r="AI35" s="64">
        <f t="shared" si="6"/>
        <v>0</v>
      </c>
      <c r="AJ35" s="64">
        <f t="shared" si="6"/>
        <v>0</v>
      </c>
      <c r="AK35" s="27"/>
      <c r="AL35" s="27"/>
      <c r="AM35" s="28"/>
      <c r="AN35"/>
      <c r="AO35" s="29"/>
      <c r="AU35" s="458"/>
    </row>
    <row r="36" spans="1:47">
      <c r="C36" s="67" t="s">
        <v>122</v>
      </c>
      <c r="D36" s="68"/>
      <c r="E36" s="64">
        <f t="shared" ref="E36:AI36" si="7">COUNTIF(E2:E32,"S")+COUNTIF(E52:E102,"S")</f>
        <v>3</v>
      </c>
      <c r="F36" s="64">
        <f t="shared" si="7"/>
        <v>3</v>
      </c>
      <c r="G36" s="64">
        <f t="shared" si="7"/>
        <v>3</v>
      </c>
      <c r="H36" s="64">
        <f t="shared" si="7"/>
        <v>1</v>
      </c>
      <c r="I36" s="64">
        <f t="shared" si="7"/>
        <v>6</v>
      </c>
      <c r="J36" s="64">
        <f t="shared" si="7"/>
        <v>6</v>
      </c>
      <c r="K36" s="64">
        <f t="shared" si="7"/>
        <v>6</v>
      </c>
      <c r="L36" s="64">
        <f t="shared" si="7"/>
        <v>0</v>
      </c>
      <c r="M36" s="64">
        <f t="shared" si="7"/>
        <v>4</v>
      </c>
      <c r="N36" s="64">
        <f t="shared" si="7"/>
        <v>4</v>
      </c>
      <c r="O36" s="64">
        <f t="shared" si="7"/>
        <v>1</v>
      </c>
      <c r="P36" s="64">
        <f t="shared" si="7"/>
        <v>3</v>
      </c>
      <c r="Q36" s="64">
        <f t="shared" si="7"/>
        <v>4</v>
      </c>
      <c r="R36" s="64">
        <f t="shared" si="7"/>
        <v>0</v>
      </c>
      <c r="S36" s="64">
        <f t="shared" si="7"/>
        <v>4</v>
      </c>
      <c r="T36" s="64">
        <f t="shared" si="7"/>
        <v>4</v>
      </c>
      <c r="U36" s="64">
        <f t="shared" si="7"/>
        <v>4</v>
      </c>
      <c r="V36" s="64">
        <f t="shared" si="7"/>
        <v>1</v>
      </c>
      <c r="W36" s="64">
        <f t="shared" si="7"/>
        <v>4</v>
      </c>
      <c r="X36" s="64">
        <f t="shared" si="7"/>
        <v>4</v>
      </c>
      <c r="Y36" s="64">
        <f t="shared" si="7"/>
        <v>0</v>
      </c>
      <c r="Z36" s="64">
        <f t="shared" si="7"/>
        <v>4</v>
      </c>
      <c r="AA36" s="64">
        <f t="shared" si="7"/>
        <v>4</v>
      </c>
      <c r="AB36" s="64">
        <f t="shared" si="7"/>
        <v>3</v>
      </c>
      <c r="AC36" s="64">
        <f t="shared" si="7"/>
        <v>2</v>
      </c>
      <c r="AD36" s="64">
        <f t="shared" si="7"/>
        <v>4</v>
      </c>
      <c r="AE36" s="64">
        <f t="shared" si="7"/>
        <v>4</v>
      </c>
      <c r="AF36" s="64">
        <f t="shared" si="7"/>
        <v>0</v>
      </c>
      <c r="AG36" s="64">
        <f t="shared" si="7"/>
        <v>4</v>
      </c>
      <c r="AH36" s="64">
        <f t="shared" si="7"/>
        <v>4</v>
      </c>
      <c r="AI36" s="64">
        <f t="shared" si="7"/>
        <v>0</v>
      </c>
      <c r="AJ36"/>
      <c r="AK36" s="27"/>
      <c r="AL36" s="27"/>
      <c r="AM36" s="28"/>
      <c r="AN36"/>
      <c r="AO36" s="29"/>
      <c r="AU36" s="459"/>
    </row>
    <row r="37" spans="1:47">
      <c r="C37" s="69" t="s">
        <v>123</v>
      </c>
      <c r="D37" s="70"/>
      <c r="E37" s="64">
        <f t="shared" ref="E37:AI37" si="8">COUNTIF(E2:E34,"K")+COUNTIF(E53:E103,"K")</f>
        <v>0</v>
      </c>
      <c r="F37" s="64">
        <f t="shared" si="8"/>
        <v>3</v>
      </c>
      <c r="G37" s="64">
        <f t="shared" si="8"/>
        <v>3</v>
      </c>
      <c r="H37" s="64">
        <f t="shared" si="8"/>
        <v>2</v>
      </c>
      <c r="I37" s="64">
        <f t="shared" si="8"/>
        <v>3</v>
      </c>
      <c r="J37" s="64">
        <f t="shared" si="8"/>
        <v>3</v>
      </c>
      <c r="K37" s="64">
        <f t="shared" si="8"/>
        <v>0</v>
      </c>
      <c r="L37" s="64">
        <f t="shared" si="8"/>
        <v>4</v>
      </c>
      <c r="M37" s="64">
        <f t="shared" si="8"/>
        <v>4</v>
      </c>
      <c r="N37" s="64">
        <f t="shared" si="8"/>
        <v>4</v>
      </c>
      <c r="O37" s="64">
        <f t="shared" si="8"/>
        <v>4</v>
      </c>
      <c r="P37" s="64">
        <f t="shared" si="8"/>
        <v>4</v>
      </c>
      <c r="Q37" s="64">
        <f t="shared" si="8"/>
        <v>4</v>
      </c>
      <c r="R37" s="64">
        <f t="shared" si="8"/>
        <v>0</v>
      </c>
      <c r="S37" s="64">
        <f t="shared" si="8"/>
        <v>4</v>
      </c>
      <c r="T37" s="64">
        <f t="shared" si="8"/>
        <v>4</v>
      </c>
      <c r="U37" s="64">
        <f t="shared" si="8"/>
        <v>4</v>
      </c>
      <c r="V37" s="64">
        <f t="shared" si="8"/>
        <v>0</v>
      </c>
      <c r="W37" s="64">
        <f t="shared" si="8"/>
        <v>4</v>
      </c>
      <c r="X37" s="64">
        <f t="shared" si="8"/>
        <v>4</v>
      </c>
      <c r="Y37" s="64">
        <f t="shared" si="8"/>
        <v>4</v>
      </c>
      <c r="Z37" s="64">
        <f t="shared" si="8"/>
        <v>0</v>
      </c>
      <c r="AA37" s="64">
        <f t="shared" si="8"/>
        <v>4</v>
      </c>
      <c r="AB37" s="64">
        <f t="shared" si="8"/>
        <v>4</v>
      </c>
      <c r="AC37" s="64">
        <f t="shared" si="8"/>
        <v>4</v>
      </c>
      <c r="AD37" s="64">
        <f t="shared" si="8"/>
        <v>4</v>
      </c>
      <c r="AE37" s="64">
        <f t="shared" si="8"/>
        <v>4</v>
      </c>
      <c r="AF37" s="64">
        <f t="shared" si="8"/>
        <v>4</v>
      </c>
      <c r="AG37" s="64">
        <f t="shared" si="8"/>
        <v>0</v>
      </c>
      <c r="AH37" s="64">
        <f t="shared" si="8"/>
        <v>4</v>
      </c>
      <c r="AI37" s="64">
        <f t="shared" si="8"/>
        <v>0</v>
      </c>
      <c r="AJ37"/>
      <c r="AK37" s="27"/>
      <c r="AL37" s="27"/>
      <c r="AM37" s="28"/>
      <c r="AN37"/>
      <c r="AO37" s="29"/>
      <c r="AU37" s="459"/>
    </row>
    <row r="38" spans="1:47" ht="15.9">
      <c r="C38" s="56"/>
      <c r="D38" s="57"/>
      <c r="E38" s="71"/>
      <c r="F38" s="71"/>
      <c r="G38" s="71"/>
      <c r="H38" s="71"/>
      <c r="I38" s="71"/>
      <c r="J38" s="71"/>
      <c r="K38" s="71"/>
      <c r="L38" s="71"/>
      <c r="M38" s="71">
        <f>COUNTIF(M50:M132,"$")</f>
        <v>0</v>
      </c>
      <c r="N38" s="71">
        <f>COUNTIF(N50:N132,"$")</f>
        <v>0</v>
      </c>
      <c r="O38" s="71">
        <f>COUNTIF(O50:O132,"$")</f>
        <v>0</v>
      </c>
      <c r="P38" s="71"/>
      <c r="Q38" s="71"/>
      <c r="R38" s="71">
        <f>COUNTIF(R50:R132,"$")</f>
        <v>0</v>
      </c>
      <c r="S38" s="71">
        <f>COUNTIF(S50:S132,"$")</f>
        <v>0</v>
      </c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97"/>
      <c r="AH38" s="98"/>
      <c r="AI38" s="27"/>
      <c r="AJ38"/>
      <c r="AK38" s="27"/>
      <c r="AL38" s="27"/>
      <c r="AM38" s="28"/>
      <c r="AN38"/>
      <c r="AO38" s="29"/>
      <c r="AU38" s="57"/>
    </row>
    <row r="39" spans="1:47" s="73" customFormat="1">
      <c r="C39" s="660" t="s">
        <v>122</v>
      </c>
      <c r="D39" s="660"/>
      <c r="E39" s="99"/>
      <c r="F39" s="754" t="s">
        <v>245</v>
      </c>
      <c r="G39" s="754"/>
      <c r="H39" s="754"/>
      <c r="I39" s="100"/>
      <c r="J39" s="661" t="s">
        <v>126</v>
      </c>
      <c r="K39" s="661"/>
      <c r="L39" s="100"/>
      <c r="M39" s="661" t="s">
        <v>127</v>
      </c>
      <c r="N39" s="661"/>
      <c r="O39" s="661"/>
      <c r="P39" s="100"/>
      <c r="Q39" s="661" t="s">
        <v>125</v>
      </c>
      <c r="R39" s="661"/>
      <c r="S39" s="100"/>
      <c r="T39" s="661" t="s">
        <v>173</v>
      </c>
      <c r="U39" s="661"/>
      <c r="V39" s="661"/>
      <c r="W39" s="100"/>
      <c r="X39" s="661" t="s">
        <v>173</v>
      </c>
      <c r="Y39" s="661"/>
      <c r="Z39" s="100"/>
      <c r="AA39" s="661" t="s">
        <v>129</v>
      </c>
      <c r="AB39" s="661"/>
      <c r="AC39" s="661"/>
      <c r="AD39" s="100"/>
      <c r="AE39" s="658" t="s">
        <v>129</v>
      </c>
      <c r="AF39" s="658"/>
      <c r="AG39" s="101"/>
      <c r="AH39" s="658" t="s">
        <v>124</v>
      </c>
      <c r="AI39" s="658"/>
      <c r="AJ39" s="80"/>
      <c r="AK39" s="27"/>
      <c r="AL39" s="27"/>
      <c r="AM39" s="28"/>
      <c r="AN39"/>
      <c r="AO39" s="29"/>
      <c r="AP39" s="1"/>
      <c r="AQ39" s="1"/>
      <c r="AU39" s="77"/>
    </row>
    <row r="40" spans="1:47" s="73" customFormat="1">
      <c r="C40" s="660"/>
      <c r="D40" s="660"/>
      <c r="E40" s="102"/>
      <c r="F40" s="653" t="s">
        <v>135</v>
      </c>
      <c r="G40" s="653"/>
      <c r="H40" s="653"/>
      <c r="I40" s="103"/>
      <c r="J40" s="653" t="s">
        <v>135</v>
      </c>
      <c r="K40" s="653"/>
      <c r="L40" s="103"/>
      <c r="M40" s="653" t="s">
        <v>132</v>
      </c>
      <c r="N40" s="653"/>
      <c r="O40" s="653"/>
      <c r="P40" s="103"/>
      <c r="Q40" s="653" t="s">
        <v>194</v>
      </c>
      <c r="R40" s="653"/>
      <c r="S40" s="103"/>
      <c r="T40" s="653" t="s">
        <v>130</v>
      </c>
      <c r="U40" s="653"/>
      <c r="V40" s="653"/>
      <c r="W40" s="103"/>
      <c r="X40" s="653" t="s">
        <v>130</v>
      </c>
      <c r="Y40" s="653"/>
      <c r="Z40" s="103"/>
      <c r="AA40" s="653" t="s">
        <v>174</v>
      </c>
      <c r="AB40" s="653"/>
      <c r="AC40" s="653"/>
      <c r="AD40" s="103"/>
      <c r="AE40" s="648" t="s">
        <v>133</v>
      </c>
      <c r="AF40" s="648"/>
      <c r="AG40" s="104"/>
      <c r="AH40" s="648" t="s">
        <v>131</v>
      </c>
      <c r="AI40" s="648"/>
      <c r="AJ40" s="80"/>
      <c r="AK40" s="27"/>
      <c r="AL40" s="27"/>
      <c r="AM40" s="28"/>
      <c r="AN40"/>
      <c r="AO40" s="29"/>
      <c r="AP40" s="1"/>
      <c r="AQ40" s="1"/>
      <c r="AU40" s="77"/>
    </row>
    <row r="41" spans="1:47" s="73" customFormat="1">
      <c r="C41" s="660"/>
      <c r="D41" s="660"/>
      <c r="E41" s="102"/>
      <c r="F41" s="653" t="s">
        <v>142</v>
      </c>
      <c r="G41" s="653"/>
      <c r="H41" s="653"/>
      <c r="I41" s="103"/>
      <c r="J41" s="653" t="s">
        <v>141</v>
      </c>
      <c r="K41" s="653"/>
      <c r="L41" s="103"/>
      <c r="M41" s="653" t="s">
        <v>140</v>
      </c>
      <c r="N41" s="653"/>
      <c r="O41" s="653"/>
      <c r="P41" s="103"/>
      <c r="Q41" s="749" t="s">
        <v>246</v>
      </c>
      <c r="R41" s="749"/>
      <c r="S41" s="103"/>
      <c r="T41" s="653" t="s">
        <v>137</v>
      </c>
      <c r="U41" s="653"/>
      <c r="V41" s="653"/>
      <c r="W41" s="103"/>
      <c r="X41" s="749" t="s">
        <v>252</v>
      </c>
      <c r="Y41" s="749"/>
      <c r="Z41" s="103"/>
      <c r="AA41" s="653" t="s">
        <v>136</v>
      </c>
      <c r="AB41" s="653"/>
      <c r="AC41" s="653"/>
      <c r="AD41" s="103"/>
      <c r="AE41" s="750" t="s">
        <v>246</v>
      </c>
      <c r="AF41" s="750"/>
      <c r="AG41" s="105"/>
      <c r="AH41" s="648" t="s">
        <v>137</v>
      </c>
      <c r="AI41" s="648"/>
      <c r="AJ41" s="80"/>
      <c r="AK41" s="27"/>
      <c r="AL41" s="27"/>
      <c r="AM41" s="28"/>
      <c r="AN41"/>
      <c r="AO41" s="29"/>
      <c r="AP41" s="1"/>
      <c r="AQ41" s="1"/>
      <c r="AU41" s="77"/>
    </row>
    <row r="42" spans="1:47" s="73" customFormat="1">
      <c r="C42" s="660"/>
      <c r="D42" s="660"/>
      <c r="E42" s="106"/>
      <c r="F42" s="649" t="s">
        <v>151</v>
      </c>
      <c r="G42" s="649"/>
      <c r="H42" s="649"/>
      <c r="I42" s="107"/>
      <c r="J42" s="649" t="s">
        <v>218</v>
      </c>
      <c r="K42" s="649"/>
      <c r="L42" s="107"/>
      <c r="M42" s="649" t="s">
        <v>149</v>
      </c>
      <c r="N42" s="649"/>
      <c r="O42" s="649"/>
      <c r="P42" s="107"/>
      <c r="Q42" s="649" t="s">
        <v>134</v>
      </c>
      <c r="R42" s="649"/>
      <c r="S42" s="107"/>
      <c r="T42" s="649" t="s">
        <v>218</v>
      </c>
      <c r="U42" s="649"/>
      <c r="V42" s="649"/>
      <c r="W42" s="107"/>
      <c r="X42" s="649" t="s">
        <v>218</v>
      </c>
      <c r="Y42" s="649"/>
      <c r="Z42" s="107"/>
      <c r="AA42" s="751" t="s">
        <v>175</v>
      </c>
      <c r="AB42" s="751"/>
      <c r="AC42" s="751"/>
      <c r="AD42" s="107"/>
      <c r="AE42" s="752" t="s">
        <v>324</v>
      </c>
      <c r="AF42" s="752"/>
      <c r="AG42" s="108"/>
      <c r="AH42" s="651" t="s">
        <v>143</v>
      </c>
      <c r="AI42" s="651"/>
      <c r="AJ42" s="80"/>
      <c r="AK42" s="27"/>
      <c r="AL42" s="27"/>
      <c r="AM42" s="28"/>
      <c r="AN42"/>
      <c r="AO42" s="29"/>
      <c r="AP42" s="1"/>
      <c r="AQ42" s="1"/>
      <c r="AU42" s="77"/>
    </row>
    <row r="43" spans="1:47" s="73" customFormat="1">
      <c r="C43" s="77"/>
      <c r="D43" s="77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109"/>
      <c r="AH43" s="110"/>
      <c r="AI43" s="79"/>
      <c r="AJ43" s="80"/>
      <c r="AK43" s="27"/>
      <c r="AL43" s="27"/>
      <c r="AM43" s="28"/>
      <c r="AN43"/>
      <c r="AO43" s="29"/>
      <c r="AP43" s="1"/>
      <c r="AQ43" s="1"/>
      <c r="AU43" s="77"/>
    </row>
    <row r="44" spans="1:47" s="73" customFormat="1" ht="11.25" customHeight="1">
      <c r="C44" s="655" t="s">
        <v>123</v>
      </c>
      <c r="D44" s="655"/>
      <c r="E44" s="99"/>
      <c r="F44" s="656" t="s">
        <v>205</v>
      </c>
      <c r="G44" s="656"/>
      <c r="H44" s="656"/>
      <c r="I44" s="100"/>
      <c r="J44" s="657" t="s">
        <v>203</v>
      </c>
      <c r="K44" s="657"/>
      <c r="L44" s="100"/>
      <c r="M44" s="656" t="s">
        <v>247</v>
      </c>
      <c r="N44" s="656"/>
      <c r="O44" s="656"/>
      <c r="P44" s="100"/>
      <c r="Q44" s="657" t="s">
        <v>247</v>
      </c>
      <c r="R44" s="657"/>
      <c r="S44" s="100"/>
      <c r="T44" s="656" t="s">
        <v>206</v>
      </c>
      <c r="U44" s="656"/>
      <c r="V44" s="656"/>
      <c r="W44" s="100"/>
      <c r="X44" s="656" t="s">
        <v>248</v>
      </c>
      <c r="Y44" s="656"/>
      <c r="Z44" s="100"/>
      <c r="AA44" s="656" t="s">
        <v>202</v>
      </c>
      <c r="AB44" s="656"/>
      <c r="AC44" s="656"/>
      <c r="AD44" s="100"/>
      <c r="AE44" s="652" t="s">
        <v>202</v>
      </c>
      <c r="AF44" s="652"/>
      <c r="AG44" s="113"/>
      <c r="AH44" s="652" t="s">
        <v>203</v>
      </c>
      <c r="AI44" s="652"/>
      <c r="AJ44" s="80"/>
      <c r="AK44" s="27"/>
      <c r="AL44" s="27"/>
      <c r="AM44" s="28"/>
      <c r="AN44"/>
      <c r="AO44" s="29"/>
      <c r="AP44" s="1"/>
      <c r="AQ44" s="1"/>
      <c r="AU44" s="77"/>
    </row>
    <row r="45" spans="1:47" s="73" customFormat="1" ht="11.25" customHeight="1">
      <c r="C45" s="655"/>
      <c r="D45" s="655"/>
      <c r="E45" s="102"/>
      <c r="F45" s="653" t="s">
        <v>207</v>
      </c>
      <c r="G45" s="653"/>
      <c r="H45" s="653"/>
      <c r="I45" s="103"/>
      <c r="J45" s="654" t="s">
        <v>207</v>
      </c>
      <c r="K45" s="654"/>
      <c r="L45" s="103"/>
      <c r="M45" s="653" t="s">
        <v>204</v>
      </c>
      <c r="N45" s="653"/>
      <c r="O45" s="653"/>
      <c r="P45" s="103"/>
      <c r="Q45" s="654" t="s">
        <v>204</v>
      </c>
      <c r="R45" s="654"/>
      <c r="S45" s="103"/>
      <c r="T45" s="653" t="s">
        <v>298</v>
      </c>
      <c r="U45" s="653"/>
      <c r="V45" s="653"/>
      <c r="W45" s="103"/>
      <c r="X45" s="653" t="s">
        <v>250</v>
      </c>
      <c r="Y45" s="653"/>
      <c r="Z45" s="103"/>
      <c r="AA45" s="653" t="s">
        <v>209</v>
      </c>
      <c r="AB45" s="653"/>
      <c r="AC45" s="653"/>
      <c r="AD45" s="103"/>
      <c r="AE45" s="648" t="s">
        <v>209</v>
      </c>
      <c r="AF45" s="648"/>
      <c r="AG45" s="104"/>
      <c r="AH45" s="648" t="s">
        <v>207</v>
      </c>
      <c r="AI45" s="648"/>
      <c r="AJ45" s="80"/>
      <c r="AK45" s="27"/>
      <c r="AL45" s="27"/>
      <c r="AM45" s="28"/>
      <c r="AN45"/>
      <c r="AO45" s="29"/>
      <c r="AP45" s="1"/>
      <c r="AQ45" s="1"/>
      <c r="AU45" s="77"/>
    </row>
    <row r="46" spans="1:47" s="73" customFormat="1" ht="11.25" customHeight="1">
      <c r="C46" s="655"/>
      <c r="D46" s="655"/>
      <c r="E46" s="102"/>
      <c r="F46" s="653" t="s">
        <v>196</v>
      </c>
      <c r="G46" s="653"/>
      <c r="H46" s="653"/>
      <c r="I46" s="103"/>
      <c r="J46" s="654" t="s">
        <v>196</v>
      </c>
      <c r="K46" s="654"/>
      <c r="L46" s="103"/>
      <c r="M46" s="653" t="s">
        <v>253</v>
      </c>
      <c r="N46" s="653"/>
      <c r="O46" s="653"/>
      <c r="P46" s="103"/>
      <c r="Q46" s="654" t="s">
        <v>253</v>
      </c>
      <c r="R46" s="654"/>
      <c r="S46" s="103"/>
      <c r="T46" s="749" t="s">
        <v>146</v>
      </c>
      <c r="U46" s="749"/>
      <c r="V46" s="749"/>
      <c r="W46" s="103"/>
      <c r="X46" s="653" t="s">
        <v>210</v>
      </c>
      <c r="Y46" s="653"/>
      <c r="Z46" s="103"/>
      <c r="AA46" s="653" t="s">
        <v>325</v>
      </c>
      <c r="AB46" s="653"/>
      <c r="AC46" s="653"/>
      <c r="AD46" s="103"/>
      <c r="AE46" s="648" t="s">
        <v>212</v>
      </c>
      <c r="AF46" s="648"/>
      <c r="AG46" s="104"/>
      <c r="AH46" s="648" t="s">
        <v>213</v>
      </c>
      <c r="AI46" s="648"/>
      <c r="AJ46" s="80"/>
      <c r="AK46" s="27"/>
      <c r="AL46" s="27"/>
      <c r="AM46" s="28"/>
      <c r="AN46"/>
      <c r="AO46" s="29"/>
      <c r="AP46" s="1"/>
      <c r="AQ46" s="1"/>
      <c r="AU46" s="77"/>
    </row>
    <row r="47" spans="1:47" s="73" customFormat="1" ht="11.25" customHeight="1">
      <c r="C47" s="655"/>
      <c r="D47" s="655"/>
      <c r="E47" s="106"/>
      <c r="F47" s="649" t="s">
        <v>317</v>
      </c>
      <c r="G47" s="649"/>
      <c r="H47" s="649"/>
      <c r="I47" s="107"/>
      <c r="J47" s="650" t="s">
        <v>317</v>
      </c>
      <c r="K47" s="650"/>
      <c r="L47" s="107"/>
      <c r="M47" s="649" t="s">
        <v>215</v>
      </c>
      <c r="N47" s="649"/>
      <c r="O47" s="649"/>
      <c r="P47" s="107"/>
      <c r="Q47" s="650" t="s">
        <v>215</v>
      </c>
      <c r="R47" s="650"/>
      <c r="S47" s="107"/>
      <c r="T47" s="649" t="s">
        <v>216</v>
      </c>
      <c r="U47" s="649"/>
      <c r="V47" s="649"/>
      <c r="W47" s="107"/>
      <c r="X47" s="649" t="s">
        <v>251</v>
      </c>
      <c r="Y47" s="649"/>
      <c r="Z47" s="107"/>
      <c r="AA47" s="649" t="s">
        <v>214</v>
      </c>
      <c r="AB47" s="649"/>
      <c r="AC47" s="649"/>
      <c r="AD47" s="107"/>
      <c r="AE47" s="651" t="s">
        <v>214</v>
      </c>
      <c r="AF47" s="651"/>
      <c r="AG47" s="108"/>
      <c r="AH47" s="651" t="s">
        <v>254</v>
      </c>
      <c r="AI47" s="651"/>
      <c r="AJ47" s="80"/>
      <c r="AK47" s="27"/>
      <c r="AL47" s="27"/>
      <c r="AM47" s="28"/>
      <c r="AN47"/>
      <c r="AO47" s="29"/>
      <c r="AP47" s="1"/>
      <c r="AQ47" s="1"/>
      <c r="AU47" s="77"/>
    </row>
    <row r="48" spans="1:47" ht="15.9">
      <c r="C48" s="61"/>
      <c r="D48" s="81"/>
      <c r="AK48" s="27"/>
      <c r="AL48" s="27"/>
      <c r="AM48" s="28"/>
      <c r="AN48"/>
      <c r="AO48" s="29"/>
      <c r="AU48" s="81"/>
    </row>
    <row r="49" spans="1:47" ht="15.9">
      <c r="C49" s="61"/>
      <c r="D49" s="81"/>
      <c r="AK49" s="27"/>
      <c r="AL49" s="27"/>
      <c r="AM49" s="28"/>
      <c r="AN49"/>
      <c r="AO49" s="29"/>
      <c r="AU49" s="81"/>
    </row>
    <row r="50" spans="1:47" ht="43.3">
      <c r="A50" s="1" t="s">
        <v>52</v>
      </c>
      <c r="D50" s="460" t="s">
        <v>326</v>
      </c>
      <c r="E50" s="333">
        <v>44348</v>
      </c>
      <c r="F50" s="333">
        <v>44349</v>
      </c>
      <c r="G50" s="333">
        <v>44350</v>
      </c>
      <c r="H50" s="333">
        <v>44351</v>
      </c>
      <c r="I50" s="333">
        <v>44352</v>
      </c>
      <c r="J50" s="333">
        <v>44353</v>
      </c>
      <c r="K50" s="333">
        <v>44354</v>
      </c>
      <c r="L50" s="333">
        <v>44355</v>
      </c>
      <c r="M50" s="333">
        <v>44356</v>
      </c>
      <c r="N50" s="333">
        <v>44357</v>
      </c>
      <c r="O50" s="333">
        <v>44358</v>
      </c>
      <c r="P50" s="333">
        <v>44359</v>
      </c>
      <c r="Q50" s="333">
        <v>44360</v>
      </c>
      <c r="R50" s="333">
        <v>44361</v>
      </c>
      <c r="S50" s="333">
        <v>44362</v>
      </c>
      <c r="T50" s="333">
        <v>44363</v>
      </c>
      <c r="U50" s="333">
        <v>44364</v>
      </c>
      <c r="V50" s="333">
        <v>44365</v>
      </c>
      <c r="W50" s="333">
        <v>44366</v>
      </c>
      <c r="X50" s="333">
        <v>44367</v>
      </c>
      <c r="Y50" s="333">
        <v>44368</v>
      </c>
      <c r="Z50" s="333">
        <v>44369</v>
      </c>
      <c r="AA50" s="333">
        <v>44370</v>
      </c>
      <c r="AB50" s="333">
        <v>44371</v>
      </c>
      <c r="AC50" s="333">
        <v>44372</v>
      </c>
      <c r="AD50" s="333">
        <v>44373</v>
      </c>
      <c r="AE50" s="333">
        <v>44374</v>
      </c>
      <c r="AF50" s="333">
        <v>44375</v>
      </c>
      <c r="AG50" s="333">
        <v>44376</v>
      </c>
      <c r="AH50" s="333">
        <v>44377</v>
      </c>
      <c r="AI50" s="461"/>
      <c r="AJ50" s="288"/>
      <c r="AK50" s="462">
        <v>168</v>
      </c>
      <c r="AL50" s="463" t="s">
        <v>2</v>
      </c>
      <c r="AM50" s="464" t="s">
        <v>53</v>
      </c>
      <c r="AN50" s="17" t="s">
        <v>54</v>
      </c>
      <c r="AO50" s="18" t="s">
        <v>55</v>
      </c>
      <c r="AP50" s="1" t="s">
        <v>56</v>
      </c>
      <c r="AQ50" s="1" t="s">
        <v>322</v>
      </c>
      <c r="AU50" s="465" t="s">
        <v>327</v>
      </c>
    </row>
    <row r="51" spans="1:47" ht="15.9">
      <c r="A51" s="1" t="s">
        <v>152</v>
      </c>
      <c r="B51" s="1" t="s">
        <v>93</v>
      </c>
      <c r="C51" s="289" t="s">
        <v>3</v>
      </c>
      <c r="D51" s="466" t="e">
        <f>#REF!</f>
        <v>#REF!</v>
      </c>
      <c r="E51" s="200" t="s">
        <v>70</v>
      </c>
      <c r="F51" s="22" t="s">
        <v>70</v>
      </c>
      <c r="G51" s="201" t="s">
        <v>70</v>
      </c>
      <c r="H51" s="22">
        <v>15</v>
      </c>
      <c r="I51" s="201"/>
      <c r="J51" s="267"/>
      <c r="K51" s="382"/>
      <c r="L51" s="22"/>
      <c r="M51" s="22"/>
      <c r="N51" s="22">
        <v>8</v>
      </c>
      <c r="O51" s="22"/>
      <c r="P51" s="201"/>
      <c r="Q51" s="201"/>
      <c r="R51" s="22">
        <v>3</v>
      </c>
      <c r="S51" s="22"/>
      <c r="T51" s="22"/>
      <c r="U51" s="22"/>
      <c r="V51" s="22"/>
      <c r="W51" s="201"/>
      <c r="X51" s="201"/>
      <c r="Y51" s="22"/>
      <c r="Z51" s="22">
        <v>4</v>
      </c>
      <c r="AA51" s="22"/>
      <c r="AB51" s="22"/>
      <c r="AC51" s="22"/>
      <c r="AD51" s="201"/>
      <c r="AE51" s="201"/>
      <c r="AF51" s="22"/>
      <c r="AG51" s="22"/>
      <c r="AH51" s="438"/>
      <c r="AI51" s="467"/>
      <c r="AJ51" s="440" t="e">
        <f>_xlfn.CONCAT(#REF!,#REF!)</f>
        <v>#REF!</v>
      </c>
      <c r="AK51" s="468" t="e">
        <f t="shared" ref="AK51:AK65" si="9">D51+AM51+AN51+AO51-$AK$50+AP51+AQ51</f>
        <v>#REF!</v>
      </c>
      <c r="AL51" s="446" t="e">
        <f>#REF!</f>
        <v>#REF!</v>
      </c>
      <c r="AM51">
        <f t="shared" ref="AM51:AM82" si="10">COUNTIF(E51:AI51,"D")*24+COUNTIF(E51:AI51,"12g")*12+COUNTIF(E51:AI51,"w")*24</f>
        <v>0</v>
      </c>
      <c r="AN51">
        <f t="shared" ref="AN51:AN82" si="11">SUM(COUNTIF(E51:AI51,"k")+COUNTIF(E51:AI51,"s")+COUNTIF(E51:AI51,"wse"))*24+SUM(COUNTIF(E51:AI51,"Pk")+COUNTIF(E51:AI51,"Ps"))*12</f>
        <v>72</v>
      </c>
      <c r="AO51" s="29">
        <f t="shared" ref="AO51:AO82" si="12">SUM(E51:AI51)+COUNTIF(E51:AI51,"uw")*8+COUNTIF(E51:AI51,"us")*8+COUNTIF(E51:AI51,"uz")*8</f>
        <v>30</v>
      </c>
      <c r="AP51" s="1">
        <f t="shared" ref="AP51:AP82" si="13">COUNTIF(E51:AI51,"DT")*8</f>
        <v>0</v>
      </c>
      <c r="AU51" s="161" t="e">
        <f>#REF!</f>
        <v>#REF!</v>
      </c>
    </row>
    <row r="52" spans="1:47" ht="15.9">
      <c r="A52" s="1" t="s">
        <v>155</v>
      </c>
      <c r="B52" s="1" t="s">
        <v>73</v>
      </c>
      <c r="C52" s="290" t="s">
        <v>4</v>
      </c>
      <c r="D52" s="466" t="e">
        <f>#REF!</f>
        <v>#REF!</v>
      </c>
      <c r="E52" s="204">
        <v>16</v>
      </c>
      <c r="F52" s="32" t="s">
        <v>95</v>
      </c>
      <c r="G52" s="36" t="s">
        <v>95</v>
      </c>
      <c r="H52" s="32" t="s">
        <v>95</v>
      </c>
      <c r="I52" s="36" t="s">
        <v>95</v>
      </c>
      <c r="J52" s="270" t="s">
        <v>95</v>
      </c>
      <c r="K52" s="231">
        <v>20</v>
      </c>
      <c r="L52" s="32"/>
      <c r="M52" s="32"/>
      <c r="N52" s="32"/>
      <c r="O52" s="32">
        <v>8</v>
      </c>
      <c r="P52" s="36"/>
      <c r="Q52" s="36"/>
      <c r="R52" s="32"/>
      <c r="S52" s="32">
        <v>8</v>
      </c>
      <c r="T52" s="32">
        <v>4</v>
      </c>
      <c r="U52" s="32"/>
      <c r="V52" s="32"/>
      <c r="W52" s="36" t="s">
        <v>301</v>
      </c>
      <c r="X52" s="36"/>
      <c r="Y52" s="32"/>
      <c r="Z52" s="32"/>
      <c r="AA52" s="32"/>
      <c r="AB52" s="32"/>
      <c r="AC52" s="32"/>
      <c r="AD52" s="36"/>
      <c r="AE52" s="36"/>
      <c r="AF52" s="32"/>
      <c r="AG52" s="32"/>
      <c r="AH52" s="136"/>
      <c r="AI52" s="469"/>
      <c r="AJ52" s="440" t="e">
        <f>_xlfn.CONCAT(#REF!,#REF!)</f>
        <v>#REF!</v>
      </c>
      <c r="AK52" s="468" t="e">
        <f t="shared" si="9"/>
        <v>#REF!</v>
      </c>
      <c r="AL52" s="446" t="e">
        <f>#REF!</f>
        <v>#REF!</v>
      </c>
      <c r="AM52">
        <f t="shared" si="10"/>
        <v>24</v>
      </c>
      <c r="AN52">
        <f t="shared" si="11"/>
        <v>120</v>
      </c>
      <c r="AO52" s="29">
        <f t="shared" si="12"/>
        <v>56</v>
      </c>
      <c r="AP52" s="1">
        <f t="shared" si="13"/>
        <v>0</v>
      </c>
      <c r="AU52" s="161" t="e">
        <f>#REF!</f>
        <v>#REF!</v>
      </c>
    </row>
    <row r="53" spans="1:47" ht="15.9">
      <c r="A53" s="1" t="s">
        <v>67</v>
      </c>
      <c r="B53" s="1" t="s">
        <v>73</v>
      </c>
      <c r="C53" s="290" t="s">
        <v>5</v>
      </c>
      <c r="D53" s="466" t="e">
        <f>#REF!</f>
        <v>#REF!</v>
      </c>
      <c r="E53" s="204"/>
      <c r="F53" s="32"/>
      <c r="G53" s="36" t="s">
        <v>113</v>
      </c>
      <c r="H53" s="32"/>
      <c r="I53" s="36"/>
      <c r="J53" s="270"/>
      <c r="K53" s="231"/>
      <c r="L53" s="32"/>
      <c r="M53" s="32"/>
      <c r="N53" s="32"/>
      <c r="O53" s="32">
        <v>8</v>
      </c>
      <c r="P53" s="36"/>
      <c r="Q53" s="36"/>
      <c r="R53" s="32">
        <v>8</v>
      </c>
      <c r="S53" s="32"/>
      <c r="T53" s="32"/>
      <c r="U53" s="32"/>
      <c r="V53" s="32"/>
      <c r="W53" s="36"/>
      <c r="X53" s="36"/>
      <c r="Y53" s="32"/>
      <c r="Z53" s="32"/>
      <c r="AA53" s="32">
        <v>8</v>
      </c>
      <c r="AB53" s="32"/>
      <c r="AC53" s="32">
        <v>28</v>
      </c>
      <c r="AD53" s="36"/>
      <c r="AE53" s="36"/>
      <c r="AF53" s="32"/>
      <c r="AG53" s="32"/>
      <c r="AH53" s="136"/>
      <c r="AI53" s="470"/>
      <c r="AJ53" s="440" t="e">
        <f>_xlfn.CONCAT(#REF!,#REF!)</f>
        <v>#REF!</v>
      </c>
      <c r="AK53" s="468" t="e">
        <f t="shared" si="9"/>
        <v>#REF!</v>
      </c>
      <c r="AL53" s="446" t="e">
        <f>#REF!</f>
        <v>#REF!</v>
      </c>
      <c r="AM53">
        <f t="shared" si="10"/>
        <v>24</v>
      </c>
      <c r="AN53">
        <f t="shared" si="11"/>
        <v>0</v>
      </c>
      <c r="AO53" s="29">
        <f t="shared" si="12"/>
        <v>52</v>
      </c>
      <c r="AP53" s="1">
        <f t="shared" si="13"/>
        <v>0</v>
      </c>
      <c r="AU53" s="161" t="e">
        <f>#REF!</f>
        <v>#REF!</v>
      </c>
    </row>
    <row r="54" spans="1:47" ht="15.9">
      <c r="A54" s="1" t="s">
        <v>152</v>
      </c>
      <c r="B54" s="1" t="s">
        <v>64</v>
      </c>
      <c r="C54" s="291" t="s">
        <v>6</v>
      </c>
      <c r="D54" s="466" t="e">
        <f>#REF!</f>
        <v>#REF!</v>
      </c>
      <c r="E54" s="204"/>
      <c r="F54" s="32" t="s">
        <v>113</v>
      </c>
      <c r="G54" s="36"/>
      <c r="H54" s="32"/>
      <c r="I54" s="36" t="s">
        <v>301</v>
      </c>
      <c r="J54" s="270"/>
      <c r="K54" s="231"/>
      <c r="L54" s="32"/>
      <c r="M54" s="32"/>
      <c r="N54" s="32"/>
      <c r="O54" s="32">
        <v>8</v>
      </c>
      <c r="P54" s="36"/>
      <c r="Q54" s="36"/>
      <c r="R54" s="32">
        <v>8</v>
      </c>
      <c r="S54" s="32"/>
      <c r="T54" s="32"/>
      <c r="U54" s="32">
        <v>8</v>
      </c>
      <c r="V54" s="32"/>
      <c r="W54" s="36"/>
      <c r="X54" s="36"/>
      <c r="Y54" s="32"/>
      <c r="Z54" s="32"/>
      <c r="AA54" s="32"/>
      <c r="AB54" s="32"/>
      <c r="AC54" s="32"/>
      <c r="AD54" s="36"/>
      <c r="AE54" s="36"/>
      <c r="AF54" s="32"/>
      <c r="AG54" s="32" t="s">
        <v>303</v>
      </c>
      <c r="AH54" s="136"/>
      <c r="AI54" s="470"/>
      <c r="AJ54" s="440" t="e">
        <f>_xlfn.CONCAT(#REF!,#REF!)</f>
        <v>#REF!</v>
      </c>
      <c r="AK54" s="468" t="e">
        <f t="shared" si="9"/>
        <v>#REF!</v>
      </c>
      <c r="AL54" s="446" t="e">
        <f>#REF!</f>
        <v>#REF!</v>
      </c>
      <c r="AM54">
        <f t="shared" si="10"/>
        <v>72</v>
      </c>
      <c r="AN54">
        <f t="shared" si="11"/>
        <v>0</v>
      </c>
      <c r="AO54" s="29">
        <f t="shared" si="12"/>
        <v>24</v>
      </c>
      <c r="AP54" s="1">
        <f t="shared" si="13"/>
        <v>0</v>
      </c>
      <c r="AU54" s="161" t="e">
        <f>#REF!</f>
        <v>#REF!</v>
      </c>
    </row>
    <row r="55" spans="1:47" ht="15.9">
      <c r="A55" s="1" t="s">
        <v>156</v>
      </c>
      <c r="B55" s="1" t="s">
        <v>59</v>
      </c>
      <c r="C55" s="292" t="s">
        <v>7</v>
      </c>
      <c r="D55" s="466" t="e">
        <f>#REF!</f>
        <v>#REF!</v>
      </c>
      <c r="E55" s="204" t="s">
        <v>75</v>
      </c>
      <c r="F55" s="32" t="s">
        <v>75</v>
      </c>
      <c r="G55" s="36" t="s">
        <v>66</v>
      </c>
      <c r="H55" s="32" t="s">
        <v>75</v>
      </c>
      <c r="I55" s="36" t="s">
        <v>66</v>
      </c>
      <c r="J55" s="270" t="s">
        <v>66</v>
      </c>
      <c r="K55" s="231" t="s">
        <v>75</v>
      </c>
      <c r="L55" s="32" t="s">
        <v>75</v>
      </c>
      <c r="M55" s="32" t="s">
        <v>75</v>
      </c>
      <c r="N55" s="32" t="s">
        <v>75</v>
      </c>
      <c r="O55" s="32" t="s">
        <v>75</v>
      </c>
      <c r="P55" s="36" t="s">
        <v>66</v>
      </c>
      <c r="Q55" s="36" t="s">
        <v>66</v>
      </c>
      <c r="R55" s="32" t="s">
        <v>75</v>
      </c>
      <c r="S55" s="32" t="s">
        <v>75</v>
      </c>
      <c r="T55" s="32"/>
      <c r="U55" s="32"/>
      <c r="V55" s="32"/>
      <c r="W55" s="36"/>
      <c r="X55" s="36"/>
      <c r="Y55" s="32"/>
      <c r="Z55" s="32"/>
      <c r="AA55" s="32">
        <v>8</v>
      </c>
      <c r="AB55" s="32"/>
      <c r="AC55" s="32" t="s">
        <v>113</v>
      </c>
      <c r="AD55" s="36"/>
      <c r="AE55" s="36"/>
      <c r="AF55" s="32"/>
      <c r="AG55" s="32"/>
      <c r="AH55" s="136"/>
      <c r="AI55" s="470"/>
      <c r="AJ55" s="440" t="e">
        <f>_xlfn.CONCAT(#REF!,#REF!)</f>
        <v>#REF!</v>
      </c>
      <c r="AK55" s="468" t="e">
        <f t="shared" si="9"/>
        <v>#REF!</v>
      </c>
      <c r="AL55" s="446" t="e">
        <f>#REF!</f>
        <v>#REF!</v>
      </c>
      <c r="AM55">
        <f t="shared" si="10"/>
        <v>24</v>
      </c>
      <c r="AN55">
        <f t="shared" si="11"/>
        <v>0</v>
      </c>
      <c r="AO55" s="29">
        <f t="shared" si="12"/>
        <v>88</v>
      </c>
      <c r="AP55" s="1">
        <f t="shared" si="13"/>
        <v>0</v>
      </c>
      <c r="AU55" s="161" t="e">
        <f>#REF!</f>
        <v>#REF!</v>
      </c>
    </row>
    <row r="56" spans="1:47" ht="15.9">
      <c r="A56" s="1" t="s">
        <v>58</v>
      </c>
      <c r="B56" s="1" t="s">
        <v>73</v>
      </c>
      <c r="C56" s="291" t="s">
        <v>8</v>
      </c>
      <c r="D56" s="466" t="e">
        <f>#REF!</f>
        <v>#REF!</v>
      </c>
      <c r="E56" s="204" t="s">
        <v>303</v>
      </c>
      <c r="F56" s="32"/>
      <c r="G56" s="36"/>
      <c r="H56" s="32"/>
      <c r="I56" s="36"/>
      <c r="J56" s="270"/>
      <c r="K56" s="231"/>
      <c r="L56" s="32"/>
      <c r="M56" s="32" t="s">
        <v>301</v>
      </c>
      <c r="N56" s="32"/>
      <c r="O56" s="32"/>
      <c r="P56" s="36"/>
      <c r="Q56" s="36"/>
      <c r="R56" s="32" t="s">
        <v>301</v>
      </c>
      <c r="S56" s="32"/>
      <c r="T56" s="32">
        <v>8</v>
      </c>
      <c r="U56" s="32">
        <v>2</v>
      </c>
      <c r="V56" s="32">
        <v>4</v>
      </c>
      <c r="W56" s="36"/>
      <c r="X56" s="36"/>
      <c r="Y56" s="32" t="s">
        <v>113</v>
      </c>
      <c r="Z56" s="32"/>
      <c r="AA56" s="32"/>
      <c r="AB56" s="32" t="s">
        <v>301</v>
      </c>
      <c r="AC56" s="32"/>
      <c r="AD56" s="36"/>
      <c r="AE56" s="36"/>
      <c r="AF56" s="32"/>
      <c r="AG56" s="32"/>
      <c r="AH56" s="136">
        <v>16</v>
      </c>
      <c r="AI56" s="470"/>
      <c r="AJ56" s="440" t="e">
        <f>_xlfn.CONCAT(#REF!,#REF!)</f>
        <v>#REF!</v>
      </c>
      <c r="AK56" s="468" t="e">
        <f t="shared" si="9"/>
        <v>#REF!</v>
      </c>
      <c r="AL56" s="446" t="e">
        <f>#REF!</f>
        <v>#REF!</v>
      </c>
      <c r="AM56">
        <f t="shared" si="10"/>
        <v>120</v>
      </c>
      <c r="AN56">
        <f t="shared" si="11"/>
        <v>0</v>
      </c>
      <c r="AO56" s="29">
        <f t="shared" si="12"/>
        <v>30</v>
      </c>
      <c r="AP56" s="1">
        <f t="shared" si="13"/>
        <v>0</v>
      </c>
      <c r="AU56" s="161" t="e">
        <f>#REF!</f>
        <v>#REF!</v>
      </c>
    </row>
    <row r="57" spans="1:47" ht="15.9">
      <c r="A57" s="1" t="s">
        <v>152</v>
      </c>
      <c r="B57" s="1" t="s">
        <v>59</v>
      </c>
      <c r="C57" s="291" t="s">
        <v>9</v>
      </c>
      <c r="D57" s="466" t="e">
        <f>#REF!</f>
        <v>#REF!</v>
      </c>
      <c r="E57" s="204"/>
      <c r="F57" s="32">
        <v>6</v>
      </c>
      <c r="G57" s="36"/>
      <c r="H57" s="32"/>
      <c r="I57" s="36"/>
      <c r="J57" s="270"/>
      <c r="K57" s="231"/>
      <c r="L57" s="32"/>
      <c r="M57" s="32">
        <v>8</v>
      </c>
      <c r="N57" s="32" t="s">
        <v>301</v>
      </c>
      <c r="O57" s="32"/>
      <c r="P57" s="36"/>
      <c r="Q57" s="36"/>
      <c r="R57" s="32">
        <v>3.5</v>
      </c>
      <c r="S57" s="32"/>
      <c r="T57" s="32"/>
      <c r="U57" s="32"/>
      <c r="V57" s="32"/>
      <c r="W57" s="36"/>
      <c r="X57" s="36"/>
      <c r="Y57" s="32"/>
      <c r="Z57" s="32"/>
      <c r="AA57" s="32" t="s">
        <v>75</v>
      </c>
      <c r="AB57" s="32" t="s">
        <v>75</v>
      </c>
      <c r="AC57" s="32" t="s">
        <v>75</v>
      </c>
      <c r="AD57" s="36" t="s">
        <v>66</v>
      </c>
      <c r="AE57" s="36" t="s">
        <v>66</v>
      </c>
      <c r="AF57" s="32" t="s">
        <v>75</v>
      </c>
      <c r="AG57" s="32" t="s">
        <v>75</v>
      </c>
      <c r="AH57" s="136" t="s">
        <v>75</v>
      </c>
      <c r="AI57" s="470"/>
      <c r="AJ57" s="440" t="e">
        <f>_xlfn.CONCAT(#REF!,#REF!)</f>
        <v>#REF!</v>
      </c>
      <c r="AK57" s="468" t="e">
        <f t="shared" si="9"/>
        <v>#REF!</v>
      </c>
      <c r="AL57" s="446" t="e">
        <f>#REF!</f>
        <v>#REF!</v>
      </c>
      <c r="AM57">
        <f t="shared" si="10"/>
        <v>24</v>
      </c>
      <c r="AN57">
        <f t="shared" si="11"/>
        <v>0</v>
      </c>
      <c r="AO57" s="29">
        <f t="shared" si="12"/>
        <v>65.5</v>
      </c>
      <c r="AP57" s="1">
        <f t="shared" si="13"/>
        <v>0</v>
      </c>
      <c r="AU57" s="161" t="e">
        <f>#REF!</f>
        <v>#REF!</v>
      </c>
    </row>
    <row r="58" spans="1:47" ht="15.9">
      <c r="A58" s="1" t="s">
        <v>157</v>
      </c>
      <c r="B58" s="1" t="s">
        <v>59</v>
      </c>
      <c r="C58" s="292" t="s">
        <v>10</v>
      </c>
      <c r="D58" s="466" t="e">
        <f>#REF!</f>
        <v>#REF!</v>
      </c>
      <c r="E58" s="204" t="s">
        <v>83</v>
      </c>
      <c r="F58" s="32" t="s">
        <v>83</v>
      </c>
      <c r="G58" s="36" t="s">
        <v>66</v>
      </c>
      <c r="H58" s="32" t="s">
        <v>83</v>
      </c>
      <c r="I58" s="36"/>
      <c r="J58" s="270"/>
      <c r="K58" s="231"/>
      <c r="L58" s="32">
        <v>6</v>
      </c>
      <c r="M58" s="32">
        <v>5</v>
      </c>
      <c r="N58" s="32">
        <v>5</v>
      </c>
      <c r="O58" s="32"/>
      <c r="P58" s="36"/>
      <c r="Q58" s="36"/>
      <c r="R58" s="32">
        <v>16</v>
      </c>
      <c r="S58" s="32" t="s">
        <v>95</v>
      </c>
      <c r="T58" s="32" t="s">
        <v>95</v>
      </c>
      <c r="U58" s="32" t="s">
        <v>95</v>
      </c>
      <c r="V58" s="32">
        <v>10</v>
      </c>
      <c r="W58" s="36"/>
      <c r="X58" s="36"/>
      <c r="Y58" s="32"/>
      <c r="Z58" s="32"/>
      <c r="AA58" s="32"/>
      <c r="AB58" s="32"/>
      <c r="AC58" s="32"/>
      <c r="AD58" s="36"/>
      <c r="AE58" s="36"/>
      <c r="AF58" s="32"/>
      <c r="AG58" s="32"/>
      <c r="AH58" s="136"/>
      <c r="AI58" s="470"/>
      <c r="AJ58" s="440" t="e">
        <f>_xlfn.CONCAT(#REF!,#REF!)</f>
        <v>#REF!</v>
      </c>
      <c r="AK58" s="468" t="e">
        <f t="shared" si="9"/>
        <v>#REF!</v>
      </c>
      <c r="AL58" s="446" t="e">
        <f>#REF!</f>
        <v>#REF!</v>
      </c>
      <c r="AM58">
        <f t="shared" si="10"/>
        <v>0</v>
      </c>
      <c r="AN58">
        <f t="shared" si="11"/>
        <v>72</v>
      </c>
      <c r="AO58" s="29">
        <f t="shared" si="12"/>
        <v>66</v>
      </c>
      <c r="AP58" s="1">
        <f t="shared" si="13"/>
        <v>0</v>
      </c>
      <c r="AU58" s="161" t="e">
        <f>#REF!</f>
        <v>#REF!</v>
      </c>
    </row>
    <row r="59" spans="1:47" ht="15.9">
      <c r="A59" s="1" t="s">
        <v>58</v>
      </c>
      <c r="B59" s="1" t="s">
        <v>59</v>
      </c>
      <c r="C59" s="290" t="s">
        <v>11</v>
      </c>
      <c r="D59" s="466" t="e">
        <f>#REF!</f>
        <v>#REF!</v>
      </c>
      <c r="E59" s="204" t="s">
        <v>75</v>
      </c>
      <c r="F59" s="32" t="s">
        <v>75</v>
      </c>
      <c r="G59" s="36"/>
      <c r="H59" s="32" t="s">
        <v>75</v>
      </c>
      <c r="I59" s="36"/>
      <c r="J59" s="270"/>
      <c r="K59" s="231">
        <v>6</v>
      </c>
      <c r="L59" s="32" t="s">
        <v>95</v>
      </c>
      <c r="M59" s="32" t="s">
        <v>95</v>
      </c>
      <c r="N59" s="32" t="s">
        <v>95</v>
      </c>
      <c r="O59" s="32" t="s">
        <v>95</v>
      </c>
      <c r="P59" s="36" t="s">
        <v>95</v>
      </c>
      <c r="Q59" s="36" t="s">
        <v>95</v>
      </c>
      <c r="R59" s="32">
        <v>15</v>
      </c>
      <c r="S59" s="32">
        <v>7</v>
      </c>
      <c r="T59" s="32"/>
      <c r="U59" s="32"/>
      <c r="V59" s="32"/>
      <c r="W59" s="36"/>
      <c r="X59" s="36"/>
      <c r="Y59" s="32">
        <v>3</v>
      </c>
      <c r="Z59" s="32"/>
      <c r="AA59" s="32"/>
      <c r="AB59" s="32"/>
      <c r="AC59" s="32"/>
      <c r="AD59" s="36"/>
      <c r="AE59" s="36"/>
      <c r="AF59" s="32"/>
      <c r="AG59" s="32"/>
      <c r="AH59" s="136"/>
      <c r="AI59" s="470"/>
      <c r="AJ59" s="440" t="e">
        <f>_xlfn.CONCAT(#REF!,#REF!)</f>
        <v>#REF!</v>
      </c>
      <c r="AK59" s="468" t="e">
        <f t="shared" si="9"/>
        <v>#REF!</v>
      </c>
      <c r="AL59" s="446" t="e">
        <f>#REF!</f>
        <v>#REF!</v>
      </c>
      <c r="AM59">
        <f t="shared" si="10"/>
        <v>0</v>
      </c>
      <c r="AN59">
        <f t="shared" si="11"/>
        <v>144</v>
      </c>
      <c r="AO59" s="29">
        <f t="shared" si="12"/>
        <v>55</v>
      </c>
      <c r="AP59" s="1">
        <f t="shared" si="13"/>
        <v>0</v>
      </c>
      <c r="AU59" s="161" t="e">
        <f>#REF!</f>
        <v>#REF!</v>
      </c>
    </row>
    <row r="60" spans="1:47" ht="15.9">
      <c r="A60" s="1" t="s">
        <v>152</v>
      </c>
      <c r="B60" s="1" t="s">
        <v>64</v>
      </c>
      <c r="C60" s="291" t="s">
        <v>12</v>
      </c>
      <c r="D60" s="466" t="e">
        <f>#REF!</f>
        <v>#REF!</v>
      </c>
      <c r="E60" s="299"/>
      <c r="F60" s="37"/>
      <c r="G60" s="207"/>
      <c r="H60" s="37">
        <v>17</v>
      </c>
      <c r="I60" s="207" t="s">
        <v>70</v>
      </c>
      <c r="J60" s="271" t="s">
        <v>70</v>
      </c>
      <c r="K60" s="231" t="s">
        <v>70</v>
      </c>
      <c r="L60" s="32">
        <v>15</v>
      </c>
      <c r="M60" s="32"/>
      <c r="N60" s="32"/>
      <c r="O60" s="32">
        <v>8</v>
      </c>
      <c r="P60" s="36"/>
      <c r="Q60" s="36"/>
      <c r="R60" s="32"/>
      <c r="S60" s="32"/>
      <c r="T60" s="32"/>
      <c r="U60" s="32"/>
      <c r="V60" s="32">
        <v>8</v>
      </c>
      <c r="W60" s="36"/>
      <c r="X60" s="36"/>
      <c r="Y60" s="32"/>
      <c r="Z60" s="32"/>
      <c r="AA60" s="32"/>
      <c r="AB60" s="32"/>
      <c r="AC60" s="32"/>
      <c r="AD60" s="36"/>
      <c r="AE60" s="36"/>
      <c r="AF60" s="32"/>
      <c r="AG60" s="32"/>
      <c r="AH60" s="136"/>
      <c r="AI60" s="470"/>
      <c r="AJ60" s="440" t="e">
        <f>_xlfn.CONCAT(#REF!,#REF!)</f>
        <v>#REF!</v>
      </c>
      <c r="AK60" s="468" t="e">
        <f t="shared" si="9"/>
        <v>#REF!</v>
      </c>
      <c r="AL60" s="446" t="e">
        <f>#REF!</f>
        <v>#REF!</v>
      </c>
      <c r="AM60">
        <f t="shared" si="10"/>
        <v>0</v>
      </c>
      <c r="AN60">
        <f t="shared" si="11"/>
        <v>72</v>
      </c>
      <c r="AO60" s="29">
        <f t="shared" si="12"/>
        <v>48</v>
      </c>
      <c r="AP60" s="1">
        <f t="shared" si="13"/>
        <v>0</v>
      </c>
      <c r="AU60" s="161" t="e">
        <f>#REF!</f>
        <v>#REF!</v>
      </c>
    </row>
    <row r="61" spans="1:47" ht="15.9">
      <c r="A61" s="1" t="s">
        <v>152</v>
      </c>
      <c r="B61" s="1" t="s">
        <v>93</v>
      </c>
      <c r="C61" s="291" t="s">
        <v>13</v>
      </c>
      <c r="D61" s="466" t="e">
        <f>#REF!</f>
        <v>#REF!</v>
      </c>
      <c r="E61" s="707"/>
      <c r="F61" s="707"/>
      <c r="G61" s="707"/>
      <c r="H61" s="707"/>
      <c r="I61" s="707"/>
      <c r="J61" s="707"/>
      <c r="K61" s="219"/>
      <c r="L61" s="32"/>
      <c r="M61" s="32"/>
      <c r="N61" s="32">
        <v>8</v>
      </c>
      <c r="O61" s="32">
        <v>8</v>
      </c>
      <c r="P61" s="36"/>
      <c r="Q61" s="36"/>
      <c r="R61" s="32">
        <v>17</v>
      </c>
      <c r="S61" s="32" t="s">
        <v>98</v>
      </c>
      <c r="T61" s="32" t="s">
        <v>98</v>
      </c>
      <c r="U61" s="32">
        <v>6</v>
      </c>
      <c r="V61" s="32"/>
      <c r="W61" s="36"/>
      <c r="X61" s="36"/>
      <c r="Y61" s="32"/>
      <c r="Z61" s="32"/>
      <c r="AA61" s="32"/>
      <c r="AB61" s="32"/>
      <c r="AC61" s="32"/>
      <c r="AD61" s="36"/>
      <c r="AE61" s="36"/>
      <c r="AF61" s="32"/>
      <c r="AG61" s="32"/>
      <c r="AH61" s="136"/>
      <c r="AI61" s="470"/>
      <c r="AJ61" s="440" t="e">
        <f>_xlfn.CONCAT(#REF!,#REF!)</f>
        <v>#REF!</v>
      </c>
      <c r="AK61" s="471" t="e">
        <f t="shared" si="9"/>
        <v>#REF!</v>
      </c>
      <c r="AL61" s="446" t="e">
        <f>#REF!</f>
        <v>#REF!</v>
      </c>
      <c r="AM61">
        <f t="shared" si="10"/>
        <v>0</v>
      </c>
      <c r="AN61">
        <f t="shared" si="11"/>
        <v>48</v>
      </c>
      <c r="AO61" s="29">
        <f t="shared" si="12"/>
        <v>39</v>
      </c>
      <c r="AP61" s="1">
        <f t="shared" si="13"/>
        <v>0</v>
      </c>
      <c r="AQ61" s="392">
        <v>25</v>
      </c>
      <c r="AU61" s="161" t="e">
        <f>#REF!</f>
        <v>#REF!</v>
      </c>
    </row>
    <row r="62" spans="1:47" ht="15.9">
      <c r="A62" s="1" t="s">
        <v>152</v>
      </c>
      <c r="B62" s="1" t="s">
        <v>73</v>
      </c>
      <c r="C62" s="291" t="s">
        <v>14</v>
      </c>
      <c r="D62" s="466" t="e">
        <f>#REF!</f>
        <v>#REF!</v>
      </c>
      <c r="E62" s="302">
        <v>8</v>
      </c>
      <c r="F62" s="41"/>
      <c r="G62" s="208"/>
      <c r="H62" s="41"/>
      <c r="I62" s="208"/>
      <c r="J62" s="472"/>
      <c r="K62" s="231" t="s">
        <v>301</v>
      </c>
      <c r="L62" s="32"/>
      <c r="M62" s="32"/>
      <c r="N62" s="32" t="s">
        <v>103</v>
      </c>
      <c r="O62" s="32"/>
      <c r="P62" s="36"/>
      <c r="Q62" s="36"/>
      <c r="R62" s="32">
        <v>6.5</v>
      </c>
      <c r="S62" s="32">
        <v>8</v>
      </c>
      <c r="T62" s="32">
        <v>8</v>
      </c>
      <c r="U62" s="32"/>
      <c r="V62" s="32" t="s">
        <v>301</v>
      </c>
      <c r="W62" s="36"/>
      <c r="X62" s="36"/>
      <c r="Y62" s="32">
        <v>7</v>
      </c>
      <c r="Z62" s="32">
        <v>8</v>
      </c>
      <c r="AA62" s="32" t="s">
        <v>66</v>
      </c>
      <c r="AB62" s="32" t="s">
        <v>66</v>
      </c>
      <c r="AC62" s="32" t="s">
        <v>66</v>
      </c>
      <c r="AD62" s="36" t="s">
        <v>66</v>
      </c>
      <c r="AE62" s="36" t="s">
        <v>66</v>
      </c>
      <c r="AF62" s="32" t="s">
        <v>303</v>
      </c>
      <c r="AG62" s="32" t="s">
        <v>66</v>
      </c>
      <c r="AH62" s="136" t="s">
        <v>66</v>
      </c>
      <c r="AI62" s="470"/>
      <c r="AJ62" s="440" t="e">
        <f>_xlfn.CONCAT(#REF!,#REF!)</f>
        <v>#REF!</v>
      </c>
      <c r="AK62" s="468" t="e">
        <f t="shared" si="9"/>
        <v>#REF!</v>
      </c>
      <c r="AL62" s="446" t="e">
        <f>#REF!</f>
        <v>#REF!</v>
      </c>
      <c r="AM62">
        <f t="shared" si="10"/>
        <v>72</v>
      </c>
      <c r="AN62">
        <f t="shared" si="11"/>
        <v>0</v>
      </c>
      <c r="AO62" s="29">
        <f t="shared" si="12"/>
        <v>45.5</v>
      </c>
      <c r="AP62" s="1">
        <f t="shared" si="13"/>
        <v>0</v>
      </c>
      <c r="AU62" s="161" t="e">
        <f>#REF!</f>
        <v>#REF!</v>
      </c>
    </row>
    <row r="63" spans="1:47" ht="15.9">
      <c r="A63" s="1" t="s">
        <v>155</v>
      </c>
      <c r="B63" s="1" t="s">
        <v>64</v>
      </c>
      <c r="C63" s="290" t="s">
        <v>15</v>
      </c>
      <c r="D63" s="466" t="e">
        <f>#REF!</f>
        <v>#REF!</v>
      </c>
      <c r="E63" s="204" t="s">
        <v>75</v>
      </c>
      <c r="F63" s="32" t="s">
        <v>75</v>
      </c>
      <c r="G63" s="36" t="s">
        <v>66</v>
      </c>
      <c r="H63" s="32" t="s">
        <v>75</v>
      </c>
      <c r="I63" s="36"/>
      <c r="J63" s="270"/>
      <c r="K63" s="231"/>
      <c r="L63" s="32"/>
      <c r="M63" s="32"/>
      <c r="N63" s="32">
        <v>7</v>
      </c>
      <c r="O63" s="32"/>
      <c r="P63" s="36"/>
      <c r="Q63" s="36"/>
      <c r="R63" s="32"/>
      <c r="S63" s="32"/>
      <c r="T63" s="32"/>
      <c r="U63" s="32"/>
      <c r="V63" s="32"/>
      <c r="W63" s="36"/>
      <c r="X63" s="36"/>
      <c r="Y63" s="32"/>
      <c r="Z63" s="32">
        <v>16.5</v>
      </c>
      <c r="AA63" s="32" t="s">
        <v>95</v>
      </c>
      <c r="AB63" s="32" t="s">
        <v>95</v>
      </c>
      <c r="AC63" s="32" t="s">
        <v>95</v>
      </c>
      <c r="AD63" s="36" t="s">
        <v>95</v>
      </c>
      <c r="AE63" s="36" t="s">
        <v>95</v>
      </c>
      <c r="AF63" s="32" t="s">
        <v>95</v>
      </c>
      <c r="AG63" s="32" t="s">
        <v>92</v>
      </c>
      <c r="AH63" s="136"/>
      <c r="AI63" s="470"/>
      <c r="AJ63" s="440" t="e">
        <f>_xlfn.CONCAT(#REF!,#REF!)</f>
        <v>#REF!</v>
      </c>
      <c r="AK63" s="468" t="e">
        <f t="shared" si="9"/>
        <v>#REF!</v>
      </c>
      <c r="AL63" s="446" t="e">
        <f>#REF!</f>
        <v>#REF!</v>
      </c>
      <c r="AM63">
        <f t="shared" si="10"/>
        <v>0</v>
      </c>
      <c r="AN63">
        <f t="shared" si="11"/>
        <v>156</v>
      </c>
      <c r="AO63" s="29">
        <f t="shared" si="12"/>
        <v>47.5</v>
      </c>
      <c r="AP63" s="1">
        <f t="shared" si="13"/>
        <v>0</v>
      </c>
      <c r="AU63" s="161" t="e">
        <f>#REF!</f>
        <v>#REF!</v>
      </c>
    </row>
    <row r="64" spans="1:47" ht="15.9">
      <c r="A64" s="1" t="s">
        <v>67</v>
      </c>
      <c r="B64" s="1" t="s">
        <v>64</v>
      </c>
      <c r="C64" s="290" t="s">
        <v>16</v>
      </c>
      <c r="D64" s="466" t="e">
        <f>#REF!</f>
        <v>#REF!</v>
      </c>
      <c r="E64" s="204">
        <v>17</v>
      </c>
      <c r="F64" s="32" t="s">
        <v>95</v>
      </c>
      <c r="G64" s="36" t="s">
        <v>95</v>
      </c>
      <c r="H64" s="32" t="s">
        <v>95</v>
      </c>
      <c r="I64" s="36" t="s">
        <v>95</v>
      </c>
      <c r="J64" s="270" t="s">
        <v>95</v>
      </c>
      <c r="K64" s="231">
        <v>20</v>
      </c>
      <c r="L64" s="32"/>
      <c r="M64" s="32">
        <v>3</v>
      </c>
      <c r="N64" s="32" t="s">
        <v>113</v>
      </c>
      <c r="O64" s="32"/>
      <c r="P64" s="36"/>
      <c r="Q64" s="36"/>
      <c r="R64" s="32"/>
      <c r="S64" s="32"/>
      <c r="T64" s="32"/>
      <c r="U64" s="32"/>
      <c r="V64" s="32"/>
      <c r="W64" s="36"/>
      <c r="X64" s="36"/>
      <c r="Y64" s="32" t="s">
        <v>75</v>
      </c>
      <c r="Z64" s="32" t="s">
        <v>75</v>
      </c>
      <c r="AA64" s="32" t="s">
        <v>75</v>
      </c>
      <c r="AB64" s="32" t="s">
        <v>75</v>
      </c>
      <c r="AC64" s="32" t="s">
        <v>75</v>
      </c>
      <c r="AD64" s="36" t="s">
        <v>66</v>
      </c>
      <c r="AE64" s="36" t="s">
        <v>66</v>
      </c>
      <c r="AF64" s="32" t="s">
        <v>75</v>
      </c>
      <c r="AG64" s="32" t="s">
        <v>75</v>
      </c>
      <c r="AH64" s="136" t="s">
        <v>75</v>
      </c>
      <c r="AI64" s="470"/>
      <c r="AJ64" s="440" t="e">
        <f>_xlfn.CONCAT(#REF!,#REF!)</f>
        <v>#REF!</v>
      </c>
      <c r="AK64" s="468" t="e">
        <f t="shared" si="9"/>
        <v>#REF!</v>
      </c>
      <c r="AL64" s="446" t="e">
        <f>#REF!</f>
        <v>#REF!</v>
      </c>
      <c r="AM64">
        <f t="shared" si="10"/>
        <v>24</v>
      </c>
      <c r="AN64">
        <f t="shared" si="11"/>
        <v>120</v>
      </c>
      <c r="AO64" s="29">
        <f t="shared" si="12"/>
        <v>104</v>
      </c>
      <c r="AP64" s="1">
        <f t="shared" si="13"/>
        <v>0</v>
      </c>
      <c r="AU64" s="161" t="e">
        <f>#REF!</f>
        <v>#REF!</v>
      </c>
    </row>
    <row r="65" spans="1:47" ht="15.9">
      <c r="A65" s="1" t="s">
        <v>155</v>
      </c>
      <c r="B65" s="1" t="s">
        <v>93</v>
      </c>
      <c r="C65" s="290" t="s">
        <v>17</v>
      </c>
      <c r="D65" s="466" t="e">
        <f>#REF!</f>
        <v>#REF!</v>
      </c>
      <c r="E65" s="204"/>
      <c r="F65" s="32"/>
      <c r="G65" s="36"/>
      <c r="H65" s="32"/>
      <c r="I65" s="36"/>
      <c r="J65" s="270"/>
      <c r="K65" s="231"/>
      <c r="L65" s="32"/>
      <c r="M65" s="32">
        <v>8</v>
      </c>
      <c r="N65" s="32"/>
      <c r="O65" s="32"/>
      <c r="P65" s="36"/>
      <c r="Q65" s="36"/>
      <c r="R65" s="32"/>
      <c r="S65" s="32"/>
      <c r="T65" s="32" t="s">
        <v>301</v>
      </c>
      <c r="U65" s="32"/>
      <c r="V65" s="32"/>
      <c r="W65" s="36"/>
      <c r="X65" s="36"/>
      <c r="Y65" s="32"/>
      <c r="Z65" s="32">
        <v>17</v>
      </c>
      <c r="AA65" s="32" t="s">
        <v>95</v>
      </c>
      <c r="AB65" s="32" t="s">
        <v>95</v>
      </c>
      <c r="AC65" s="32" t="s">
        <v>95</v>
      </c>
      <c r="AD65" s="36" t="s">
        <v>95</v>
      </c>
      <c r="AE65" s="36" t="s">
        <v>95</v>
      </c>
      <c r="AF65" s="32" t="s">
        <v>95</v>
      </c>
      <c r="AG65" s="32" t="s">
        <v>92</v>
      </c>
      <c r="AH65" s="136"/>
      <c r="AI65" s="470"/>
      <c r="AJ65" s="440" t="e">
        <f>_xlfn.CONCAT(#REF!,#REF!)</f>
        <v>#REF!</v>
      </c>
      <c r="AK65" s="468" t="e">
        <f t="shared" si="9"/>
        <v>#REF!</v>
      </c>
      <c r="AL65" s="446" t="e">
        <f>#REF!</f>
        <v>#REF!</v>
      </c>
      <c r="AM65">
        <f t="shared" si="10"/>
        <v>24</v>
      </c>
      <c r="AN65">
        <f t="shared" si="11"/>
        <v>156</v>
      </c>
      <c r="AO65" s="29">
        <f t="shared" si="12"/>
        <v>25</v>
      </c>
      <c r="AP65" s="1">
        <f t="shared" si="13"/>
        <v>0</v>
      </c>
      <c r="AU65" s="161" t="e">
        <f>#REF!</f>
        <v>#REF!</v>
      </c>
    </row>
    <row r="66" spans="1:47" ht="15.9">
      <c r="A66" s="1" t="s">
        <v>155</v>
      </c>
      <c r="B66" s="1" t="s">
        <v>64</v>
      </c>
      <c r="C66" s="292" t="s">
        <v>18</v>
      </c>
      <c r="D66" s="466" t="e">
        <f>#REF!</f>
        <v>#REF!</v>
      </c>
      <c r="E66" s="204" t="s">
        <v>169</v>
      </c>
      <c r="F66" s="204" t="s">
        <v>169</v>
      </c>
      <c r="G66" s="204" t="s">
        <v>169</v>
      </c>
      <c r="H66" s="204" t="s">
        <v>169</v>
      </c>
      <c r="I66" s="204" t="s">
        <v>169</v>
      </c>
      <c r="J66" s="204" t="s">
        <v>169</v>
      </c>
      <c r="K66" s="204" t="s">
        <v>169</v>
      </c>
      <c r="L66" s="204" t="s">
        <v>169</v>
      </c>
      <c r="M66" s="204" t="s">
        <v>169</v>
      </c>
      <c r="N66" s="204" t="s">
        <v>169</v>
      </c>
      <c r="O66" s="204" t="s">
        <v>169</v>
      </c>
      <c r="P66" s="204" t="s">
        <v>169</v>
      </c>
      <c r="Q66" s="204" t="s">
        <v>169</v>
      </c>
      <c r="R66" s="204" t="s">
        <v>169</v>
      </c>
      <c r="S66" s="204" t="s">
        <v>169</v>
      </c>
      <c r="T66" s="204" t="s">
        <v>169</v>
      </c>
      <c r="U66" s="204" t="s">
        <v>169</v>
      </c>
      <c r="V66" s="204" t="s">
        <v>169</v>
      </c>
      <c r="W66" s="204" t="s">
        <v>169</v>
      </c>
      <c r="X66" s="204" t="s">
        <v>169</v>
      </c>
      <c r="Y66" s="204" t="s">
        <v>169</v>
      </c>
      <c r="Z66" s="204" t="s">
        <v>169</v>
      </c>
      <c r="AA66" s="204" t="s">
        <v>169</v>
      </c>
      <c r="AB66" s="204" t="s">
        <v>169</v>
      </c>
      <c r="AC66" s="204" t="s">
        <v>169</v>
      </c>
      <c r="AD66" s="204" t="s">
        <v>169</v>
      </c>
      <c r="AE66" s="204" t="s">
        <v>169</v>
      </c>
      <c r="AF66" s="204" t="s">
        <v>169</v>
      </c>
      <c r="AG66" s="204" t="s">
        <v>169</v>
      </c>
      <c r="AH66" s="204" t="s">
        <v>169</v>
      </c>
      <c r="AI66" s="470"/>
      <c r="AJ66" s="440" t="e">
        <f>_xlfn.CONCAT(#REF!,#REF!)</f>
        <v>#REF!</v>
      </c>
      <c r="AK66" s="468">
        <v>0</v>
      </c>
      <c r="AL66" s="446" t="e">
        <f>#REF!</f>
        <v>#REF!</v>
      </c>
      <c r="AM66">
        <f t="shared" si="10"/>
        <v>0</v>
      </c>
      <c r="AN66">
        <f t="shared" si="11"/>
        <v>0</v>
      </c>
      <c r="AO66" s="29">
        <f t="shared" si="12"/>
        <v>0</v>
      </c>
      <c r="AP66" s="1">
        <f t="shared" si="13"/>
        <v>0</v>
      </c>
      <c r="AU66" s="161" t="e">
        <f>#REF!</f>
        <v>#REF!</v>
      </c>
    </row>
    <row r="67" spans="1:47" ht="15.9">
      <c r="A67" s="1" t="s">
        <v>157</v>
      </c>
      <c r="B67" s="1" t="s">
        <v>59</v>
      </c>
      <c r="C67" s="291" t="s">
        <v>19</v>
      </c>
      <c r="D67" s="466" t="e">
        <f>#REF!</f>
        <v>#REF!</v>
      </c>
      <c r="E67" s="204">
        <v>8</v>
      </c>
      <c r="F67" s="32"/>
      <c r="G67" s="36"/>
      <c r="H67" s="32"/>
      <c r="I67" s="36"/>
      <c r="J67" s="270"/>
      <c r="K67" s="231">
        <v>6</v>
      </c>
      <c r="L67" s="32"/>
      <c r="M67" s="32">
        <v>8</v>
      </c>
      <c r="N67" s="32">
        <v>8</v>
      </c>
      <c r="O67" s="32">
        <v>6</v>
      </c>
      <c r="P67" s="36" t="s">
        <v>301</v>
      </c>
      <c r="Q67" s="36"/>
      <c r="R67" s="32">
        <v>8</v>
      </c>
      <c r="S67" s="32"/>
      <c r="T67" s="32"/>
      <c r="U67" s="32"/>
      <c r="V67" s="32"/>
      <c r="W67" s="36"/>
      <c r="X67" s="36"/>
      <c r="Y67" s="32"/>
      <c r="Z67" s="32"/>
      <c r="AA67" s="32"/>
      <c r="AB67" s="32"/>
      <c r="AC67" s="32" t="s">
        <v>69</v>
      </c>
      <c r="AD67" s="36" t="s">
        <v>70</v>
      </c>
      <c r="AE67" s="36" t="s">
        <v>70</v>
      </c>
      <c r="AF67" s="32" t="s">
        <v>69</v>
      </c>
      <c r="AG67" s="32"/>
      <c r="AH67" s="136"/>
      <c r="AI67" s="470"/>
      <c r="AJ67" s="440" t="e">
        <f>_xlfn.CONCAT(#REF!,#REF!)</f>
        <v>#REF!</v>
      </c>
      <c r="AK67" s="468" t="e">
        <f t="shared" ref="AK67:AK101" si="14">D67+AM67+AN67+AO67-$AK$50+AP67+AQ67</f>
        <v>#REF!</v>
      </c>
      <c r="AL67" s="446" t="e">
        <f>#REF!</f>
        <v>#REF!</v>
      </c>
      <c r="AM67">
        <f t="shared" si="10"/>
        <v>24</v>
      </c>
      <c r="AN67">
        <f t="shared" si="11"/>
        <v>72</v>
      </c>
      <c r="AO67" s="29">
        <f t="shared" si="12"/>
        <v>44</v>
      </c>
      <c r="AP67" s="1">
        <f t="shared" si="13"/>
        <v>0</v>
      </c>
      <c r="AU67" s="161" t="e">
        <f>#REF!</f>
        <v>#REF!</v>
      </c>
    </row>
    <row r="68" spans="1:47" ht="15.9">
      <c r="A68" s="1" t="s">
        <v>152</v>
      </c>
      <c r="B68" s="1" t="s">
        <v>64</v>
      </c>
      <c r="C68" s="291" t="s">
        <v>20</v>
      </c>
      <c r="D68" s="466" t="e">
        <f>#REF!</f>
        <v>#REF!</v>
      </c>
      <c r="E68" s="204"/>
      <c r="F68" s="32" t="s">
        <v>75</v>
      </c>
      <c r="G68" s="36" t="s">
        <v>66</v>
      </c>
      <c r="H68" s="32" t="s">
        <v>75</v>
      </c>
      <c r="I68" s="36" t="s">
        <v>66</v>
      </c>
      <c r="J68" s="270" t="s">
        <v>66</v>
      </c>
      <c r="K68" s="231" t="s">
        <v>75</v>
      </c>
      <c r="L68" s="32" t="s">
        <v>75</v>
      </c>
      <c r="M68" s="32" t="s">
        <v>75</v>
      </c>
      <c r="N68" s="32" t="s">
        <v>75</v>
      </c>
      <c r="O68" s="32" t="s">
        <v>75</v>
      </c>
      <c r="P68" s="36" t="s">
        <v>66</v>
      </c>
      <c r="Q68" s="36" t="s">
        <v>66</v>
      </c>
      <c r="R68" s="32" t="s">
        <v>75</v>
      </c>
      <c r="S68" s="32" t="s">
        <v>75</v>
      </c>
      <c r="T68" s="32" t="s">
        <v>75</v>
      </c>
      <c r="U68" s="32" t="s">
        <v>75</v>
      </c>
      <c r="V68" s="32" t="s">
        <v>75</v>
      </c>
      <c r="W68" s="36"/>
      <c r="X68" s="36"/>
      <c r="Y68" s="32"/>
      <c r="Z68" s="32" t="s">
        <v>301</v>
      </c>
      <c r="AA68" s="32"/>
      <c r="AB68" s="32"/>
      <c r="AC68" s="32" t="s">
        <v>301</v>
      </c>
      <c r="AD68" s="36"/>
      <c r="AE68" s="36"/>
      <c r="AF68" s="32" t="s">
        <v>103</v>
      </c>
      <c r="AG68" s="32" t="s">
        <v>103</v>
      </c>
      <c r="AH68" s="136">
        <v>16</v>
      </c>
      <c r="AI68" s="470" t="s">
        <v>328</v>
      </c>
      <c r="AJ68" s="440" t="e">
        <f>_xlfn.CONCAT(#REF!,#REF!)</f>
        <v>#REF!</v>
      </c>
      <c r="AK68" s="468" t="e">
        <f t="shared" si="14"/>
        <v>#REF!</v>
      </c>
      <c r="AL68" s="446" t="e">
        <f>#REF!</f>
        <v>#REF!</v>
      </c>
      <c r="AM68">
        <f t="shared" si="10"/>
        <v>48</v>
      </c>
      <c r="AN68">
        <f t="shared" si="11"/>
        <v>0</v>
      </c>
      <c r="AO68" s="29">
        <f t="shared" si="12"/>
        <v>112</v>
      </c>
      <c r="AP68" s="1">
        <f t="shared" si="13"/>
        <v>0</v>
      </c>
      <c r="AU68" s="161" t="e">
        <f>#REF!</f>
        <v>#REF!</v>
      </c>
    </row>
    <row r="69" spans="1:47" ht="15.9">
      <c r="A69" s="1" t="s">
        <v>152</v>
      </c>
      <c r="B69" s="1" t="s">
        <v>64</v>
      </c>
      <c r="C69" s="291" t="s">
        <v>21</v>
      </c>
      <c r="D69" s="466" t="e">
        <f>#REF!</f>
        <v>#REF!</v>
      </c>
      <c r="E69" s="204" t="s">
        <v>83</v>
      </c>
      <c r="F69" s="32" t="s">
        <v>83</v>
      </c>
      <c r="G69" s="36" t="s">
        <v>66</v>
      </c>
      <c r="H69" s="32" t="s">
        <v>83</v>
      </c>
      <c r="I69" s="36" t="s">
        <v>66</v>
      </c>
      <c r="J69" s="270" t="s">
        <v>66</v>
      </c>
      <c r="K69" s="231" t="s">
        <v>83</v>
      </c>
      <c r="L69" s="32" t="s">
        <v>83</v>
      </c>
      <c r="M69" s="32" t="s">
        <v>83</v>
      </c>
      <c r="N69" s="32" t="s">
        <v>83</v>
      </c>
      <c r="O69" s="32" t="s">
        <v>83</v>
      </c>
      <c r="P69" s="36" t="s">
        <v>66</v>
      </c>
      <c r="Q69" s="36" t="s">
        <v>66</v>
      </c>
      <c r="R69" s="32" t="s">
        <v>83</v>
      </c>
      <c r="S69" s="32" t="s">
        <v>83</v>
      </c>
      <c r="T69" s="32" t="s">
        <v>83</v>
      </c>
      <c r="U69" s="32"/>
      <c r="V69" s="32"/>
      <c r="W69" s="36"/>
      <c r="X69" s="36" t="s">
        <v>113</v>
      </c>
      <c r="Y69" s="32"/>
      <c r="Z69" s="32"/>
      <c r="AA69" s="32"/>
      <c r="AB69" s="32"/>
      <c r="AC69" s="32"/>
      <c r="AD69" s="36"/>
      <c r="AE69" s="36"/>
      <c r="AF69" s="32" t="s">
        <v>103</v>
      </c>
      <c r="AG69" s="32" t="s">
        <v>103</v>
      </c>
      <c r="AH69" s="136" t="s">
        <v>103</v>
      </c>
      <c r="AI69" s="470"/>
      <c r="AJ69" s="440" t="e">
        <f>_xlfn.CONCAT(#REF!,#REF!)</f>
        <v>#REF!</v>
      </c>
      <c r="AK69" s="468" t="e">
        <f t="shared" si="14"/>
        <v>#REF!</v>
      </c>
      <c r="AL69" s="446" t="e">
        <f>#REF!</f>
        <v>#REF!</v>
      </c>
      <c r="AM69">
        <f t="shared" si="10"/>
        <v>24</v>
      </c>
      <c r="AN69">
        <f t="shared" si="11"/>
        <v>0</v>
      </c>
      <c r="AO69" s="29">
        <f t="shared" si="12"/>
        <v>88</v>
      </c>
      <c r="AP69" s="1">
        <f t="shared" si="13"/>
        <v>0</v>
      </c>
      <c r="AU69" s="161" t="e">
        <f>#REF!</f>
        <v>#REF!</v>
      </c>
    </row>
    <row r="70" spans="1:47" ht="15.9">
      <c r="A70" s="1" t="s">
        <v>155</v>
      </c>
      <c r="B70" s="1" t="s">
        <v>59</v>
      </c>
      <c r="C70" s="290" t="s">
        <v>22</v>
      </c>
      <c r="D70" s="466" t="e">
        <f>#REF!</f>
        <v>#REF!</v>
      </c>
      <c r="E70" s="204" t="s">
        <v>294</v>
      </c>
      <c r="F70" s="32"/>
      <c r="G70" s="36"/>
      <c r="H70" s="32">
        <v>16</v>
      </c>
      <c r="I70" s="36" t="s">
        <v>154</v>
      </c>
      <c r="J70" s="270" t="s">
        <v>154</v>
      </c>
      <c r="K70" s="231">
        <v>20</v>
      </c>
      <c r="L70" s="32"/>
      <c r="M70" s="32"/>
      <c r="N70" s="32"/>
      <c r="O70" s="32">
        <v>8</v>
      </c>
      <c r="P70" s="36"/>
      <c r="Q70" s="36"/>
      <c r="R70" s="32"/>
      <c r="S70" s="32"/>
      <c r="T70" s="32"/>
      <c r="U70" s="32"/>
      <c r="V70" s="32"/>
      <c r="W70" s="36"/>
      <c r="X70" s="36"/>
      <c r="Y70" s="32"/>
      <c r="Z70" s="32"/>
      <c r="AA70" s="32"/>
      <c r="AB70" s="32"/>
      <c r="AC70" s="32"/>
      <c r="AD70" s="36"/>
      <c r="AE70" s="36"/>
      <c r="AF70" s="32"/>
      <c r="AG70" s="32" t="s">
        <v>92</v>
      </c>
      <c r="AH70" s="136" t="s">
        <v>95</v>
      </c>
      <c r="AI70" s="470"/>
      <c r="AJ70" s="440" t="e">
        <f>_xlfn.CONCAT(#REF!,#REF!)</f>
        <v>#REF!</v>
      </c>
      <c r="AK70" s="468" t="e">
        <f t="shared" si="14"/>
        <v>#REF!</v>
      </c>
      <c r="AL70" s="446" t="e">
        <f>#REF!</f>
        <v>#REF!</v>
      </c>
      <c r="AM70">
        <f t="shared" si="10"/>
        <v>0</v>
      </c>
      <c r="AN70">
        <f t="shared" si="11"/>
        <v>84</v>
      </c>
      <c r="AO70" s="29">
        <f t="shared" si="12"/>
        <v>52</v>
      </c>
      <c r="AP70" s="1">
        <f t="shared" si="13"/>
        <v>0</v>
      </c>
      <c r="AU70" s="161" t="e">
        <f>#REF!</f>
        <v>#REF!</v>
      </c>
    </row>
    <row r="71" spans="1:47" ht="15.9">
      <c r="A71" s="1" t="s">
        <v>155</v>
      </c>
      <c r="B71" s="1" t="s">
        <v>59</v>
      </c>
      <c r="C71" s="290" t="s">
        <v>23</v>
      </c>
      <c r="D71" s="466" t="e">
        <f>#REF!</f>
        <v>#REF!</v>
      </c>
      <c r="E71" s="204"/>
      <c r="F71" s="32"/>
      <c r="G71" s="36"/>
      <c r="H71" s="32"/>
      <c r="I71" s="36"/>
      <c r="J71" s="270"/>
      <c r="K71" s="231"/>
      <c r="L71" s="32" t="s">
        <v>113</v>
      </c>
      <c r="M71" s="32"/>
      <c r="N71" s="32"/>
      <c r="O71" s="32"/>
      <c r="P71" s="36"/>
      <c r="Q71" s="36" t="s">
        <v>113</v>
      </c>
      <c r="R71" s="32"/>
      <c r="S71" s="32"/>
      <c r="T71" s="32"/>
      <c r="U71" s="32"/>
      <c r="V71" s="32"/>
      <c r="W71" s="36"/>
      <c r="X71" s="36"/>
      <c r="Y71" s="32"/>
      <c r="Z71" s="32">
        <v>15</v>
      </c>
      <c r="AA71" s="32" t="s">
        <v>95</v>
      </c>
      <c r="AB71" s="32" t="s">
        <v>95</v>
      </c>
      <c r="AC71" s="32" t="s">
        <v>95</v>
      </c>
      <c r="AD71" s="36" t="s">
        <v>95</v>
      </c>
      <c r="AE71" s="36" t="s">
        <v>95</v>
      </c>
      <c r="AF71" s="32" t="s">
        <v>95</v>
      </c>
      <c r="AG71" s="32" t="s">
        <v>92</v>
      </c>
      <c r="AH71" s="136"/>
      <c r="AI71" s="470"/>
      <c r="AJ71" s="440" t="e">
        <f>_xlfn.CONCAT(#REF!,#REF!)</f>
        <v>#REF!</v>
      </c>
      <c r="AK71" s="468" t="e">
        <f t="shared" si="14"/>
        <v>#REF!</v>
      </c>
      <c r="AL71" s="446" t="e">
        <f>#REF!</f>
        <v>#REF!</v>
      </c>
      <c r="AM71">
        <f t="shared" si="10"/>
        <v>48</v>
      </c>
      <c r="AN71">
        <f t="shared" si="11"/>
        <v>156</v>
      </c>
      <c r="AO71" s="29">
        <f t="shared" si="12"/>
        <v>15</v>
      </c>
      <c r="AP71" s="1">
        <f t="shared" si="13"/>
        <v>0</v>
      </c>
      <c r="AU71" s="161" t="e">
        <f>#REF!</f>
        <v>#REF!</v>
      </c>
    </row>
    <row r="72" spans="1:47" ht="15.9">
      <c r="A72" s="1" t="s">
        <v>155</v>
      </c>
      <c r="B72" s="1" t="s">
        <v>64</v>
      </c>
      <c r="C72" s="290" t="s">
        <v>24</v>
      </c>
      <c r="D72" s="466" t="e">
        <f>#REF!</f>
        <v>#REF!</v>
      </c>
      <c r="E72" s="204">
        <v>15</v>
      </c>
      <c r="F72" s="32"/>
      <c r="G72" s="36"/>
      <c r="H72" s="32"/>
      <c r="I72" s="36"/>
      <c r="J72" s="270"/>
      <c r="K72" s="231">
        <v>7</v>
      </c>
      <c r="L72" s="32" t="s">
        <v>95</v>
      </c>
      <c r="M72" s="32" t="s">
        <v>95</v>
      </c>
      <c r="N72" s="32" t="s">
        <v>95</v>
      </c>
      <c r="O72" s="32" t="s">
        <v>95</v>
      </c>
      <c r="P72" s="36" t="s">
        <v>95</v>
      </c>
      <c r="Q72" s="36" t="s">
        <v>95</v>
      </c>
      <c r="R72" s="32">
        <v>15</v>
      </c>
      <c r="S72" s="32"/>
      <c r="T72" s="32"/>
      <c r="U72" s="32"/>
      <c r="V72" s="32"/>
      <c r="W72" s="36"/>
      <c r="X72" s="36"/>
      <c r="Y72" s="32"/>
      <c r="Z72" s="32"/>
      <c r="AA72" s="32"/>
      <c r="AB72" s="32"/>
      <c r="AC72" s="32"/>
      <c r="AD72" s="36"/>
      <c r="AE72" s="36"/>
      <c r="AF72" s="32"/>
      <c r="AG72" s="32"/>
      <c r="AH72" s="136"/>
      <c r="AI72" s="470"/>
      <c r="AJ72" s="440" t="e">
        <f>_xlfn.CONCAT(#REF!,#REF!)</f>
        <v>#REF!</v>
      </c>
      <c r="AK72" s="468" t="e">
        <f t="shared" si="14"/>
        <v>#REF!</v>
      </c>
      <c r="AL72" s="446" t="e">
        <f>#REF!</f>
        <v>#REF!</v>
      </c>
      <c r="AM72">
        <f t="shared" si="10"/>
        <v>0</v>
      </c>
      <c r="AN72">
        <f t="shared" si="11"/>
        <v>144</v>
      </c>
      <c r="AO72" s="29">
        <f t="shared" si="12"/>
        <v>37</v>
      </c>
      <c r="AP72" s="1">
        <f t="shared" si="13"/>
        <v>0</v>
      </c>
      <c r="AU72" s="161" t="e">
        <f>#REF!</f>
        <v>#REF!</v>
      </c>
    </row>
    <row r="73" spans="1:47" ht="15.9">
      <c r="A73" s="1" t="s">
        <v>152</v>
      </c>
      <c r="B73" s="1" t="s">
        <v>73</v>
      </c>
      <c r="C73" s="291" t="s">
        <v>25</v>
      </c>
      <c r="D73" s="466" t="e">
        <f>#REF!</f>
        <v>#REF!</v>
      </c>
      <c r="E73" s="204"/>
      <c r="F73" s="32">
        <v>6</v>
      </c>
      <c r="G73" s="36" t="s">
        <v>301</v>
      </c>
      <c r="H73" s="32">
        <v>3</v>
      </c>
      <c r="I73" s="36"/>
      <c r="J73" s="270"/>
      <c r="K73" s="231"/>
      <c r="L73" s="32"/>
      <c r="M73" s="32"/>
      <c r="N73" s="32"/>
      <c r="O73" s="32"/>
      <c r="P73" s="36" t="s">
        <v>113</v>
      </c>
      <c r="Q73" s="36"/>
      <c r="R73" s="32">
        <v>17</v>
      </c>
      <c r="S73" s="32" t="s">
        <v>98</v>
      </c>
      <c r="T73" s="32" t="s">
        <v>98</v>
      </c>
      <c r="U73" s="32">
        <v>6</v>
      </c>
      <c r="V73" s="32"/>
      <c r="W73" s="36"/>
      <c r="X73" s="36"/>
      <c r="Y73" s="32"/>
      <c r="Z73" s="32"/>
      <c r="AA73" s="32"/>
      <c r="AB73" s="32"/>
      <c r="AC73" s="32"/>
      <c r="AD73" s="36"/>
      <c r="AE73" s="36"/>
      <c r="AF73" s="32"/>
      <c r="AG73" s="32"/>
      <c r="AH73" s="136"/>
      <c r="AI73" s="470"/>
      <c r="AJ73" s="440" t="e">
        <f>_xlfn.CONCAT(#REF!,#REF!)</f>
        <v>#REF!</v>
      </c>
      <c r="AK73" s="468" t="e">
        <f t="shared" si="14"/>
        <v>#REF!</v>
      </c>
      <c r="AL73" s="446" t="e">
        <f>#REF!</f>
        <v>#REF!</v>
      </c>
      <c r="AM73">
        <f t="shared" si="10"/>
        <v>48</v>
      </c>
      <c r="AN73">
        <f t="shared" si="11"/>
        <v>48</v>
      </c>
      <c r="AO73" s="29">
        <f t="shared" si="12"/>
        <v>32</v>
      </c>
      <c r="AP73" s="1">
        <f t="shared" si="13"/>
        <v>0</v>
      </c>
      <c r="AU73" s="161" t="e">
        <f>#REF!</f>
        <v>#REF!</v>
      </c>
    </row>
    <row r="74" spans="1:47" ht="15.9">
      <c r="A74" s="1" t="s">
        <v>155</v>
      </c>
      <c r="B74" s="1" t="s">
        <v>59</v>
      </c>
      <c r="C74" s="290" t="s">
        <v>26</v>
      </c>
      <c r="D74" s="466" t="e">
        <f>#REF!</f>
        <v>#REF!</v>
      </c>
      <c r="E74" s="204"/>
      <c r="F74" s="32"/>
      <c r="G74" s="36"/>
      <c r="H74" s="32"/>
      <c r="I74" s="36"/>
      <c r="J74" s="270"/>
      <c r="K74" s="231">
        <v>6</v>
      </c>
      <c r="L74" s="32" t="s">
        <v>95</v>
      </c>
      <c r="M74" s="32" t="s">
        <v>95</v>
      </c>
      <c r="N74" s="32" t="s">
        <v>95</v>
      </c>
      <c r="O74" s="32" t="s">
        <v>95</v>
      </c>
      <c r="P74" s="36" t="s">
        <v>95</v>
      </c>
      <c r="Q74" s="36" t="s">
        <v>95</v>
      </c>
      <c r="R74" s="32" t="s">
        <v>92</v>
      </c>
      <c r="S74" s="32"/>
      <c r="T74" s="32"/>
      <c r="U74" s="32"/>
      <c r="V74" s="32"/>
      <c r="W74" s="36"/>
      <c r="X74" s="36"/>
      <c r="Y74" s="32"/>
      <c r="Z74" s="32"/>
      <c r="AA74" s="32"/>
      <c r="AB74" s="32"/>
      <c r="AC74" s="32"/>
      <c r="AD74" s="36"/>
      <c r="AE74" s="36"/>
      <c r="AF74" s="32"/>
      <c r="AG74" s="32"/>
      <c r="AH74" s="136"/>
      <c r="AI74" s="470"/>
      <c r="AJ74" s="440" t="e">
        <f>_xlfn.CONCAT(#REF!,#REF!)</f>
        <v>#REF!</v>
      </c>
      <c r="AK74" s="468" t="e">
        <f t="shared" si="14"/>
        <v>#REF!</v>
      </c>
      <c r="AL74" s="446" t="e">
        <f>#REF!</f>
        <v>#REF!</v>
      </c>
      <c r="AM74">
        <f t="shared" si="10"/>
        <v>0</v>
      </c>
      <c r="AN74">
        <f t="shared" si="11"/>
        <v>156</v>
      </c>
      <c r="AO74" s="29">
        <f t="shared" si="12"/>
        <v>6</v>
      </c>
      <c r="AP74" s="1">
        <f t="shared" si="13"/>
        <v>0</v>
      </c>
      <c r="AU74" s="161" t="e">
        <f>#REF!</f>
        <v>#REF!</v>
      </c>
    </row>
    <row r="75" spans="1:47" ht="15.9">
      <c r="A75" s="1" t="s">
        <v>152</v>
      </c>
      <c r="B75" s="1" t="s">
        <v>73</v>
      </c>
      <c r="C75" s="291" t="s">
        <v>27</v>
      </c>
      <c r="D75" s="466" t="e">
        <f>#REF!</f>
        <v>#REF!</v>
      </c>
      <c r="E75" s="204"/>
      <c r="F75" s="32"/>
      <c r="G75" s="36"/>
      <c r="H75" s="32"/>
      <c r="I75" s="36"/>
      <c r="J75" s="270"/>
      <c r="K75" s="231"/>
      <c r="L75" s="32"/>
      <c r="M75" s="32"/>
      <c r="N75" s="32"/>
      <c r="O75" s="32"/>
      <c r="P75" s="36"/>
      <c r="Q75" s="36"/>
      <c r="R75" s="32"/>
      <c r="S75" s="32"/>
      <c r="T75" s="32" t="s">
        <v>113</v>
      </c>
      <c r="U75" s="32"/>
      <c r="V75" s="32"/>
      <c r="W75" s="36"/>
      <c r="X75" s="36"/>
      <c r="Y75" s="32"/>
      <c r="Z75" s="32"/>
      <c r="AA75" s="32" t="s">
        <v>301</v>
      </c>
      <c r="AB75" s="32"/>
      <c r="AC75" s="32"/>
      <c r="AD75" s="36"/>
      <c r="AE75" s="36"/>
      <c r="AF75" s="32"/>
      <c r="AG75" s="32"/>
      <c r="AH75" s="136"/>
      <c r="AI75" s="470"/>
      <c r="AJ75" s="440" t="e">
        <f>_xlfn.CONCAT(#REF!,#REF!)</f>
        <v>#REF!</v>
      </c>
      <c r="AK75" s="468" t="e">
        <f t="shared" si="14"/>
        <v>#REF!</v>
      </c>
      <c r="AL75" s="446" t="e">
        <f>#REF!</f>
        <v>#REF!</v>
      </c>
      <c r="AM75">
        <f t="shared" si="10"/>
        <v>48</v>
      </c>
      <c r="AN75">
        <f t="shared" si="11"/>
        <v>0</v>
      </c>
      <c r="AO75" s="29">
        <f t="shared" si="12"/>
        <v>0</v>
      </c>
      <c r="AP75" s="1">
        <f t="shared" si="13"/>
        <v>0</v>
      </c>
      <c r="AU75" s="161" t="e">
        <f>#REF!</f>
        <v>#REF!</v>
      </c>
    </row>
    <row r="76" spans="1:47" ht="15.9">
      <c r="A76" s="1" t="s">
        <v>155</v>
      </c>
      <c r="B76" s="1" t="s">
        <v>93</v>
      </c>
      <c r="C76" s="290" t="s">
        <v>28</v>
      </c>
      <c r="D76" s="466" t="e">
        <f>#REF!</f>
        <v>#REF!</v>
      </c>
      <c r="E76" s="204"/>
      <c r="F76" s="32"/>
      <c r="G76" s="36"/>
      <c r="H76" s="32"/>
      <c r="I76" s="36"/>
      <c r="J76" s="270"/>
      <c r="K76" s="231"/>
      <c r="L76" s="32"/>
      <c r="M76" s="32"/>
      <c r="N76" s="32"/>
      <c r="O76" s="32"/>
      <c r="P76" s="36"/>
      <c r="Q76" s="36"/>
      <c r="R76" s="32"/>
      <c r="S76" s="32"/>
      <c r="T76" s="32"/>
      <c r="U76" s="32"/>
      <c r="V76" s="32"/>
      <c r="W76" s="36"/>
      <c r="X76" s="36"/>
      <c r="Y76" s="32"/>
      <c r="Z76" s="32">
        <v>17</v>
      </c>
      <c r="AA76" s="32" t="s">
        <v>95</v>
      </c>
      <c r="AB76" s="32" t="s">
        <v>95</v>
      </c>
      <c r="AC76" s="32" t="s">
        <v>95</v>
      </c>
      <c r="AD76" s="36" t="s">
        <v>95</v>
      </c>
      <c r="AE76" s="36" t="s">
        <v>95</v>
      </c>
      <c r="AF76" s="32" t="s">
        <v>95</v>
      </c>
      <c r="AG76" s="32" t="s">
        <v>92</v>
      </c>
      <c r="AH76" s="136"/>
      <c r="AI76" s="470"/>
      <c r="AJ76" s="440" t="e">
        <f>_xlfn.CONCAT(#REF!,#REF!)</f>
        <v>#REF!</v>
      </c>
      <c r="AK76" s="468" t="e">
        <f t="shared" si="14"/>
        <v>#REF!</v>
      </c>
      <c r="AL76" s="446" t="e">
        <f>#REF!</f>
        <v>#REF!</v>
      </c>
      <c r="AM76">
        <f t="shared" si="10"/>
        <v>0</v>
      </c>
      <c r="AN76">
        <f t="shared" si="11"/>
        <v>156</v>
      </c>
      <c r="AO76" s="29">
        <f t="shared" si="12"/>
        <v>17</v>
      </c>
      <c r="AP76" s="1">
        <f t="shared" si="13"/>
        <v>0</v>
      </c>
      <c r="AU76" s="161" t="e">
        <f>#REF!</f>
        <v>#REF!</v>
      </c>
    </row>
    <row r="77" spans="1:47" ht="15.9">
      <c r="A77" s="1" t="s">
        <v>152</v>
      </c>
      <c r="B77" s="1" t="s">
        <v>59</v>
      </c>
      <c r="C77" s="291" t="s">
        <v>160</v>
      </c>
      <c r="D77" s="466" t="e">
        <f>#REF!</f>
        <v>#REF!</v>
      </c>
      <c r="E77" s="204" t="s">
        <v>83</v>
      </c>
      <c r="F77" s="32" t="s">
        <v>83</v>
      </c>
      <c r="G77" s="36" t="s">
        <v>66</v>
      </c>
      <c r="H77" s="32" t="s">
        <v>83</v>
      </c>
      <c r="I77" s="36"/>
      <c r="J77" s="270"/>
      <c r="K77" s="231"/>
      <c r="L77" s="32"/>
      <c r="M77" s="32"/>
      <c r="N77" s="32">
        <v>8</v>
      </c>
      <c r="O77" s="32"/>
      <c r="P77" s="36"/>
      <c r="Q77" s="36"/>
      <c r="R77" s="32"/>
      <c r="S77" s="32" t="s">
        <v>113</v>
      </c>
      <c r="T77" s="32"/>
      <c r="U77" s="32"/>
      <c r="V77" s="32"/>
      <c r="W77" s="36"/>
      <c r="X77" s="36"/>
      <c r="Y77" s="32">
        <v>8</v>
      </c>
      <c r="Z77" s="32"/>
      <c r="AA77" s="32"/>
      <c r="AB77" s="32">
        <v>8</v>
      </c>
      <c r="AC77" s="32"/>
      <c r="AD77" s="36"/>
      <c r="AE77" s="36"/>
      <c r="AF77" s="32" t="s">
        <v>113</v>
      </c>
      <c r="AG77" s="32"/>
      <c r="AH77" s="136"/>
      <c r="AI77" s="470"/>
      <c r="AJ77" s="440" t="e">
        <f>_xlfn.CONCAT(#REF!,#REF!)</f>
        <v>#REF!</v>
      </c>
      <c r="AK77" s="468" t="e">
        <f t="shared" si="14"/>
        <v>#REF!</v>
      </c>
      <c r="AL77" s="446" t="e">
        <f>#REF!</f>
        <v>#REF!</v>
      </c>
      <c r="AM77">
        <f t="shared" si="10"/>
        <v>48</v>
      </c>
      <c r="AN77">
        <f t="shared" si="11"/>
        <v>0</v>
      </c>
      <c r="AO77" s="29">
        <f t="shared" si="12"/>
        <v>48</v>
      </c>
      <c r="AP77" s="1">
        <f t="shared" si="13"/>
        <v>0</v>
      </c>
      <c r="AU77" s="161" t="e">
        <f>#REF!</f>
        <v>#REF!</v>
      </c>
    </row>
    <row r="78" spans="1:47" ht="15.9">
      <c r="A78" s="1" t="s">
        <v>155</v>
      </c>
      <c r="B78" s="1" t="s">
        <v>73</v>
      </c>
      <c r="C78" s="290" t="s">
        <v>29</v>
      </c>
      <c r="D78" s="466" t="e">
        <f>#REF!</f>
        <v>#REF!</v>
      </c>
      <c r="E78" s="204" t="s">
        <v>75</v>
      </c>
      <c r="F78" s="32" t="s">
        <v>75</v>
      </c>
      <c r="G78" s="36" t="s">
        <v>66</v>
      </c>
      <c r="H78" s="32" t="s">
        <v>75</v>
      </c>
      <c r="I78" s="36"/>
      <c r="J78" s="270"/>
      <c r="K78" s="231"/>
      <c r="L78" s="32"/>
      <c r="M78" s="32"/>
      <c r="N78" s="32"/>
      <c r="O78" s="32"/>
      <c r="P78" s="36"/>
      <c r="Q78" s="36" t="s">
        <v>301</v>
      </c>
      <c r="R78" s="32"/>
      <c r="S78" s="32"/>
      <c r="T78" s="32"/>
      <c r="U78" s="32" t="s">
        <v>113</v>
      </c>
      <c r="V78" s="32"/>
      <c r="W78" s="36"/>
      <c r="X78" s="36"/>
      <c r="Y78" s="32"/>
      <c r="Z78" s="32">
        <v>3.5</v>
      </c>
      <c r="AA78" s="32"/>
      <c r="AB78" s="32"/>
      <c r="AC78" s="32"/>
      <c r="AD78" s="36"/>
      <c r="AE78" s="36"/>
      <c r="AF78" s="32"/>
      <c r="AG78" s="32" t="s">
        <v>92</v>
      </c>
      <c r="AH78" s="136" t="s">
        <v>95</v>
      </c>
      <c r="AI78" s="470"/>
      <c r="AJ78" s="440" t="e">
        <f>_xlfn.CONCAT(#REF!,#REF!)</f>
        <v>#REF!</v>
      </c>
      <c r="AK78" s="468" t="e">
        <f t="shared" si="14"/>
        <v>#REF!</v>
      </c>
      <c r="AL78" s="446" t="e">
        <f>#REF!</f>
        <v>#REF!</v>
      </c>
      <c r="AM78">
        <f t="shared" si="10"/>
        <v>48</v>
      </c>
      <c r="AN78">
        <f t="shared" si="11"/>
        <v>36</v>
      </c>
      <c r="AO78" s="29">
        <f t="shared" si="12"/>
        <v>27.5</v>
      </c>
      <c r="AP78" s="1">
        <f t="shared" si="13"/>
        <v>0</v>
      </c>
      <c r="AU78" s="161" t="e">
        <f>#REF!</f>
        <v>#REF!</v>
      </c>
    </row>
    <row r="79" spans="1:47" ht="15.9">
      <c r="A79" s="1" t="s">
        <v>155</v>
      </c>
      <c r="B79" s="1" t="s">
        <v>59</v>
      </c>
      <c r="C79" s="290" t="s">
        <v>30</v>
      </c>
      <c r="D79" s="466" t="e">
        <f>#REF!</f>
        <v>#REF!</v>
      </c>
      <c r="E79" s="299">
        <v>17</v>
      </c>
      <c r="F79" s="37" t="s">
        <v>154</v>
      </c>
      <c r="G79" s="207" t="s">
        <v>154</v>
      </c>
      <c r="H79" s="37">
        <v>15</v>
      </c>
      <c r="I79" s="207"/>
      <c r="J79" s="271"/>
      <c r="K79" s="231"/>
      <c r="L79" s="32"/>
      <c r="M79" s="32"/>
      <c r="N79" s="32"/>
      <c r="O79" s="32"/>
      <c r="P79" s="36"/>
      <c r="Q79" s="36"/>
      <c r="R79" s="32" t="s">
        <v>75</v>
      </c>
      <c r="S79" s="32" t="s">
        <v>75</v>
      </c>
      <c r="T79" s="32" t="s">
        <v>75</v>
      </c>
      <c r="U79" s="32" t="s">
        <v>75</v>
      </c>
      <c r="V79" s="32" t="s">
        <v>75</v>
      </c>
      <c r="W79" s="36" t="s">
        <v>66</v>
      </c>
      <c r="X79" s="36" t="s">
        <v>66</v>
      </c>
      <c r="Y79" s="32" t="s">
        <v>75</v>
      </c>
      <c r="Z79" s="32" t="s">
        <v>75</v>
      </c>
      <c r="AA79" s="32" t="s">
        <v>75</v>
      </c>
      <c r="AB79" s="32" t="s">
        <v>75</v>
      </c>
      <c r="AC79" s="32" t="s">
        <v>75</v>
      </c>
      <c r="AD79" s="36" t="s">
        <v>66</v>
      </c>
      <c r="AE79" s="36" t="s">
        <v>66</v>
      </c>
      <c r="AF79" s="32" t="s">
        <v>75</v>
      </c>
      <c r="AG79" s="32" t="s">
        <v>75</v>
      </c>
      <c r="AH79" s="136" t="s">
        <v>75</v>
      </c>
      <c r="AI79" s="470"/>
      <c r="AJ79" s="440" t="e">
        <f>_xlfn.CONCAT(#REF!,#REF!)</f>
        <v>#REF!</v>
      </c>
      <c r="AK79" s="468" t="e">
        <f t="shared" si="14"/>
        <v>#REF!</v>
      </c>
      <c r="AL79" s="446" t="e">
        <f>#REF!</f>
        <v>#REF!</v>
      </c>
      <c r="AM79">
        <f t="shared" si="10"/>
        <v>0</v>
      </c>
      <c r="AN79">
        <f t="shared" si="11"/>
        <v>48</v>
      </c>
      <c r="AO79" s="29">
        <f t="shared" si="12"/>
        <v>136</v>
      </c>
      <c r="AP79" s="1">
        <f t="shared" si="13"/>
        <v>0</v>
      </c>
      <c r="AU79" s="161" t="e">
        <f>#REF!</f>
        <v>#REF!</v>
      </c>
    </row>
    <row r="80" spans="1:47" ht="15.9">
      <c r="A80" s="1" t="s">
        <v>155</v>
      </c>
      <c r="B80" s="1" t="s">
        <v>73</v>
      </c>
      <c r="C80" s="290" t="s">
        <v>31</v>
      </c>
      <c r="D80" s="466" t="e">
        <f>#REF!</f>
        <v>#REF!</v>
      </c>
      <c r="E80" s="707"/>
      <c r="F80" s="707"/>
      <c r="G80" s="707"/>
      <c r="H80" s="707"/>
      <c r="I80" s="707"/>
      <c r="J80" s="707"/>
      <c r="K80" s="219"/>
      <c r="L80" s="32"/>
      <c r="M80" s="32"/>
      <c r="N80" s="32">
        <v>7</v>
      </c>
      <c r="O80" s="32"/>
      <c r="P80" s="36"/>
      <c r="Q80" s="36"/>
      <c r="R80" s="32"/>
      <c r="S80" s="32"/>
      <c r="T80" s="32"/>
      <c r="U80" s="32"/>
      <c r="V80" s="32">
        <v>16</v>
      </c>
      <c r="W80" s="36" t="s">
        <v>62</v>
      </c>
      <c r="X80" s="36" t="s">
        <v>62</v>
      </c>
      <c r="Y80" s="32">
        <v>13</v>
      </c>
      <c r="Z80" s="32"/>
      <c r="AA80" s="32"/>
      <c r="AB80" s="32"/>
      <c r="AC80" s="32"/>
      <c r="AD80" s="36"/>
      <c r="AE80" s="36"/>
      <c r="AF80" s="32" t="s">
        <v>75</v>
      </c>
      <c r="AG80" s="32" t="s">
        <v>75</v>
      </c>
      <c r="AH80" s="136" t="s">
        <v>75</v>
      </c>
      <c r="AI80" s="470"/>
      <c r="AJ80" s="440" t="e">
        <f>_xlfn.CONCAT(#REF!,#REF!)</f>
        <v>#REF!</v>
      </c>
      <c r="AK80" s="471" t="e">
        <f t="shared" si="14"/>
        <v>#REF!</v>
      </c>
      <c r="AL80" s="446" t="e">
        <f>#REF!</f>
        <v>#REF!</v>
      </c>
      <c r="AM80">
        <f t="shared" si="10"/>
        <v>0</v>
      </c>
      <c r="AN80">
        <f t="shared" si="11"/>
        <v>48</v>
      </c>
      <c r="AO80" s="29">
        <f t="shared" si="12"/>
        <v>60</v>
      </c>
      <c r="AP80" s="1">
        <f t="shared" si="13"/>
        <v>0</v>
      </c>
      <c r="AQ80" s="392">
        <f>24</f>
        <v>24</v>
      </c>
      <c r="AU80" s="161" t="e">
        <f>#REF!</f>
        <v>#REF!</v>
      </c>
    </row>
    <row r="81" spans="1:47" ht="15.9">
      <c r="A81" s="1" t="s">
        <v>157</v>
      </c>
      <c r="B81" s="1" t="s">
        <v>64</v>
      </c>
      <c r="C81" s="292" t="s">
        <v>32</v>
      </c>
      <c r="D81" s="466" t="e">
        <f>#REF!</f>
        <v>#REF!</v>
      </c>
      <c r="E81" s="302"/>
      <c r="F81" s="41"/>
      <c r="G81" s="208"/>
      <c r="H81" s="41"/>
      <c r="I81" s="208"/>
      <c r="J81" s="472"/>
      <c r="K81" s="231"/>
      <c r="L81" s="32"/>
      <c r="M81" s="32"/>
      <c r="N81" s="32">
        <v>8</v>
      </c>
      <c r="O81" s="32">
        <v>8</v>
      </c>
      <c r="P81" s="36"/>
      <c r="Q81" s="36"/>
      <c r="R81" s="32"/>
      <c r="S81" s="32"/>
      <c r="T81" s="32"/>
      <c r="U81" s="32"/>
      <c r="V81" s="32"/>
      <c r="W81" s="36"/>
      <c r="X81" s="36"/>
      <c r="Y81" s="32">
        <v>17</v>
      </c>
      <c r="Z81" s="32" t="s">
        <v>70</v>
      </c>
      <c r="AA81" s="32" t="s">
        <v>70</v>
      </c>
      <c r="AB81" s="32" t="s">
        <v>70</v>
      </c>
      <c r="AC81" s="32" t="s">
        <v>69</v>
      </c>
      <c r="AD81" s="36"/>
      <c r="AE81" s="36"/>
      <c r="AF81" s="32"/>
      <c r="AG81" s="32"/>
      <c r="AH81" s="136"/>
      <c r="AI81" s="470"/>
      <c r="AJ81" s="440" t="e">
        <f>_xlfn.CONCAT(#REF!,#REF!)</f>
        <v>#REF!</v>
      </c>
      <c r="AK81" s="468" t="e">
        <f t="shared" si="14"/>
        <v>#REF!</v>
      </c>
      <c r="AL81" s="446" t="e">
        <f>#REF!</f>
        <v>#REF!</v>
      </c>
      <c r="AM81">
        <f t="shared" si="10"/>
        <v>0</v>
      </c>
      <c r="AN81">
        <f t="shared" si="11"/>
        <v>84</v>
      </c>
      <c r="AO81" s="29">
        <f t="shared" si="12"/>
        <v>33</v>
      </c>
      <c r="AP81" s="1">
        <f t="shared" si="13"/>
        <v>0</v>
      </c>
      <c r="AU81" s="161" t="e">
        <f>#REF!</f>
        <v>#REF!</v>
      </c>
    </row>
    <row r="82" spans="1:47" ht="15.9">
      <c r="A82" s="1" t="s">
        <v>155</v>
      </c>
      <c r="B82" s="1" t="s">
        <v>73</v>
      </c>
      <c r="C82" s="298" t="s">
        <v>33</v>
      </c>
      <c r="D82" s="466" t="e">
        <f>#REF!</f>
        <v>#REF!</v>
      </c>
      <c r="E82" s="299"/>
      <c r="F82" s="32"/>
      <c r="G82" s="36"/>
      <c r="H82" s="32"/>
      <c r="I82" s="36"/>
      <c r="J82" s="271"/>
      <c r="K82" s="231"/>
      <c r="L82" s="32" t="s">
        <v>66</v>
      </c>
      <c r="M82" s="32" t="s">
        <v>66</v>
      </c>
      <c r="N82" s="32"/>
      <c r="O82" s="37">
        <v>14.5</v>
      </c>
      <c r="P82" s="36" t="s">
        <v>62</v>
      </c>
      <c r="Q82" s="36" t="s">
        <v>62</v>
      </c>
      <c r="R82" s="32">
        <v>15</v>
      </c>
      <c r="S82" s="32"/>
      <c r="T82" s="32"/>
      <c r="U82" s="37"/>
      <c r="V82" s="32" t="s">
        <v>59</v>
      </c>
      <c r="W82" s="36"/>
      <c r="X82" s="36"/>
      <c r="Y82" s="32">
        <v>6</v>
      </c>
      <c r="Z82" s="32" t="s">
        <v>113</v>
      </c>
      <c r="AA82" s="32"/>
      <c r="AB82" s="32" t="s">
        <v>69</v>
      </c>
      <c r="AC82" s="32" t="s">
        <v>70</v>
      </c>
      <c r="AD82" s="36" t="s">
        <v>62</v>
      </c>
      <c r="AE82" s="36" t="s">
        <v>62</v>
      </c>
      <c r="AF82" s="32" t="s">
        <v>69</v>
      </c>
      <c r="AG82" s="32"/>
      <c r="AH82" s="136"/>
      <c r="AI82" s="470"/>
      <c r="AJ82" s="440" t="e">
        <f>_xlfn.CONCAT(#REF!,#REF!)</f>
        <v>#REF!</v>
      </c>
      <c r="AK82" s="468" t="e">
        <f t="shared" si="14"/>
        <v>#REF!</v>
      </c>
      <c r="AL82" s="446" t="e">
        <f>#REF!</f>
        <v>#REF!</v>
      </c>
      <c r="AM82">
        <f t="shared" si="10"/>
        <v>48</v>
      </c>
      <c r="AN82">
        <f t="shared" si="11"/>
        <v>144</v>
      </c>
      <c r="AO82" s="29">
        <f t="shared" si="12"/>
        <v>35.5</v>
      </c>
      <c r="AP82" s="1">
        <f t="shared" si="13"/>
        <v>0</v>
      </c>
      <c r="AU82" s="161" t="e">
        <f>#REF!</f>
        <v>#REF!</v>
      </c>
    </row>
    <row r="83" spans="1:47" ht="15.9">
      <c r="A83" s="1" t="s">
        <v>152</v>
      </c>
      <c r="B83" s="1" t="s">
        <v>64</v>
      </c>
      <c r="C83" s="292" t="s">
        <v>34</v>
      </c>
      <c r="D83" s="466" t="e">
        <f>#REF!</f>
        <v>#REF!</v>
      </c>
      <c r="E83" s="137" t="s">
        <v>113</v>
      </c>
      <c r="F83" s="48"/>
      <c r="G83" s="36"/>
      <c r="H83" s="32"/>
      <c r="I83" s="145" t="s">
        <v>301</v>
      </c>
      <c r="J83" s="473"/>
      <c r="K83" s="219"/>
      <c r="L83" s="32"/>
      <c r="M83" s="32"/>
      <c r="N83" s="136">
        <v>6</v>
      </c>
      <c r="O83" s="137" t="s">
        <v>301</v>
      </c>
      <c r="P83" s="168"/>
      <c r="Q83" s="36"/>
      <c r="R83" s="32">
        <v>8</v>
      </c>
      <c r="S83" s="32">
        <v>5.5</v>
      </c>
      <c r="T83" s="136"/>
      <c r="U83" s="137" t="s">
        <v>301</v>
      </c>
      <c r="V83" s="48"/>
      <c r="W83" s="36"/>
      <c r="X83" s="36"/>
      <c r="Y83" s="32" t="s">
        <v>75</v>
      </c>
      <c r="Z83" s="32" t="s">
        <v>75</v>
      </c>
      <c r="AA83" s="32" t="s">
        <v>75</v>
      </c>
      <c r="AB83" s="32" t="s">
        <v>75</v>
      </c>
      <c r="AC83" s="32" t="s">
        <v>75</v>
      </c>
      <c r="AD83" s="36" t="s">
        <v>66</v>
      </c>
      <c r="AE83" s="36" t="s">
        <v>66</v>
      </c>
      <c r="AF83" s="32" t="s">
        <v>75</v>
      </c>
      <c r="AG83" s="32" t="s">
        <v>75</v>
      </c>
      <c r="AH83" s="136" t="s">
        <v>75</v>
      </c>
      <c r="AI83" s="470"/>
      <c r="AJ83" s="440" t="e">
        <f>_xlfn.CONCAT(#REF!,#REF!)</f>
        <v>#REF!</v>
      </c>
      <c r="AK83" s="468" t="e">
        <f t="shared" si="14"/>
        <v>#REF!</v>
      </c>
      <c r="AL83" s="446" t="e">
        <f>#REF!</f>
        <v>#REF!</v>
      </c>
      <c r="AM83">
        <f t="shared" ref="AM83:AM101" si="15">COUNTIF(E83:AI83,"D")*24+COUNTIF(E83:AI83,"12g")*12+COUNTIF(E83:AI83,"w")*24</f>
        <v>96</v>
      </c>
      <c r="AN83">
        <f t="shared" ref="AN83:AN101" si="16">SUM(COUNTIF(E83:AI83,"k")+COUNTIF(E83:AI83,"s")+COUNTIF(E83:AI83,"wse"))*24+SUM(COUNTIF(E83:AI83,"Pk")+COUNTIF(E83:AI83,"Ps"))*12</f>
        <v>0</v>
      </c>
      <c r="AO83" s="29">
        <f t="shared" ref="AO83:AO101" si="17">SUM(E83:AI83)+COUNTIF(E83:AI83,"uw")*8+COUNTIF(E83:AI83,"us")*8+COUNTIF(E83:AI83,"uz")*8</f>
        <v>83.5</v>
      </c>
      <c r="AP83" s="1">
        <f t="shared" ref="AP83:AP101" si="18">COUNTIF(E83:AI83,"DT")*8</f>
        <v>0</v>
      </c>
      <c r="AU83" s="161" t="e">
        <f>#REF!</f>
        <v>#REF!</v>
      </c>
    </row>
    <row r="84" spans="1:47" ht="15.9">
      <c r="A84" s="1" t="s">
        <v>156</v>
      </c>
      <c r="B84" s="1" t="s">
        <v>64</v>
      </c>
      <c r="C84" s="292" t="s">
        <v>35</v>
      </c>
      <c r="D84" s="466" t="e">
        <f>#REF!</f>
        <v>#REF!</v>
      </c>
      <c r="E84" s="302"/>
      <c r="F84" s="32"/>
      <c r="G84" s="36"/>
      <c r="H84" s="32"/>
      <c r="I84" s="36"/>
      <c r="J84" s="472" t="s">
        <v>113</v>
      </c>
      <c r="K84" s="231"/>
      <c r="L84" s="32"/>
      <c r="M84" s="32"/>
      <c r="N84" s="32">
        <v>5</v>
      </c>
      <c r="O84" s="41" t="s">
        <v>113</v>
      </c>
      <c r="P84" s="36"/>
      <c r="Q84" s="36"/>
      <c r="R84" s="32">
        <v>17</v>
      </c>
      <c r="S84" s="32" t="s">
        <v>95</v>
      </c>
      <c r="T84" s="32" t="s">
        <v>154</v>
      </c>
      <c r="U84" s="41" t="s">
        <v>154</v>
      </c>
      <c r="V84" s="32">
        <v>11</v>
      </c>
      <c r="W84" s="36"/>
      <c r="X84" s="36"/>
      <c r="Y84" s="32"/>
      <c r="Z84" s="32"/>
      <c r="AA84" s="32" t="s">
        <v>113</v>
      </c>
      <c r="AB84" s="32"/>
      <c r="AC84" s="32"/>
      <c r="AD84" s="36"/>
      <c r="AE84" s="36"/>
      <c r="AF84" s="32"/>
      <c r="AG84" s="32"/>
      <c r="AH84" s="136"/>
      <c r="AI84" s="470"/>
      <c r="AJ84" s="440" t="e">
        <f>_xlfn.CONCAT(#REF!,#REF!)</f>
        <v>#REF!</v>
      </c>
      <c r="AK84" s="468" t="e">
        <f t="shared" si="14"/>
        <v>#REF!</v>
      </c>
      <c r="AL84" s="446" t="e">
        <f>#REF!</f>
        <v>#REF!</v>
      </c>
      <c r="AM84">
        <f t="shared" si="15"/>
        <v>72</v>
      </c>
      <c r="AN84">
        <f t="shared" si="16"/>
        <v>72</v>
      </c>
      <c r="AO84" s="29">
        <f t="shared" si="17"/>
        <v>33</v>
      </c>
      <c r="AP84" s="1">
        <f t="shared" si="18"/>
        <v>0</v>
      </c>
      <c r="AU84" s="161" t="e">
        <f>#REF!</f>
        <v>#REF!</v>
      </c>
    </row>
    <row r="85" spans="1:47" ht="15.9">
      <c r="A85" s="1" t="s">
        <v>156</v>
      </c>
      <c r="B85" s="1" t="s">
        <v>59</v>
      </c>
      <c r="C85" s="292" t="s">
        <v>36</v>
      </c>
      <c r="D85" s="466" t="e">
        <f>#REF!</f>
        <v>#REF!</v>
      </c>
      <c r="E85" s="204"/>
      <c r="F85" s="32"/>
      <c r="G85" s="36"/>
      <c r="H85" s="32"/>
      <c r="I85" s="36"/>
      <c r="J85" s="270"/>
      <c r="K85" s="231"/>
      <c r="L85" s="32"/>
      <c r="M85" s="32"/>
      <c r="N85" s="32"/>
      <c r="O85" s="32"/>
      <c r="P85" s="36"/>
      <c r="Q85" s="36"/>
      <c r="R85" s="32">
        <v>8</v>
      </c>
      <c r="S85" s="32" t="s">
        <v>301</v>
      </c>
      <c r="T85" s="32"/>
      <c r="U85" s="32"/>
      <c r="V85" s="32">
        <v>17</v>
      </c>
      <c r="W85" s="36" t="s">
        <v>95</v>
      </c>
      <c r="X85" s="36" t="s">
        <v>95</v>
      </c>
      <c r="Y85" s="32" t="s">
        <v>95</v>
      </c>
      <c r="Z85" s="32" t="s">
        <v>92</v>
      </c>
      <c r="AA85" s="32"/>
      <c r="AB85" s="32"/>
      <c r="AC85" s="32"/>
      <c r="AD85" s="36"/>
      <c r="AE85" s="36"/>
      <c r="AF85" s="32" t="s">
        <v>83</v>
      </c>
      <c r="AG85" s="32" t="s">
        <v>83</v>
      </c>
      <c r="AH85" s="136" t="s">
        <v>83</v>
      </c>
      <c r="AI85" s="470"/>
      <c r="AJ85" s="440" t="e">
        <f>_xlfn.CONCAT(#REF!,#REF!)</f>
        <v>#REF!</v>
      </c>
      <c r="AK85" s="468" t="e">
        <f t="shared" si="14"/>
        <v>#REF!</v>
      </c>
      <c r="AL85" s="446" t="e">
        <f>#REF!</f>
        <v>#REF!</v>
      </c>
      <c r="AM85">
        <f t="shared" si="15"/>
        <v>24</v>
      </c>
      <c r="AN85">
        <f t="shared" si="16"/>
        <v>84</v>
      </c>
      <c r="AO85" s="29">
        <f t="shared" si="17"/>
        <v>49</v>
      </c>
      <c r="AP85" s="1">
        <f t="shared" si="18"/>
        <v>0</v>
      </c>
      <c r="AU85" s="161" t="e">
        <f>#REF!</f>
        <v>#REF!</v>
      </c>
    </row>
    <row r="86" spans="1:47" ht="15.9">
      <c r="A86" s="1" t="s">
        <v>152</v>
      </c>
      <c r="B86" s="1" t="s">
        <v>93</v>
      </c>
      <c r="C86" s="291" t="s">
        <v>37</v>
      </c>
      <c r="D86" s="466" t="e">
        <f>#REF!</f>
        <v>#REF!</v>
      </c>
      <c r="E86" s="204">
        <v>7.5</v>
      </c>
      <c r="F86" s="32">
        <v>8</v>
      </c>
      <c r="G86" s="36"/>
      <c r="H86" s="32"/>
      <c r="I86" s="36"/>
      <c r="J86" s="270"/>
      <c r="K86" s="231">
        <v>7</v>
      </c>
      <c r="L86" s="32">
        <v>3</v>
      </c>
      <c r="M86" s="32"/>
      <c r="N86" s="32"/>
      <c r="O86" s="32">
        <v>8</v>
      </c>
      <c r="P86" s="36"/>
      <c r="Q86" s="36"/>
      <c r="R86" s="32" t="s">
        <v>75</v>
      </c>
      <c r="S86" s="32" t="s">
        <v>75</v>
      </c>
      <c r="T86" s="32" t="s">
        <v>75</v>
      </c>
      <c r="U86" s="32" t="s">
        <v>75</v>
      </c>
      <c r="V86" s="32" t="s">
        <v>75</v>
      </c>
      <c r="W86" s="36"/>
      <c r="X86" s="36"/>
      <c r="Y86" s="32" t="s">
        <v>75</v>
      </c>
      <c r="Z86" s="32" t="s">
        <v>75</v>
      </c>
      <c r="AA86" s="32" t="s">
        <v>75</v>
      </c>
      <c r="AB86" s="32" t="s">
        <v>75</v>
      </c>
      <c r="AC86" s="32" t="s">
        <v>75</v>
      </c>
      <c r="AD86" s="36"/>
      <c r="AE86" s="36"/>
      <c r="AF86" s="32" t="s">
        <v>103</v>
      </c>
      <c r="AG86" s="32" t="s">
        <v>113</v>
      </c>
      <c r="AH86" s="136" t="s">
        <v>66</v>
      </c>
      <c r="AI86" s="470"/>
      <c r="AJ86" s="440" t="e">
        <f>_xlfn.CONCAT(#REF!,#REF!)</f>
        <v>#REF!</v>
      </c>
      <c r="AK86" s="468" t="e">
        <f t="shared" si="14"/>
        <v>#REF!</v>
      </c>
      <c r="AL86" s="446" t="e">
        <f>#REF!</f>
        <v>#REF!</v>
      </c>
      <c r="AM86">
        <f t="shared" si="15"/>
        <v>24</v>
      </c>
      <c r="AN86">
        <f t="shared" si="16"/>
        <v>0</v>
      </c>
      <c r="AO86" s="29">
        <f t="shared" si="17"/>
        <v>113.5</v>
      </c>
      <c r="AP86" s="1">
        <f t="shared" si="18"/>
        <v>0</v>
      </c>
      <c r="AU86" s="161" t="e">
        <f>#REF!</f>
        <v>#REF!</v>
      </c>
    </row>
    <row r="87" spans="1:47" ht="15.9">
      <c r="A87" s="1" t="s">
        <v>152</v>
      </c>
      <c r="B87" s="1" t="s">
        <v>64</v>
      </c>
      <c r="C87" s="291" t="s">
        <v>38</v>
      </c>
      <c r="D87" s="466" t="e">
        <f>#REF!</f>
        <v>#REF!</v>
      </c>
      <c r="E87" s="204">
        <v>8</v>
      </c>
      <c r="F87" s="32"/>
      <c r="G87" s="36"/>
      <c r="H87" s="32">
        <v>17</v>
      </c>
      <c r="I87" s="36" t="s">
        <v>70</v>
      </c>
      <c r="J87" s="270" t="s">
        <v>70</v>
      </c>
      <c r="K87" s="231" t="s">
        <v>70</v>
      </c>
      <c r="L87" s="32">
        <v>16</v>
      </c>
      <c r="M87" s="32"/>
      <c r="N87" s="32"/>
      <c r="O87" s="32">
        <v>7.5</v>
      </c>
      <c r="P87" s="36"/>
      <c r="Q87" s="36"/>
      <c r="R87" s="32"/>
      <c r="S87" s="32"/>
      <c r="T87" s="32"/>
      <c r="U87" s="32"/>
      <c r="V87" s="32"/>
      <c r="W87" s="36"/>
      <c r="X87" s="36"/>
      <c r="Y87" s="32"/>
      <c r="Z87" s="32"/>
      <c r="AA87" s="32" t="s">
        <v>75</v>
      </c>
      <c r="AB87" s="32" t="s">
        <v>75</v>
      </c>
      <c r="AC87" s="32"/>
      <c r="AD87" s="36"/>
      <c r="AE87" s="36"/>
      <c r="AF87" s="32" t="s">
        <v>75</v>
      </c>
      <c r="AG87" s="32" t="s">
        <v>75</v>
      </c>
      <c r="AH87" s="136" t="s">
        <v>75</v>
      </c>
      <c r="AI87" s="470"/>
      <c r="AJ87" s="440" t="e">
        <f>_xlfn.CONCAT(#REF!,#REF!)</f>
        <v>#REF!</v>
      </c>
      <c r="AK87" s="468" t="e">
        <f t="shared" si="14"/>
        <v>#REF!</v>
      </c>
      <c r="AL87" s="446" t="e">
        <f>#REF!</f>
        <v>#REF!</v>
      </c>
      <c r="AM87">
        <f t="shared" si="15"/>
        <v>0</v>
      </c>
      <c r="AN87">
        <f t="shared" si="16"/>
        <v>72</v>
      </c>
      <c r="AO87" s="29">
        <f t="shared" si="17"/>
        <v>88.5</v>
      </c>
      <c r="AP87" s="1">
        <f t="shared" si="18"/>
        <v>0</v>
      </c>
      <c r="AU87" s="161" t="e">
        <f>#REF!</f>
        <v>#REF!</v>
      </c>
    </row>
    <row r="88" spans="1:47" ht="15.9">
      <c r="A88" s="1" t="s">
        <v>155</v>
      </c>
      <c r="B88" s="1" t="s">
        <v>93</v>
      </c>
      <c r="C88" s="290" t="s">
        <v>39</v>
      </c>
      <c r="D88" s="466" t="e">
        <f>#REF!</f>
        <v>#REF!</v>
      </c>
      <c r="E88" s="204" t="s">
        <v>66</v>
      </c>
      <c r="F88" s="32" t="s">
        <v>66</v>
      </c>
      <c r="G88" s="36" t="s">
        <v>66</v>
      </c>
      <c r="H88" s="32" t="s">
        <v>66</v>
      </c>
      <c r="I88" s="36" t="s">
        <v>66</v>
      </c>
      <c r="J88" s="270" t="s">
        <v>66</v>
      </c>
      <c r="K88" s="231">
        <v>8</v>
      </c>
      <c r="L88" s="32">
        <v>8</v>
      </c>
      <c r="M88" s="32">
        <v>8</v>
      </c>
      <c r="N88" s="32">
        <v>8</v>
      </c>
      <c r="O88" s="32">
        <v>8</v>
      </c>
      <c r="P88" s="36"/>
      <c r="Q88" s="36"/>
      <c r="R88" s="32">
        <v>8</v>
      </c>
      <c r="S88" s="32">
        <v>8</v>
      </c>
      <c r="T88" s="32">
        <v>8</v>
      </c>
      <c r="U88" s="32">
        <v>8</v>
      </c>
      <c r="V88" s="32">
        <v>8</v>
      </c>
      <c r="W88" s="36"/>
      <c r="X88" s="36"/>
      <c r="Y88" s="32">
        <v>8</v>
      </c>
      <c r="Z88" s="32">
        <v>8</v>
      </c>
      <c r="AA88" s="32">
        <v>8</v>
      </c>
      <c r="AB88" s="32">
        <v>8</v>
      </c>
      <c r="AC88" s="32">
        <v>8</v>
      </c>
      <c r="AD88" s="36" t="s">
        <v>103</v>
      </c>
      <c r="AE88" s="36" t="s">
        <v>103</v>
      </c>
      <c r="AF88" s="32" t="s">
        <v>103</v>
      </c>
      <c r="AG88" s="32" t="s">
        <v>103</v>
      </c>
      <c r="AH88" s="136" t="s">
        <v>103</v>
      </c>
      <c r="AI88" s="470"/>
      <c r="AJ88" s="440" t="e">
        <f>_xlfn.CONCAT(#REF!,#REF!)</f>
        <v>#REF!</v>
      </c>
      <c r="AK88" s="468" t="e">
        <f t="shared" si="14"/>
        <v>#REF!</v>
      </c>
      <c r="AL88" s="446" t="e">
        <f>#REF!</f>
        <v>#REF!</v>
      </c>
      <c r="AM88">
        <f t="shared" si="15"/>
        <v>0</v>
      </c>
      <c r="AN88">
        <f t="shared" si="16"/>
        <v>0</v>
      </c>
      <c r="AO88" s="29">
        <f t="shared" si="17"/>
        <v>120</v>
      </c>
      <c r="AP88" s="1">
        <f t="shared" si="18"/>
        <v>0</v>
      </c>
      <c r="AU88" s="161" t="e">
        <f>#REF!</f>
        <v>#REF!</v>
      </c>
    </row>
    <row r="89" spans="1:47" ht="15.9">
      <c r="A89" s="1" t="s">
        <v>155</v>
      </c>
      <c r="B89" s="1" t="s">
        <v>64</v>
      </c>
      <c r="C89" s="290" t="s">
        <v>40</v>
      </c>
      <c r="D89" s="466" t="e">
        <f>#REF!</f>
        <v>#REF!</v>
      </c>
      <c r="E89" s="204">
        <v>10</v>
      </c>
      <c r="F89" s="32"/>
      <c r="G89" s="36"/>
      <c r="H89" s="32"/>
      <c r="I89" s="36"/>
      <c r="J89" s="270"/>
      <c r="K89" s="231"/>
      <c r="L89" s="32"/>
      <c r="M89" s="32"/>
      <c r="N89" s="32"/>
      <c r="O89" s="32"/>
      <c r="P89" s="36"/>
      <c r="Q89" s="36"/>
      <c r="R89" s="32">
        <v>6.5</v>
      </c>
      <c r="S89" s="32">
        <v>8</v>
      </c>
      <c r="T89" s="32"/>
      <c r="U89" s="32"/>
      <c r="V89" s="32">
        <v>16</v>
      </c>
      <c r="W89" s="36" t="s">
        <v>95</v>
      </c>
      <c r="X89" s="36" t="s">
        <v>95</v>
      </c>
      <c r="Y89" s="32" t="s">
        <v>95</v>
      </c>
      <c r="Z89" s="32">
        <v>12</v>
      </c>
      <c r="AA89" s="32"/>
      <c r="AB89" s="32"/>
      <c r="AC89" s="32"/>
      <c r="AD89" s="36"/>
      <c r="AE89" s="36"/>
      <c r="AF89" s="32"/>
      <c r="AG89" s="32"/>
      <c r="AH89" s="136"/>
      <c r="AI89" s="470"/>
      <c r="AJ89" s="440" t="e">
        <f>_xlfn.CONCAT(#REF!,#REF!)</f>
        <v>#REF!</v>
      </c>
      <c r="AK89" s="468" t="e">
        <f t="shared" si="14"/>
        <v>#REF!</v>
      </c>
      <c r="AL89" s="446" t="e">
        <f>#REF!</f>
        <v>#REF!</v>
      </c>
      <c r="AM89">
        <f t="shared" si="15"/>
        <v>0</v>
      </c>
      <c r="AN89">
        <f t="shared" si="16"/>
        <v>72</v>
      </c>
      <c r="AO89" s="29">
        <f t="shared" si="17"/>
        <v>52.5</v>
      </c>
      <c r="AP89" s="1">
        <f t="shared" si="18"/>
        <v>0</v>
      </c>
      <c r="AU89" s="161" t="e">
        <f>#REF!</f>
        <v>#REF!</v>
      </c>
    </row>
    <row r="90" spans="1:47" ht="15.9">
      <c r="A90" s="1" t="s">
        <v>58</v>
      </c>
      <c r="B90" s="1" t="s">
        <v>64</v>
      </c>
      <c r="C90" s="290" t="s">
        <v>41</v>
      </c>
      <c r="D90" s="466" t="e">
        <f>#REF!</f>
        <v>#REF!</v>
      </c>
      <c r="E90" s="204" t="s">
        <v>75</v>
      </c>
      <c r="F90" s="32" t="s">
        <v>75</v>
      </c>
      <c r="G90" s="36"/>
      <c r="H90" s="32" t="s">
        <v>75</v>
      </c>
      <c r="I90" s="36"/>
      <c r="J90" s="270"/>
      <c r="K90" s="231"/>
      <c r="L90" s="32"/>
      <c r="M90" s="32"/>
      <c r="N90" s="32">
        <v>1</v>
      </c>
      <c r="O90" s="32">
        <v>8.5</v>
      </c>
      <c r="P90" s="36"/>
      <c r="Q90" s="36"/>
      <c r="R90" s="32" t="s">
        <v>113</v>
      </c>
      <c r="S90" s="32"/>
      <c r="T90" s="32" t="s">
        <v>75</v>
      </c>
      <c r="U90" s="32" t="s">
        <v>75</v>
      </c>
      <c r="V90" s="32" t="s">
        <v>75</v>
      </c>
      <c r="W90" s="36"/>
      <c r="X90" s="36"/>
      <c r="Y90" s="32" t="s">
        <v>75</v>
      </c>
      <c r="Z90" s="32" t="s">
        <v>75</v>
      </c>
      <c r="AA90" s="32" t="s">
        <v>75</v>
      </c>
      <c r="AB90" s="32" t="s">
        <v>75</v>
      </c>
      <c r="AC90" s="32" t="s">
        <v>75</v>
      </c>
      <c r="AD90" s="36"/>
      <c r="AE90" s="36"/>
      <c r="AF90" s="32" t="s">
        <v>75</v>
      </c>
      <c r="AG90" s="32" t="s">
        <v>75</v>
      </c>
      <c r="AH90" s="136" t="s">
        <v>75</v>
      </c>
      <c r="AI90" s="470"/>
      <c r="AJ90" s="440" t="e">
        <f>_xlfn.CONCAT(#REF!,#REF!)</f>
        <v>#REF!</v>
      </c>
      <c r="AK90" s="468" t="e">
        <f t="shared" si="14"/>
        <v>#REF!</v>
      </c>
      <c r="AL90" s="446" t="e">
        <f>#REF!</f>
        <v>#REF!</v>
      </c>
      <c r="AM90">
        <f t="shared" si="15"/>
        <v>24</v>
      </c>
      <c r="AN90">
        <f t="shared" si="16"/>
        <v>0</v>
      </c>
      <c r="AO90" s="29">
        <f t="shared" si="17"/>
        <v>121.5</v>
      </c>
      <c r="AP90" s="1">
        <f t="shared" si="18"/>
        <v>0</v>
      </c>
      <c r="AU90" s="161" t="e">
        <f>#REF!</f>
        <v>#REF!</v>
      </c>
    </row>
    <row r="91" spans="1:47" ht="15.9">
      <c r="A91" s="1" t="s">
        <v>155</v>
      </c>
      <c r="B91" s="1" t="s">
        <v>93</v>
      </c>
      <c r="C91" s="290" t="s">
        <v>42</v>
      </c>
      <c r="D91" s="466" t="e">
        <f>#REF!</f>
        <v>#REF!</v>
      </c>
      <c r="E91" s="299">
        <v>17</v>
      </c>
      <c r="F91" s="37" t="s">
        <v>95</v>
      </c>
      <c r="G91" s="207" t="s">
        <v>95</v>
      </c>
      <c r="H91" s="37" t="s">
        <v>95</v>
      </c>
      <c r="I91" s="207" t="s">
        <v>95</v>
      </c>
      <c r="J91" s="271" t="s">
        <v>95</v>
      </c>
      <c r="K91" s="231">
        <v>20</v>
      </c>
      <c r="L91" s="32"/>
      <c r="M91" s="32"/>
      <c r="N91" s="32"/>
      <c r="O91" s="32"/>
      <c r="P91" s="36"/>
      <c r="Q91" s="36"/>
      <c r="R91" s="32"/>
      <c r="S91" s="32"/>
      <c r="T91" s="32"/>
      <c r="U91" s="32"/>
      <c r="V91" s="32"/>
      <c r="W91" s="36"/>
      <c r="X91" s="36"/>
      <c r="Y91" s="32"/>
      <c r="Z91" s="32"/>
      <c r="AA91" s="32"/>
      <c r="AB91" s="32"/>
      <c r="AC91" s="32"/>
      <c r="AD91" s="36"/>
      <c r="AE91" s="36"/>
      <c r="AF91" s="32"/>
      <c r="AG91" s="32" t="s">
        <v>92</v>
      </c>
      <c r="AH91" s="136" t="s">
        <v>154</v>
      </c>
      <c r="AI91" s="470"/>
      <c r="AJ91" s="440" t="e">
        <f>_xlfn.CONCAT(#REF!,#REF!)</f>
        <v>#REF!</v>
      </c>
      <c r="AK91" s="468" t="e">
        <f t="shared" si="14"/>
        <v>#REF!</v>
      </c>
      <c r="AL91" s="446" t="e">
        <f>#REF!</f>
        <v>#REF!</v>
      </c>
      <c r="AM91">
        <f t="shared" si="15"/>
        <v>0</v>
      </c>
      <c r="AN91">
        <f t="shared" si="16"/>
        <v>156</v>
      </c>
      <c r="AO91" s="29">
        <f t="shared" si="17"/>
        <v>37</v>
      </c>
      <c r="AP91" s="1">
        <f t="shared" si="18"/>
        <v>0</v>
      </c>
      <c r="AU91" s="161" t="e">
        <f>#REF!</f>
        <v>#REF!</v>
      </c>
    </row>
    <row r="92" spans="1:47" ht="15.9">
      <c r="A92" s="1" t="s">
        <v>155</v>
      </c>
      <c r="B92" s="1" t="s">
        <v>73</v>
      </c>
      <c r="C92" s="290" t="s">
        <v>43</v>
      </c>
      <c r="D92" s="466" t="e">
        <f>#REF!</f>
        <v>#REF!</v>
      </c>
      <c r="E92" s="707"/>
      <c r="F92" s="707"/>
      <c r="G92" s="707"/>
      <c r="H92" s="707"/>
      <c r="I92" s="707"/>
      <c r="J92" s="707"/>
      <c r="K92" s="219"/>
      <c r="L92" s="32">
        <v>1</v>
      </c>
      <c r="M92" s="32"/>
      <c r="N92" s="32" t="s">
        <v>103</v>
      </c>
      <c r="O92" s="32"/>
      <c r="P92" s="36"/>
      <c r="Q92" s="36"/>
      <c r="R92" s="32">
        <v>16.5</v>
      </c>
      <c r="S92" s="32" t="s">
        <v>95</v>
      </c>
      <c r="T92" s="32" t="s">
        <v>95</v>
      </c>
      <c r="U92" s="32" t="s">
        <v>95</v>
      </c>
      <c r="V92" s="32" t="s">
        <v>153</v>
      </c>
      <c r="W92" s="36"/>
      <c r="X92" s="36"/>
      <c r="Y92" s="32"/>
      <c r="Z92" s="32"/>
      <c r="AA92" s="32"/>
      <c r="AB92" s="32"/>
      <c r="AC92" s="32"/>
      <c r="AD92" s="36"/>
      <c r="AE92" s="36"/>
      <c r="AF92" s="32"/>
      <c r="AG92" s="32"/>
      <c r="AH92" s="136"/>
      <c r="AI92" s="470"/>
      <c r="AJ92" s="440" t="e">
        <f>_xlfn.CONCAT(#REF!,#REF!)</f>
        <v>#REF!</v>
      </c>
      <c r="AK92" s="471" t="e">
        <f t="shared" si="14"/>
        <v>#REF!</v>
      </c>
      <c r="AL92" s="446" t="e">
        <f>#REF!</f>
        <v>#REF!</v>
      </c>
      <c r="AM92">
        <f t="shared" si="15"/>
        <v>0</v>
      </c>
      <c r="AN92">
        <f t="shared" si="16"/>
        <v>84</v>
      </c>
      <c r="AO92" s="29">
        <f t="shared" si="17"/>
        <v>17.5</v>
      </c>
      <c r="AP92" s="1">
        <f t="shared" si="18"/>
        <v>0</v>
      </c>
      <c r="AQ92" s="392">
        <f>24</f>
        <v>24</v>
      </c>
      <c r="AU92" s="161" t="e">
        <f>#REF!</f>
        <v>#REF!</v>
      </c>
    </row>
    <row r="93" spans="1:47" ht="15.9">
      <c r="A93" s="1" t="s">
        <v>152</v>
      </c>
      <c r="B93" s="1" t="s">
        <v>64</v>
      </c>
      <c r="C93" s="291" t="s">
        <v>44</v>
      </c>
      <c r="D93" s="466" t="e">
        <f>#REF!</f>
        <v>#REF!</v>
      </c>
      <c r="E93" s="302"/>
      <c r="F93" s="41"/>
      <c r="G93" s="208"/>
      <c r="H93" s="41" t="s">
        <v>301</v>
      </c>
      <c r="I93" s="208"/>
      <c r="J93" s="472"/>
      <c r="K93" s="231">
        <v>5</v>
      </c>
      <c r="L93" s="32">
        <v>6</v>
      </c>
      <c r="M93" s="32"/>
      <c r="N93" s="32"/>
      <c r="O93" s="32"/>
      <c r="P93" s="36"/>
      <c r="Q93" s="36"/>
      <c r="R93" s="32">
        <v>17</v>
      </c>
      <c r="S93" s="32" t="s">
        <v>98</v>
      </c>
      <c r="T93" s="32" t="s">
        <v>98</v>
      </c>
      <c r="U93" s="32">
        <v>6</v>
      </c>
      <c r="V93" s="32"/>
      <c r="W93" s="36"/>
      <c r="X93" s="36"/>
      <c r="Y93" s="32" t="s">
        <v>301</v>
      </c>
      <c r="Z93" s="32"/>
      <c r="AA93" s="32">
        <v>8</v>
      </c>
      <c r="AB93" s="32" t="s">
        <v>113</v>
      </c>
      <c r="AC93" s="32"/>
      <c r="AD93" s="36"/>
      <c r="AE93" s="36" t="s">
        <v>301</v>
      </c>
      <c r="AF93" s="32"/>
      <c r="AG93" s="32"/>
      <c r="AH93" s="136"/>
      <c r="AI93" s="470"/>
      <c r="AJ93" s="440" t="e">
        <f>_xlfn.CONCAT(#REF!,#REF!)</f>
        <v>#REF!</v>
      </c>
      <c r="AK93" s="468" t="e">
        <f t="shared" si="14"/>
        <v>#REF!</v>
      </c>
      <c r="AL93" s="446" t="e">
        <f>#REF!</f>
        <v>#REF!</v>
      </c>
      <c r="AM93">
        <f t="shared" si="15"/>
        <v>96</v>
      </c>
      <c r="AN93">
        <f t="shared" si="16"/>
        <v>48</v>
      </c>
      <c r="AO93" s="29">
        <f t="shared" si="17"/>
        <v>42</v>
      </c>
      <c r="AP93" s="1">
        <f t="shared" si="18"/>
        <v>0</v>
      </c>
      <c r="AU93" s="161" t="e">
        <f>#REF!</f>
        <v>#REF!</v>
      </c>
    </row>
    <row r="94" spans="1:47" ht="15.9">
      <c r="A94" s="1" t="s">
        <v>152</v>
      </c>
      <c r="B94" s="1" t="s">
        <v>73</v>
      </c>
      <c r="C94" s="291" t="s">
        <v>163</v>
      </c>
      <c r="D94" s="466" t="e">
        <f>#REF!</f>
        <v>#REF!</v>
      </c>
      <c r="E94" s="204"/>
      <c r="F94" s="32">
        <v>8</v>
      </c>
      <c r="G94" s="36"/>
      <c r="H94" s="32">
        <v>4</v>
      </c>
      <c r="I94" s="36"/>
      <c r="J94" s="270"/>
      <c r="K94" s="231" t="s">
        <v>113</v>
      </c>
      <c r="L94" s="32"/>
      <c r="M94" s="32"/>
      <c r="N94" s="32">
        <v>8</v>
      </c>
      <c r="O94" s="32"/>
      <c r="P94" s="36"/>
      <c r="Q94" s="36"/>
      <c r="R94" s="32">
        <v>17</v>
      </c>
      <c r="S94" s="32" t="s">
        <v>98</v>
      </c>
      <c r="T94" s="32" t="s">
        <v>98</v>
      </c>
      <c r="U94" s="32">
        <v>6</v>
      </c>
      <c r="V94" s="32"/>
      <c r="W94" s="36">
        <v>2</v>
      </c>
      <c r="X94" s="36"/>
      <c r="Y94" s="32">
        <v>5</v>
      </c>
      <c r="Z94" s="32">
        <v>4</v>
      </c>
      <c r="AA94" s="32"/>
      <c r="AB94" s="32"/>
      <c r="AC94" s="32"/>
      <c r="AD94" s="36"/>
      <c r="AE94" s="36"/>
      <c r="AF94" s="32" t="s">
        <v>103</v>
      </c>
      <c r="AG94" s="32" t="s">
        <v>103</v>
      </c>
      <c r="AH94" s="136" t="s">
        <v>75</v>
      </c>
      <c r="AI94" s="470"/>
      <c r="AJ94" s="440" t="e">
        <f>_xlfn.CONCAT(#REF!,#REF!)</f>
        <v>#REF!</v>
      </c>
      <c r="AK94" s="468" t="e">
        <f t="shared" si="14"/>
        <v>#REF!</v>
      </c>
      <c r="AL94" s="446" t="e">
        <f>#REF!</f>
        <v>#REF!</v>
      </c>
      <c r="AM94">
        <f t="shared" si="15"/>
        <v>24</v>
      </c>
      <c r="AN94">
        <f t="shared" si="16"/>
        <v>48</v>
      </c>
      <c r="AO94" s="29">
        <f t="shared" si="17"/>
        <v>62</v>
      </c>
      <c r="AP94" s="1">
        <f t="shared" si="18"/>
        <v>0</v>
      </c>
      <c r="AU94" s="161" t="e">
        <f>#REF!</f>
        <v>#REF!</v>
      </c>
    </row>
    <row r="95" spans="1:47" ht="15.9">
      <c r="A95" s="1" t="s">
        <v>152</v>
      </c>
      <c r="B95" s="1" t="s">
        <v>64</v>
      </c>
      <c r="C95" s="291" t="s">
        <v>45</v>
      </c>
      <c r="D95" s="466" t="e">
        <f>#REF!</f>
        <v>#REF!</v>
      </c>
      <c r="E95" s="204"/>
      <c r="F95" s="32" t="s">
        <v>83</v>
      </c>
      <c r="G95" s="36" t="s">
        <v>66</v>
      </c>
      <c r="H95" s="32" t="s">
        <v>83</v>
      </c>
      <c r="I95" s="36" t="s">
        <v>66</v>
      </c>
      <c r="J95" s="270" t="s">
        <v>66</v>
      </c>
      <c r="K95" s="231" t="s">
        <v>83</v>
      </c>
      <c r="L95" s="231" t="s">
        <v>83</v>
      </c>
      <c r="M95" s="231" t="s">
        <v>83</v>
      </c>
      <c r="N95" s="231" t="s">
        <v>83</v>
      </c>
      <c r="O95" s="231" t="s">
        <v>83</v>
      </c>
      <c r="P95" s="36" t="s">
        <v>66</v>
      </c>
      <c r="Q95" s="36" t="s">
        <v>66</v>
      </c>
      <c r="R95" s="32" t="s">
        <v>83</v>
      </c>
      <c r="S95" s="32" t="s">
        <v>83</v>
      </c>
      <c r="T95" s="32" t="s">
        <v>83</v>
      </c>
      <c r="U95" s="32" t="s">
        <v>83</v>
      </c>
      <c r="V95" s="32" t="s">
        <v>83</v>
      </c>
      <c r="W95" s="36" t="s">
        <v>66</v>
      </c>
      <c r="X95" s="36" t="s">
        <v>66</v>
      </c>
      <c r="Y95" s="32" t="s">
        <v>83</v>
      </c>
      <c r="Z95" s="32">
        <v>7</v>
      </c>
      <c r="AA95" s="32"/>
      <c r="AB95" s="32"/>
      <c r="AC95" s="32" t="s">
        <v>103</v>
      </c>
      <c r="AD95" s="36" t="s">
        <v>113</v>
      </c>
      <c r="AE95" s="36"/>
      <c r="AF95" s="32"/>
      <c r="AG95" s="32"/>
      <c r="AH95" s="136"/>
      <c r="AI95" s="470"/>
      <c r="AJ95" s="440" t="e">
        <f>_xlfn.CONCAT(#REF!,#REF!)</f>
        <v>#REF!</v>
      </c>
      <c r="AK95" s="468" t="e">
        <f t="shared" si="14"/>
        <v>#REF!</v>
      </c>
      <c r="AL95" s="446" t="e">
        <f>#REF!</f>
        <v>#REF!</v>
      </c>
      <c r="AM95">
        <f t="shared" si="15"/>
        <v>24</v>
      </c>
      <c r="AN95">
        <f t="shared" si="16"/>
        <v>0</v>
      </c>
      <c r="AO95" s="29">
        <f t="shared" si="17"/>
        <v>111</v>
      </c>
      <c r="AP95" s="1">
        <f t="shared" si="18"/>
        <v>0</v>
      </c>
      <c r="AU95" s="161" t="e">
        <f>#REF!</f>
        <v>#REF!</v>
      </c>
    </row>
    <row r="96" spans="1:47" ht="15.9">
      <c r="A96" s="1" t="s">
        <v>152</v>
      </c>
      <c r="B96" s="1" t="s">
        <v>93</v>
      </c>
      <c r="C96" s="291" t="s">
        <v>46</v>
      </c>
      <c r="D96" s="466" t="e">
        <f>#REF!</f>
        <v>#REF!</v>
      </c>
      <c r="E96" s="204"/>
      <c r="F96" s="32"/>
      <c r="G96" s="36"/>
      <c r="H96" s="32">
        <v>17</v>
      </c>
      <c r="I96" s="36" t="s">
        <v>70</v>
      </c>
      <c r="J96" s="270" t="s">
        <v>70</v>
      </c>
      <c r="K96" s="231" t="s">
        <v>70</v>
      </c>
      <c r="L96" s="32">
        <v>16</v>
      </c>
      <c r="M96" s="32"/>
      <c r="N96" s="32"/>
      <c r="O96" s="32"/>
      <c r="P96" s="36"/>
      <c r="Q96" s="36"/>
      <c r="R96" s="32"/>
      <c r="S96" s="32">
        <v>4</v>
      </c>
      <c r="T96" s="32">
        <v>8</v>
      </c>
      <c r="U96" s="32"/>
      <c r="V96" s="32"/>
      <c r="W96" s="36"/>
      <c r="X96" s="36" t="s">
        <v>301</v>
      </c>
      <c r="Y96" s="32"/>
      <c r="Z96" s="32"/>
      <c r="AA96" s="32"/>
      <c r="AB96" s="32"/>
      <c r="AC96" s="32"/>
      <c r="AD96" s="36"/>
      <c r="AE96" s="36"/>
      <c r="AF96" s="32" t="s">
        <v>103</v>
      </c>
      <c r="AG96" s="32" t="s">
        <v>103</v>
      </c>
      <c r="AH96" s="136" t="s">
        <v>103</v>
      </c>
      <c r="AI96" s="470"/>
      <c r="AJ96" s="440" t="e">
        <f>_xlfn.CONCAT(#REF!,#REF!)</f>
        <v>#REF!</v>
      </c>
      <c r="AK96" s="468" t="e">
        <f t="shared" si="14"/>
        <v>#REF!</v>
      </c>
      <c r="AL96" s="446" t="e">
        <f>#REF!</f>
        <v>#REF!</v>
      </c>
      <c r="AM96">
        <f t="shared" si="15"/>
        <v>24</v>
      </c>
      <c r="AN96">
        <f t="shared" si="16"/>
        <v>72</v>
      </c>
      <c r="AO96" s="29">
        <f t="shared" si="17"/>
        <v>45</v>
      </c>
      <c r="AP96" s="1">
        <f t="shared" si="18"/>
        <v>0</v>
      </c>
      <c r="AU96" s="161" t="e">
        <f>#REF!</f>
        <v>#REF!</v>
      </c>
    </row>
    <row r="97" spans="1:47" ht="15.9">
      <c r="A97" s="1" t="s">
        <v>152</v>
      </c>
      <c r="B97" s="1" t="s">
        <v>64</v>
      </c>
      <c r="C97" s="291" t="s">
        <v>47</v>
      </c>
      <c r="D97" s="466" t="e">
        <f>#REF!</f>
        <v>#REF!</v>
      </c>
      <c r="E97" s="204"/>
      <c r="F97" s="32"/>
      <c r="G97" s="36"/>
      <c r="H97" s="32" t="s">
        <v>113</v>
      </c>
      <c r="I97" s="36"/>
      <c r="J97" s="270"/>
      <c r="K97" s="231"/>
      <c r="L97" s="32" t="s">
        <v>301</v>
      </c>
      <c r="M97" s="32"/>
      <c r="N97" s="32" t="s">
        <v>66</v>
      </c>
      <c r="O97" s="32" t="s">
        <v>66</v>
      </c>
      <c r="P97" s="36" t="s">
        <v>66</v>
      </c>
      <c r="Q97" s="36" t="s">
        <v>66</v>
      </c>
      <c r="R97" s="32" t="s">
        <v>75</v>
      </c>
      <c r="S97" s="32" t="s">
        <v>75</v>
      </c>
      <c r="T97" s="32" t="s">
        <v>75</v>
      </c>
      <c r="U97" s="32" t="s">
        <v>75</v>
      </c>
      <c r="V97" s="32" t="s">
        <v>75</v>
      </c>
      <c r="W97" s="32" t="s">
        <v>66</v>
      </c>
      <c r="X97" s="36" t="s">
        <v>66</v>
      </c>
      <c r="Y97" s="32" t="s">
        <v>75</v>
      </c>
      <c r="Z97" s="32"/>
      <c r="AA97" s="32"/>
      <c r="AB97" s="32"/>
      <c r="AC97" s="32"/>
      <c r="AD97" s="36"/>
      <c r="AE97" s="36"/>
      <c r="AF97" s="32"/>
      <c r="AG97" s="32" t="s">
        <v>92</v>
      </c>
      <c r="AH97" s="136" t="s">
        <v>154</v>
      </c>
      <c r="AI97" s="470"/>
      <c r="AJ97" s="440" t="e">
        <f>_xlfn.CONCAT(#REF!,#REF!)</f>
        <v>#REF!</v>
      </c>
      <c r="AK97" s="468" t="e">
        <f t="shared" si="14"/>
        <v>#REF!</v>
      </c>
      <c r="AL97" s="446" t="e">
        <f>#REF!</f>
        <v>#REF!</v>
      </c>
      <c r="AM97">
        <f t="shared" si="15"/>
        <v>48</v>
      </c>
      <c r="AN97">
        <f t="shared" si="16"/>
        <v>36</v>
      </c>
      <c r="AO97" s="29">
        <f t="shared" si="17"/>
        <v>48</v>
      </c>
      <c r="AP97" s="1">
        <f t="shared" si="18"/>
        <v>0</v>
      </c>
      <c r="AU97" s="161" t="e">
        <f>#REF!</f>
        <v>#REF!</v>
      </c>
    </row>
    <row r="98" spans="1:47" ht="15.9">
      <c r="A98" s="1" t="s">
        <v>152</v>
      </c>
      <c r="B98" s="1" t="s">
        <v>64</v>
      </c>
      <c r="C98" s="291" t="s">
        <v>48</v>
      </c>
      <c r="D98" s="466" t="e">
        <f>#REF!</f>
        <v>#REF!</v>
      </c>
      <c r="E98" s="204"/>
      <c r="F98" s="32" t="s">
        <v>301</v>
      </c>
      <c r="G98" s="36"/>
      <c r="H98" s="32"/>
      <c r="I98" s="36"/>
      <c r="J98" s="270"/>
      <c r="K98" s="231"/>
      <c r="L98" s="32"/>
      <c r="M98" s="32" t="s">
        <v>113</v>
      </c>
      <c r="N98" s="32"/>
      <c r="O98" s="32"/>
      <c r="P98" s="36"/>
      <c r="Q98" s="36"/>
      <c r="R98" s="32">
        <v>17</v>
      </c>
      <c r="S98" s="32" t="s">
        <v>98</v>
      </c>
      <c r="T98" s="32" t="s">
        <v>98</v>
      </c>
      <c r="U98" s="32">
        <v>6</v>
      </c>
      <c r="V98" s="32"/>
      <c r="W98" s="36"/>
      <c r="X98" s="36"/>
      <c r="Y98" s="32"/>
      <c r="Z98" s="32"/>
      <c r="AA98" s="32"/>
      <c r="AB98" s="32"/>
      <c r="AC98" s="32"/>
      <c r="AD98" s="36" t="s">
        <v>301</v>
      </c>
      <c r="AE98" s="36"/>
      <c r="AF98" s="32"/>
      <c r="AG98" s="32"/>
      <c r="AH98" s="136"/>
      <c r="AI98" s="470"/>
      <c r="AJ98" s="440" t="e">
        <f>_xlfn.CONCAT(#REF!,#REF!)</f>
        <v>#REF!</v>
      </c>
      <c r="AK98" s="468" t="e">
        <f t="shared" si="14"/>
        <v>#REF!</v>
      </c>
      <c r="AL98" s="446" t="e">
        <f>#REF!</f>
        <v>#REF!</v>
      </c>
      <c r="AM98">
        <f t="shared" si="15"/>
        <v>72</v>
      </c>
      <c r="AN98">
        <f t="shared" si="16"/>
        <v>48</v>
      </c>
      <c r="AO98" s="29">
        <f t="shared" si="17"/>
        <v>23</v>
      </c>
      <c r="AP98" s="1">
        <f t="shared" si="18"/>
        <v>0</v>
      </c>
      <c r="AU98" s="161" t="e">
        <f>#REF!</f>
        <v>#REF!</v>
      </c>
    </row>
    <row r="99" spans="1:47" ht="15.9">
      <c r="A99" s="1" t="s">
        <v>58</v>
      </c>
      <c r="B99" s="1" t="s">
        <v>73</v>
      </c>
      <c r="C99" s="290" t="s">
        <v>49</v>
      </c>
      <c r="D99" s="466" t="e">
        <f>#REF!</f>
        <v>#REF!</v>
      </c>
      <c r="E99" s="204">
        <v>15</v>
      </c>
      <c r="F99" s="32"/>
      <c r="G99" s="36"/>
      <c r="H99" s="32"/>
      <c r="I99" s="36"/>
      <c r="J99" s="270"/>
      <c r="K99" s="231">
        <v>8</v>
      </c>
      <c r="L99" s="32" t="s">
        <v>103</v>
      </c>
      <c r="M99" s="32" t="s">
        <v>103</v>
      </c>
      <c r="N99" s="32" t="s">
        <v>103</v>
      </c>
      <c r="O99" s="32" t="s">
        <v>103</v>
      </c>
      <c r="P99" s="36"/>
      <c r="Q99" s="36"/>
      <c r="R99" s="32">
        <v>8</v>
      </c>
      <c r="S99" s="32">
        <v>8</v>
      </c>
      <c r="T99" s="32"/>
      <c r="U99" s="32">
        <v>8</v>
      </c>
      <c r="V99" s="32">
        <v>17</v>
      </c>
      <c r="W99" s="36" t="s">
        <v>95</v>
      </c>
      <c r="X99" s="36" t="s">
        <v>95</v>
      </c>
      <c r="Y99" s="32" t="s">
        <v>95</v>
      </c>
      <c r="Z99" s="32">
        <v>15</v>
      </c>
      <c r="AA99" s="32"/>
      <c r="AB99" s="32"/>
      <c r="AC99" s="32"/>
      <c r="AD99" s="36"/>
      <c r="AE99" s="36" t="s">
        <v>113</v>
      </c>
      <c r="AF99" s="32"/>
      <c r="AG99" s="32"/>
      <c r="AH99" s="136"/>
      <c r="AI99" s="470"/>
      <c r="AJ99" s="440" t="e">
        <f>_xlfn.CONCAT(#REF!,#REF!)</f>
        <v>#REF!</v>
      </c>
      <c r="AK99" s="468" t="e">
        <f t="shared" si="14"/>
        <v>#REF!</v>
      </c>
      <c r="AL99" s="446" t="e">
        <f>#REF!</f>
        <v>#REF!</v>
      </c>
      <c r="AM99">
        <f t="shared" si="15"/>
        <v>24</v>
      </c>
      <c r="AN99">
        <f t="shared" si="16"/>
        <v>72</v>
      </c>
      <c r="AO99" s="29">
        <f t="shared" si="17"/>
        <v>79</v>
      </c>
      <c r="AP99" s="1">
        <f t="shared" si="18"/>
        <v>0</v>
      </c>
      <c r="AU99" s="161" t="e">
        <f>#REF!</f>
        <v>#REF!</v>
      </c>
    </row>
    <row r="100" spans="1:47" ht="15.9">
      <c r="A100" s="1" t="s">
        <v>155</v>
      </c>
      <c r="B100" s="1" t="s">
        <v>73</v>
      </c>
      <c r="C100" s="290" t="s">
        <v>50</v>
      </c>
      <c r="D100" s="466" t="e">
        <f>#REF!</f>
        <v>#REF!</v>
      </c>
      <c r="E100" s="204"/>
      <c r="F100" s="32"/>
      <c r="G100" s="36"/>
      <c r="H100" s="32"/>
      <c r="I100" s="36"/>
      <c r="J100" s="270"/>
      <c r="K100" s="231">
        <v>7</v>
      </c>
      <c r="L100" s="32" t="s">
        <v>95</v>
      </c>
      <c r="M100" s="32" t="s">
        <v>95</v>
      </c>
      <c r="N100" s="32" t="s">
        <v>95</v>
      </c>
      <c r="O100" s="32" t="s">
        <v>95</v>
      </c>
      <c r="P100" s="36" t="s">
        <v>95</v>
      </c>
      <c r="Q100" s="36" t="s">
        <v>95</v>
      </c>
      <c r="R100" s="32">
        <v>15</v>
      </c>
      <c r="S100" s="32"/>
      <c r="T100" s="32"/>
      <c r="U100" s="32"/>
      <c r="V100" s="32"/>
      <c r="W100" s="36" t="s">
        <v>113</v>
      </c>
      <c r="X100" s="36"/>
      <c r="Y100" s="32"/>
      <c r="Z100" s="32"/>
      <c r="AA100" s="32"/>
      <c r="AB100" s="32"/>
      <c r="AC100" s="32"/>
      <c r="AD100" s="36"/>
      <c r="AE100" s="36"/>
      <c r="AF100" s="32"/>
      <c r="AG100" s="32"/>
      <c r="AH100" s="136"/>
      <c r="AI100" s="470"/>
      <c r="AJ100" s="440" t="e">
        <f>_xlfn.CONCAT(#REF!,#REF!)</f>
        <v>#REF!</v>
      </c>
      <c r="AK100" s="468" t="e">
        <f t="shared" si="14"/>
        <v>#REF!</v>
      </c>
      <c r="AL100" s="446" t="e">
        <f>#REF!</f>
        <v>#REF!</v>
      </c>
      <c r="AM100">
        <f t="shared" si="15"/>
        <v>24</v>
      </c>
      <c r="AN100">
        <f t="shared" si="16"/>
        <v>144</v>
      </c>
      <c r="AO100" s="29">
        <f t="shared" si="17"/>
        <v>22</v>
      </c>
      <c r="AP100" s="1">
        <f t="shared" si="18"/>
        <v>0</v>
      </c>
      <c r="AU100" s="161" t="e">
        <f>#REF!</f>
        <v>#REF!</v>
      </c>
    </row>
    <row r="101" spans="1:47" ht="15.9">
      <c r="A101" s="1" t="s">
        <v>155</v>
      </c>
      <c r="B101" s="1" t="s">
        <v>59</v>
      </c>
      <c r="C101" s="304" t="s">
        <v>51</v>
      </c>
      <c r="D101" s="466" t="e">
        <f>#REF!</f>
        <v>#REF!</v>
      </c>
      <c r="E101" s="204">
        <v>15</v>
      </c>
      <c r="F101" s="32"/>
      <c r="G101" s="36"/>
      <c r="H101" s="32"/>
      <c r="I101" s="36"/>
      <c r="J101" s="270"/>
      <c r="K101" s="231"/>
      <c r="L101" s="32"/>
      <c r="M101" s="32"/>
      <c r="N101" s="32"/>
      <c r="O101" s="32"/>
      <c r="P101" s="36"/>
      <c r="Q101" s="36"/>
      <c r="R101" s="32"/>
      <c r="S101" s="32"/>
      <c r="T101" s="32"/>
      <c r="U101" s="32"/>
      <c r="V101" s="32">
        <v>16</v>
      </c>
      <c r="W101" s="36" t="s">
        <v>95</v>
      </c>
      <c r="X101" s="36" t="s">
        <v>95</v>
      </c>
      <c r="Y101" s="32" t="s">
        <v>95</v>
      </c>
      <c r="Z101" s="32">
        <v>13</v>
      </c>
      <c r="AA101" s="32"/>
      <c r="AB101" s="32"/>
      <c r="AC101" s="32"/>
      <c r="AD101" s="36"/>
      <c r="AE101" s="36"/>
      <c r="AF101" s="32"/>
      <c r="AG101" s="32"/>
      <c r="AH101" s="136"/>
      <c r="AI101" s="470"/>
      <c r="AJ101" s="474" t="e">
        <f>_xlfn.CONCAT(#REF!,#REF!)</f>
        <v>#REF!</v>
      </c>
      <c r="AK101" s="475" t="e">
        <f t="shared" si="14"/>
        <v>#REF!</v>
      </c>
      <c r="AL101" s="446" t="e">
        <f>#REF!</f>
        <v>#REF!</v>
      </c>
      <c r="AM101">
        <f t="shared" si="15"/>
        <v>0</v>
      </c>
      <c r="AN101">
        <f t="shared" si="16"/>
        <v>72</v>
      </c>
      <c r="AO101" s="29">
        <f t="shared" si="17"/>
        <v>44</v>
      </c>
      <c r="AP101" s="1">
        <f t="shared" si="18"/>
        <v>0</v>
      </c>
      <c r="AU101" s="161" t="e">
        <f>#REF!</f>
        <v>#REF!</v>
      </c>
    </row>
    <row r="102" spans="1:47" ht="15.9">
      <c r="C102" s="56" t="s">
        <v>329</v>
      </c>
      <c r="D102" s="57"/>
      <c r="E102" s="58"/>
      <c r="F102" s="58"/>
      <c r="G102" s="58"/>
      <c r="H102" s="58"/>
      <c r="I102" s="58" t="s">
        <v>113</v>
      </c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9"/>
      <c r="AH102" s="27"/>
      <c r="AI102" s="27"/>
      <c r="AJ102" s="60"/>
      <c r="AK102" s="27" t="e">
        <f>SUM(AK51:AK101)</f>
        <v>#REF!</v>
      </c>
      <c r="AL102" s="27" t="e">
        <f>SUM(AL51:AL101)</f>
        <v>#REF!</v>
      </c>
      <c r="AM102" s="28"/>
      <c r="AN102"/>
      <c r="AO102" s="29"/>
      <c r="AU102" s="57"/>
    </row>
    <row r="103" spans="1:47" ht="15.9">
      <c r="B103" s="61"/>
      <c r="C103" s="62" t="s">
        <v>120</v>
      </c>
      <c r="D103" s="63"/>
      <c r="E103" s="64">
        <f t="shared" ref="E103:AI103" si="19">E34</f>
        <v>1</v>
      </c>
      <c r="F103" s="64">
        <f t="shared" si="19"/>
        <v>1</v>
      </c>
      <c r="G103" s="64">
        <f t="shared" si="19"/>
        <v>1</v>
      </c>
      <c r="H103" s="64">
        <f t="shared" si="19"/>
        <v>1</v>
      </c>
      <c r="I103" s="64">
        <f t="shared" si="19"/>
        <v>1</v>
      </c>
      <c r="J103" s="64">
        <f t="shared" si="19"/>
        <v>1</v>
      </c>
      <c r="K103" s="64">
        <f t="shared" si="19"/>
        <v>1</v>
      </c>
      <c r="L103" s="64">
        <f t="shared" si="19"/>
        <v>1</v>
      </c>
      <c r="M103" s="64">
        <f t="shared" si="19"/>
        <v>1</v>
      </c>
      <c r="N103" s="64">
        <f t="shared" si="19"/>
        <v>1</v>
      </c>
      <c r="O103" s="64">
        <f t="shared" si="19"/>
        <v>1</v>
      </c>
      <c r="P103" s="64">
        <f t="shared" si="19"/>
        <v>1</v>
      </c>
      <c r="Q103" s="64">
        <f t="shared" si="19"/>
        <v>1</v>
      </c>
      <c r="R103" s="64">
        <f t="shared" si="19"/>
        <v>1</v>
      </c>
      <c r="S103" s="64">
        <f t="shared" si="19"/>
        <v>1</v>
      </c>
      <c r="T103" s="64">
        <f t="shared" si="19"/>
        <v>1</v>
      </c>
      <c r="U103" s="64">
        <f t="shared" si="19"/>
        <v>1</v>
      </c>
      <c r="V103" s="64">
        <f t="shared" si="19"/>
        <v>1</v>
      </c>
      <c r="W103" s="64">
        <f t="shared" si="19"/>
        <v>1</v>
      </c>
      <c r="X103" s="64">
        <f t="shared" si="19"/>
        <v>1</v>
      </c>
      <c r="Y103" s="64">
        <f t="shared" si="19"/>
        <v>1</v>
      </c>
      <c r="Z103" s="64">
        <f t="shared" si="19"/>
        <v>1</v>
      </c>
      <c r="AA103" s="64">
        <f t="shared" si="19"/>
        <v>1</v>
      </c>
      <c r="AB103" s="64">
        <f t="shared" si="19"/>
        <v>2</v>
      </c>
      <c r="AC103" s="64">
        <f t="shared" si="19"/>
        <v>1</v>
      </c>
      <c r="AD103" s="64">
        <f t="shared" si="19"/>
        <v>1</v>
      </c>
      <c r="AE103" s="64">
        <f t="shared" si="19"/>
        <v>0</v>
      </c>
      <c r="AF103" s="64">
        <f t="shared" si="19"/>
        <v>1</v>
      </c>
      <c r="AG103" s="64">
        <f t="shared" si="19"/>
        <v>1</v>
      </c>
      <c r="AH103" s="64">
        <f t="shared" si="19"/>
        <v>0</v>
      </c>
      <c r="AI103" s="64">
        <f t="shared" si="19"/>
        <v>0</v>
      </c>
      <c r="AJ103"/>
      <c r="AK103" s="27"/>
      <c r="AL103" s="27"/>
      <c r="AM103" s="28"/>
      <c r="AN103"/>
      <c r="AO103" s="29"/>
      <c r="AU103" s="476"/>
    </row>
    <row r="104" spans="1:47" ht="15.9">
      <c r="B104" s="61"/>
      <c r="C104" s="65" t="s">
        <v>121</v>
      </c>
      <c r="D104" s="66"/>
      <c r="E104" s="64">
        <f t="shared" ref="E104:AI104" si="20">E35</f>
        <v>2</v>
      </c>
      <c r="F104" s="64">
        <f t="shared" si="20"/>
        <v>2</v>
      </c>
      <c r="G104" s="64">
        <f t="shared" si="20"/>
        <v>2</v>
      </c>
      <c r="H104" s="64">
        <f t="shared" si="20"/>
        <v>2</v>
      </c>
      <c r="I104" s="64">
        <f t="shared" si="20"/>
        <v>3</v>
      </c>
      <c r="J104" s="64">
        <f t="shared" si="20"/>
        <v>1</v>
      </c>
      <c r="K104" s="64">
        <f t="shared" si="20"/>
        <v>2</v>
      </c>
      <c r="L104" s="64">
        <f t="shared" si="20"/>
        <v>2</v>
      </c>
      <c r="M104" s="64">
        <f t="shared" si="20"/>
        <v>2</v>
      </c>
      <c r="N104" s="64">
        <f t="shared" si="20"/>
        <v>2</v>
      </c>
      <c r="O104" s="64">
        <f t="shared" si="20"/>
        <v>2</v>
      </c>
      <c r="P104" s="64">
        <f t="shared" si="20"/>
        <v>2</v>
      </c>
      <c r="Q104" s="64">
        <f t="shared" si="20"/>
        <v>2</v>
      </c>
      <c r="R104" s="64">
        <f t="shared" si="20"/>
        <v>2</v>
      </c>
      <c r="S104" s="64">
        <f t="shared" si="20"/>
        <v>2</v>
      </c>
      <c r="T104" s="64">
        <f t="shared" si="20"/>
        <v>2</v>
      </c>
      <c r="U104" s="64">
        <f t="shared" si="20"/>
        <v>2</v>
      </c>
      <c r="V104" s="64">
        <f t="shared" si="20"/>
        <v>2</v>
      </c>
      <c r="W104" s="64">
        <f t="shared" si="20"/>
        <v>2</v>
      </c>
      <c r="X104" s="64">
        <f t="shared" si="20"/>
        <v>2</v>
      </c>
      <c r="Y104" s="64">
        <f t="shared" si="20"/>
        <v>2</v>
      </c>
      <c r="Z104" s="64">
        <f t="shared" si="20"/>
        <v>2</v>
      </c>
      <c r="AA104" s="64">
        <f t="shared" si="20"/>
        <v>2</v>
      </c>
      <c r="AB104" s="64">
        <f t="shared" si="20"/>
        <v>2</v>
      </c>
      <c r="AC104" s="64">
        <f t="shared" si="20"/>
        <v>2</v>
      </c>
      <c r="AD104" s="64">
        <f t="shared" si="20"/>
        <v>2</v>
      </c>
      <c r="AE104" s="64">
        <f t="shared" si="20"/>
        <v>2</v>
      </c>
      <c r="AF104" s="64">
        <f t="shared" si="20"/>
        <v>2</v>
      </c>
      <c r="AG104" s="64">
        <f t="shared" si="20"/>
        <v>2</v>
      </c>
      <c r="AH104" s="64">
        <f t="shared" si="20"/>
        <v>0</v>
      </c>
      <c r="AI104" s="64">
        <f t="shared" si="20"/>
        <v>0</v>
      </c>
      <c r="AJ104"/>
      <c r="AK104" s="27">
        <f>24*(COUNTIF(E104:AH104,0))+24*(COUNTIF(E104:AH104,1))</f>
        <v>48</v>
      </c>
      <c r="AL104" s="27"/>
      <c r="AM104" s="28"/>
      <c r="AN104"/>
      <c r="AO104" s="29"/>
      <c r="AU104" s="66"/>
    </row>
    <row r="105" spans="1:47">
      <c r="C105" s="67" t="s">
        <v>122</v>
      </c>
      <c r="D105" s="68"/>
      <c r="E105" s="64">
        <f t="shared" ref="E105:AI105" si="21">E36</f>
        <v>3</v>
      </c>
      <c r="F105" s="64">
        <f t="shared" si="21"/>
        <v>3</v>
      </c>
      <c r="G105" s="64">
        <f t="shared" si="21"/>
        <v>3</v>
      </c>
      <c r="H105" s="64">
        <f t="shared" si="21"/>
        <v>1</v>
      </c>
      <c r="I105" s="64">
        <f t="shared" si="21"/>
        <v>6</v>
      </c>
      <c r="J105" s="64">
        <f t="shared" si="21"/>
        <v>6</v>
      </c>
      <c r="K105" s="64">
        <f t="shared" si="21"/>
        <v>6</v>
      </c>
      <c r="L105" s="64">
        <f t="shared" si="21"/>
        <v>0</v>
      </c>
      <c r="M105" s="64">
        <f t="shared" si="21"/>
        <v>4</v>
      </c>
      <c r="N105" s="64">
        <f t="shared" si="21"/>
        <v>4</v>
      </c>
      <c r="O105" s="64">
        <f t="shared" si="21"/>
        <v>1</v>
      </c>
      <c r="P105" s="64">
        <f t="shared" si="21"/>
        <v>3</v>
      </c>
      <c r="Q105" s="64">
        <f t="shared" si="21"/>
        <v>4</v>
      </c>
      <c r="R105" s="64">
        <f t="shared" si="21"/>
        <v>0</v>
      </c>
      <c r="S105" s="64">
        <f t="shared" si="21"/>
        <v>4</v>
      </c>
      <c r="T105" s="64">
        <f t="shared" si="21"/>
        <v>4</v>
      </c>
      <c r="U105" s="64">
        <f t="shared" si="21"/>
        <v>4</v>
      </c>
      <c r="V105" s="64">
        <f t="shared" si="21"/>
        <v>1</v>
      </c>
      <c r="W105" s="64">
        <f t="shared" si="21"/>
        <v>4</v>
      </c>
      <c r="X105" s="64">
        <f t="shared" si="21"/>
        <v>4</v>
      </c>
      <c r="Y105" s="64">
        <f t="shared" si="21"/>
        <v>0</v>
      </c>
      <c r="Z105" s="64">
        <f t="shared" si="21"/>
        <v>4</v>
      </c>
      <c r="AA105" s="64">
        <f t="shared" si="21"/>
        <v>4</v>
      </c>
      <c r="AB105" s="64">
        <f t="shared" si="21"/>
        <v>3</v>
      </c>
      <c r="AC105" s="64">
        <f t="shared" si="21"/>
        <v>2</v>
      </c>
      <c r="AD105" s="64">
        <f t="shared" si="21"/>
        <v>4</v>
      </c>
      <c r="AE105" s="64">
        <f t="shared" si="21"/>
        <v>4</v>
      </c>
      <c r="AF105" s="64">
        <f t="shared" si="21"/>
        <v>0</v>
      </c>
      <c r="AG105" s="64">
        <f t="shared" si="21"/>
        <v>4</v>
      </c>
      <c r="AH105" s="64">
        <f t="shared" si="21"/>
        <v>4</v>
      </c>
      <c r="AI105" s="64">
        <f t="shared" si="21"/>
        <v>0</v>
      </c>
      <c r="AJ105"/>
      <c r="AK105" s="27"/>
      <c r="AL105" s="27"/>
      <c r="AM105" s="28"/>
      <c r="AN105"/>
      <c r="AO105" s="29"/>
      <c r="AU105" s="68"/>
    </row>
    <row r="106" spans="1:47">
      <c r="C106" s="69" t="s">
        <v>123</v>
      </c>
      <c r="D106" s="70"/>
      <c r="E106" s="64">
        <f t="shared" ref="E106:AI106" si="22">E37</f>
        <v>0</v>
      </c>
      <c r="F106" s="64">
        <f t="shared" si="22"/>
        <v>3</v>
      </c>
      <c r="G106" s="64">
        <f t="shared" si="22"/>
        <v>3</v>
      </c>
      <c r="H106" s="64">
        <f t="shared" si="22"/>
        <v>2</v>
      </c>
      <c r="I106" s="64">
        <f t="shared" si="22"/>
        <v>3</v>
      </c>
      <c r="J106" s="64">
        <f t="shared" si="22"/>
        <v>3</v>
      </c>
      <c r="K106" s="64">
        <f t="shared" si="22"/>
        <v>0</v>
      </c>
      <c r="L106" s="64">
        <f t="shared" si="22"/>
        <v>4</v>
      </c>
      <c r="M106" s="64">
        <f t="shared" si="22"/>
        <v>4</v>
      </c>
      <c r="N106" s="64">
        <f t="shared" si="22"/>
        <v>4</v>
      </c>
      <c r="O106" s="64">
        <f t="shared" si="22"/>
        <v>4</v>
      </c>
      <c r="P106" s="64">
        <f t="shared" si="22"/>
        <v>4</v>
      </c>
      <c r="Q106" s="64">
        <f t="shared" si="22"/>
        <v>4</v>
      </c>
      <c r="R106" s="64">
        <f t="shared" si="22"/>
        <v>0</v>
      </c>
      <c r="S106" s="64">
        <f t="shared" si="22"/>
        <v>4</v>
      </c>
      <c r="T106" s="64">
        <f t="shared" si="22"/>
        <v>4</v>
      </c>
      <c r="U106" s="64">
        <f t="shared" si="22"/>
        <v>4</v>
      </c>
      <c r="V106" s="64">
        <f t="shared" si="22"/>
        <v>0</v>
      </c>
      <c r="W106" s="64">
        <f t="shared" si="22"/>
        <v>4</v>
      </c>
      <c r="X106" s="64">
        <f t="shared" si="22"/>
        <v>4</v>
      </c>
      <c r="Y106" s="64">
        <f t="shared" si="22"/>
        <v>4</v>
      </c>
      <c r="Z106" s="64">
        <f t="shared" si="22"/>
        <v>0</v>
      </c>
      <c r="AA106" s="64">
        <f t="shared" si="22"/>
        <v>4</v>
      </c>
      <c r="AB106" s="64">
        <f t="shared" si="22"/>
        <v>4</v>
      </c>
      <c r="AC106" s="64">
        <f t="shared" si="22"/>
        <v>4</v>
      </c>
      <c r="AD106" s="64">
        <f t="shared" si="22"/>
        <v>4</v>
      </c>
      <c r="AE106" s="64">
        <f t="shared" si="22"/>
        <v>4</v>
      </c>
      <c r="AF106" s="64">
        <f t="shared" si="22"/>
        <v>4</v>
      </c>
      <c r="AG106" s="64">
        <f t="shared" si="22"/>
        <v>0</v>
      </c>
      <c r="AH106" s="64">
        <f t="shared" si="22"/>
        <v>4</v>
      </c>
      <c r="AI106" s="64">
        <f t="shared" si="22"/>
        <v>0</v>
      </c>
      <c r="AJ106"/>
      <c r="AK106" s="27"/>
      <c r="AL106" s="27"/>
      <c r="AM106" s="28"/>
      <c r="AN106"/>
      <c r="AO106" s="29"/>
      <c r="AU106" s="477"/>
    </row>
    <row r="107" spans="1:47" ht="15.9">
      <c r="C107" s="56"/>
      <c r="D107" s="57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97"/>
      <c r="AH107" s="98"/>
      <c r="AI107" s="27"/>
      <c r="AJ107"/>
      <c r="AK107" s="27"/>
      <c r="AL107" s="27"/>
      <c r="AM107" s="28"/>
      <c r="AN107"/>
      <c r="AO107" s="29"/>
      <c r="AU107" s="57"/>
    </row>
    <row r="108" spans="1:47" s="73" customFormat="1">
      <c r="C108" s="660" t="s">
        <v>122</v>
      </c>
      <c r="D108" s="660"/>
      <c r="E108" s="99"/>
      <c r="F108" s="661"/>
      <c r="G108" s="661"/>
      <c r="H108" s="661"/>
      <c r="I108" s="100"/>
      <c r="J108" s="661"/>
      <c r="K108" s="661"/>
      <c r="L108" s="100"/>
      <c r="M108" s="661"/>
      <c r="N108" s="661"/>
      <c r="O108" s="661"/>
      <c r="P108" s="100"/>
      <c r="Q108" s="661"/>
      <c r="R108" s="661"/>
      <c r="S108" s="100"/>
      <c r="T108" s="661"/>
      <c r="U108" s="661"/>
      <c r="V108" s="661"/>
      <c r="W108" s="100"/>
      <c r="X108" s="661"/>
      <c r="Y108" s="661"/>
      <c r="Z108" s="100"/>
      <c r="AA108" s="661"/>
      <c r="AB108" s="661"/>
      <c r="AC108" s="661"/>
      <c r="AD108" s="100"/>
      <c r="AE108" s="658"/>
      <c r="AF108" s="658"/>
      <c r="AG108" s="101"/>
      <c r="AH108" s="658"/>
      <c r="AI108" s="658"/>
      <c r="AJ108" s="80"/>
      <c r="AK108" s="27"/>
      <c r="AL108" s="27"/>
      <c r="AM108" s="28"/>
      <c r="AN108"/>
      <c r="AO108" s="29"/>
      <c r="AP108" s="1"/>
      <c r="AQ108" s="1"/>
      <c r="AU108" s="478"/>
    </row>
    <row r="109" spans="1:47" s="73" customFormat="1">
      <c r="C109" s="660"/>
      <c r="D109" s="660"/>
      <c r="E109" s="102"/>
      <c r="F109" s="653"/>
      <c r="G109" s="653"/>
      <c r="H109" s="653"/>
      <c r="I109" s="103"/>
      <c r="J109" s="653"/>
      <c r="K109" s="653"/>
      <c r="L109" s="103"/>
      <c r="M109" s="653"/>
      <c r="N109" s="653"/>
      <c r="O109" s="653"/>
      <c r="P109" s="103"/>
      <c r="Q109" s="653"/>
      <c r="R109" s="653"/>
      <c r="S109" s="103"/>
      <c r="T109" s="653"/>
      <c r="U109" s="653"/>
      <c r="V109" s="653"/>
      <c r="W109" s="103"/>
      <c r="X109" s="653"/>
      <c r="Y109" s="653"/>
      <c r="Z109" s="103"/>
      <c r="AA109" s="653"/>
      <c r="AB109" s="653"/>
      <c r="AC109" s="653"/>
      <c r="AD109" s="103"/>
      <c r="AE109" s="648"/>
      <c r="AF109" s="648"/>
      <c r="AG109" s="104"/>
      <c r="AH109" s="648"/>
      <c r="AI109" s="648"/>
      <c r="AJ109" s="80"/>
      <c r="AK109" s="27"/>
      <c r="AL109" s="27"/>
      <c r="AM109" s="28"/>
      <c r="AN109"/>
      <c r="AO109" s="29"/>
      <c r="AP109" s="1"/>
      <c r="AQ109" s="1"/>
      <c r="AU109" s="479"/>
    </row>
    <row r="110" spans="1:47" s="73" customFormat="1">
      <c r="C110" s="660"/>
      <c r="D110" s="660"/>
      <c r="E110" s="102"/>
      <c r="F110" s="653"/>
      <c r="G110" s="653"/>
      <c r="H110" s="653"/>
      <c r="I110" s="103"/>
      <c r="J110" s="653"/>
      <c r="K110" s="653"/>
      <c r="L110" s="103"/>
      <c r="M110" s="653"/>
      <c r="N110" s="653"/>
      <c r="O110" s="653"/>
      <c r="P110" s="103"/>
      <c r="Q110" s="653"/>
      <c r="R110" s="653"/>
      <c r="S110" s="103"/>
      <c r="T110" s="653"/>
      <c r="U110" s="653"/>
      <c r="V110" s="653"/>
      <c r="W110" s="103"/>
      <c r="X110" s="653"/>
      <c r="Y110" s="653"/>
      <c r="Z110" s="103"/>
      <c r="AA110" s="653"/>
      <c r="AB110" s="653"/>
      <c r="AC110" s="653"/>
      <c r="AD110" s="103"/>
      <c r="AE110" s="648"/>
      <c r="AF110" s="648"/>
      <c r="AG110" s="105"/>
      <c r="AH110" s="648"/>
      <c r="AI110" s="648"/>
      <c r="AJ110" s="80"/>
      <c r="AK110" s="27"/>
      <c r="AL110" s="27"/>
      <c r="AM110" s="28"/>
      <c r="AN110"/>
      <c r="AO110" s="29"/>
      <c r="AP110" s="1"/>
      <c r="AQ110" s="1"/>
      <c r="AU110" s="479"/>
    </row>
    <row r="111" spans="1:47" s="73" customFormat="1">
      <c r="C111" s="660"/>
      <c r="D111" s="660"/>
      <c r="E111" s="106"/>
      <c r="F111" s="649"/>
      <c r="G111" s="649"/>
      <c r="H111" s="649"/>
      <c r="I111" s="107"/>
      <c r="J111" s="649"/>
      <c r="K111" s="649"/>
      <c r="L111" s="107"/>
      <c r="M111" s="649"/>
      <c r="N111" s="649"/>
      <c r="O111" s="649"/>
      <c r="P111" s="107"/>
      <c r="Q111" s="649"/>
      <c r="R111" s="649"/>
      <c r="S111" s="107"/>
      <c r="T111" s="649"/>
      <c r="U111" s="649"/>
      <c r="V111" s="649"/>
      <c r="W111" s="107"/>
      <c r="X111" s="649"/>
      <c r="Y111" s="649"/>
      <c r="Z111" s="107"/>
      <c r="AA111" s="649"/>
      <c r="AB111" s="649"/>
      <c r="AC111" s="649"/>
      <c r="AD111" s="107"/>
      <c r="AE111" s="651"/>
      <c r="AF111" s="651"/>
      <c r="AG111" s="108"/>
      <c r="AH111" s="651"/>
      <c r="AI111" s="651"/>
      <c r="AJ111" s="80"/>
      <c r="AK111" s="27"/>
      <c r="AL111" s="27"/>
      <c r="AM111" s="28"/>
      <c r="AN111"/>
      <c r="AO111" s="29"/>
      <c r="AP111" s="1"/>
      <c r="AQ111" s="1"/>
      <c r="AU111" s="480"/>
    </row>
    <row r="112" spans="1:47" s="73" customFormat="1">
      <c r="C112" s="77"/>
      <c r="D112" s="77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109"/>
      <c r="AH112" s="110"/>
      <c r="AI112" s="79"/>
      <c r="AJ112" s="80"/>
      <c r="AK112" s="27"/>
      <c r="AL112" s="27"/>
      <c r="AM112" s="28"/>
      <c r="AN112"/>
      <c r="AO112" s="29"/>
      <c r="AP112" s="1"/>
      <c r="AQ112" s="1"/>
      <c r="AU112" s="77"/>
    </row>
    <row r="113" spans="3:47" s="73" customFormat="1" ht="11.25" customHeight="1">
      <c r="C113" s="655" t="s">
        <v>123</v>
      </c>
      <c r="D113" s="655"/>
      <c r="E113" s="99"/>
      <c r="F113" s="656"/>
      <c r="G113" s="656"/>
      <c r="H113" s="656"/>
      <c r="I113" s="100"/>
      <c r="J113" s="657"/>
      <c r="K113" s="657"/>
      <c r="L113" s="100"/>
      <c r="M113" s="656"/>
      <c r="N113" s="656"/>
      <c r="O113" s="656"/>
      <c r="P113" s="100"/>
      <c r="Q113" s="657"/>
      <c r="R113" s="657"/>
      <c r="S113" s="100"/>
      <c r="T113" s="656"/>
      <c r="U113" s="656"/>
      <c r="V113" s="656"/>
      <c r="W113" s="100"/>
      <c r="X113" s="656"/>
      <c r="Y113" s="656"/>
      <c r="Z113" s="100"/>
      <c r="AA113" s="656"/>
      <c r="AB113" s="656"/>
      <c r="AC113" s="656"/>
      <c r="AD113" s="100"/>
      <c r="AE113" s="652"/>
      <c r="AF113" s="652"/>
      <c r="AG113" s="113"/>
      <c r="AH113" s="652"/>
      <c r="AI113" s="652"/>
      <c r="AJ113" s="80"/>
      <c r="AK113" s="27"/>
      <c r="AL113" s="27"/>
      <c r="AM113" s="28"/>
      <c r="AN113"/>
      <c r="AO113" s="29"/>
      <c r="AP113" s="1"/>
      <c r="AQ113" s="1"/>
      <c r="AU113" s="481"/>
    </row>
    <row r="114" spans="3:47" s="73" customFormat="1" ht="11.25" customHeight="1">
      <c r="C114" s="655"/>
      <c r="D114" s="655"/>
      <c r="E114" s="102"/>
      <c r="F114" s="653"/>
      <c r="G114" s="653"/>
      <c r="H114" s="653"/>
      <c r="I114" s="103"/>
      <c r="J114" s="654"/>
      <c r="K114" s="654"/>
      <c r="L114" s="103"/>
      <c r="M114" s="653"/>
      <c r="N114" s="653"/>
      <c r="O114" s="653"/>
      <c r="P114" s="103"/>
      <c r="Q114" s="654"/>
      <c r="R114" s="654"/>
      <c r="S114" s="103"/>
      <c r="T114" s="653"/>
      <c r="U114" s="653"/>
      <c r="V114" s="653"/>
      <c r="W114" s="103"/>
      <c r="X114" s="653"/>
      <c r="Y114" s="653"/>
      <c r="Z114" s="103"/>
      <c r="AA114" s="653"/>
      <c r="AB114" s="653"/>
      <c r="AC114" s="653"/>
      <c r="AD114" s="103"/>
      <c r="AE114" s="648"/>
      <c r="AF114" s="648"/>
      <c r="AG114" s="104"/>
      <c r="AH114" s="648"/>
      <c r="AI114" s="648"/>
      <c r="AJ114" s="80"/>
      <c r="AK114" s="27"/>
      <c r="AL114" s="27"/>
      <c r="AM114" s="28"/>
      <c r="AN114"/>
      <c r="AO114" s="29"/>
      <c r="AP114" s="1"/>
      <c r="AQ114" s="1"/>
      <c r="AU114" s="482"/>
    </row>
    <row r="115" spans="3:47" s="73" customFormat="1" ht="11.25" customHeight="1">
      <c r="C115" s="655"/>
      <c r="D115" s="655"/>
      <c r="E115" s="102"/>
      <c r="F115" s="653"/>
      <c r="G115" s="653"/>
      <c r="H115" s="653"/>
      <c r="I115" s="103"/>
      <c r="J115" s="654"/>
      <c r="K115" s="654"/>
      <c r="L115" s="103"/>
      <c r="M115" s="653"/>
      <c r="N115" s="653"/>
      <c r="O115" s="653"/>
      <c r="P115" s="103"/>
      <c r="Q115" s="654"/>
      <c r="R115" s="654"/>
      <c r="S115" s="103"/>
      <c r="T115" s="653"/>
      <c r="U115" s="653"/>
      <c r="V115" s="653"/>
      <c r="W115" s="103"/>
      <c r="X115" s="653"/>
      <c r="Y115" s="653"/>
      <c r="Z115" s="103"/>
      <c r="AA115" s="653"/>
      <c r="AB115" s="653"/>
      <c r="AC115" s="653"/>
      <c r="AD115" s="103"/>
      <c r="AE115" s="648"/>
      <c r="AF115" s="648"/>
      <c r="AG115" s="104"/>
      <c r="AH115" s="648"/>
      <c r="AI115" s="648"/>
      <c r="AJ115" s="80"/>
      <c r="AK115" s="27"/>
      <c r="AL115" s="27"/>
      <c r="AM115" s="28"/>
      <c r="AN115"/>
      <c r="AO115" s="29"/>
      <c r="AP115" s="1"/>
      <c r="AQ115" s="1"/>
      <c r="AU115" s="482"/>
    </row>
    <row r="116" spans="3:47" s="73" customFormat="1" ht="11.25" customHeight="1">
      <c r="C116" s="655"/>
      <c r="D116" s="655"/>
      <c r="E116" s="106"/>
      <c r="F116" s="649"/>
      <c r="G116" s="649"/>
      <c r="H116" s="649"/>
      <c r="I116" s="107"/>
      <c r="J116" s="650"/>
      <c r="K116" s="650"/>
      <c r="L116" s="107"/>
      <c r="M116" s="649"/>
      <c r="N116" s="649"/>
      <c r="O116" s="649"/>
      <c r="P116" s="107"/>
      <c r="Q116" s="650"/>
      <c r="R116" s="650"/>
      <c r="S116" s="107"/>
      <c r="T116" s="649"/>
      <c r="U116" s="649"/>
      <c r="V116" s="649"/>
      <c r="W116" s="107"/>
      <c r="X116" s="649"/>
      <c r="Y116" s="649"/>
      <c r="Z116" s="107"/>
      <c r="AA116" s="649"/>
      <c r="AB116" s="649"/>
      <c r="AC116" s="649"/>
      <c r="AD116" s="107"/>
      <c r="AE116" s="651"/>
      <c r="AF116" s="651"/>
      <c r="AG116" s="108"/>
      <c r="AH116" s="651"/>
      <c r="AI116" s="651"/>
      <c r="AJ116" s="80"/>
      <c r="AK116" s="27"/>
      <c r="AL116" s="27"/>
      <c r="AM116" s="28"/>
      <c r="AN116"/>
      <c r="AO116" s="29"/>
      <c r="AP116" s="1"/>
      <c r="AQ116" s="1"/>
      <c r="AU116" s="483"/>
    </row>
    <row r="117" spans="3:47" ht="15.9">
      <c r="C117" s="61"/>
      <c r="D117" s="81"/>
      <c r="AK117" s="27"/>
      <c r="AL117" s="27"/>
      <c r="AM117" s="28"/>
      <c r="AN117"/>
      <c r="AO117" s="29"/>
      <c r="AU117" s="81"/>
    </row>
  </sheetData>
  <autoFilter ref="A50:AH106" xr:uid="{00000000-0009-0000-0000-00000E000000}"/>
  <mergeCells count="155">
    <mergeCell ref="E20:J20"/>
    <mergeCell ref="E21:J21"/>
    <mergeCell ref="E26:J26"/>
    <mergeCell ref="E33:L33"/>
    <mergeCell ref="C39:D42"/>
    <mergeCell ref="F39:H39"/>
    <mergeCell ref="J39:K39"/>
    <mergeCell ref="M39:O39"/>
    <mergeCell ref="Q39:R39"/>
    <mergeCell ref="F41:H41"/>
    <mergeCell ref="J41:K41"/>
    <mergeCell ref="M41:O41"/>
    <mergeCell ref="Q41:R41"/>
    <mergeCell ref="T39:V39"/>
    <mergeCell ref="X39:Y39"/>
    <mergeCell ref="AA39:AC39"/>
    <mergeCell ref="AE39:AF39"/>
    <mergeCell ref="AH39:AI39"/>
    <mergeCell ref="F40:H40"/>
    <mergeCell ref="J40:K40"/>
    <mergeCell ref="M40:O40"/>
    <mergeCell ref="Q40:R40"/>
    <mergeCell ref="T40:V40"/>
    <mergeCell ref="X40:Y40"/>
    <mergeCell ref="AA40:AC40"/>
    <mergeCell ref="AE40:AF40"/>
    <mergeCell ref="AH40:AI40"/>
    <mergeCell ref="T41:V41"/>
    <mergeCell ref="X41:Y41"/>
    <mergeCell ref="AA41:AC41"/>
    <mergeCell ref="AE41:AF41"/>
    <mergeCell ref="AH41:AI41"/>
    <mergeCell ref="F42:H42"/>
    <mergeCell ref="J42:K42"/>
    <mergeCell ref="M42:O42"/>
    <mergeCell ref="Q42:R42"/>
    <mergeCell ref="T42:V42"/>
    <mergeCell ref="X42:Y42"/>
    <mergeCell ref="AA42:AC42"/>
    <mergeCell ref="AE42:AF42"/>
    <mergeCell ref="AH42:AI42"/>
    <mergeCell ref="C44:D47"/>
    <mergeCell ref="F44:H44"/>
    <mergeCell ref="J44:K44"/>
    <mergeCell ref="M44:O44"/>
    <mergeCell ref="Q44:R44"/>
    <mergeCell ref="T44:V44"/>
    <mergeCell ref="X44:Y44"/>
    <mergeCell ref="AA44:AC44"/>
    <mergeCell ref="AE44:AF44"/>
    <mergeCell ref="F46:H46"/>
    <mergeCell ref="J46:K46"/>
    <mergeCell ref="M46:O46"/>
    <mergeCell ref="Q46:R46"/>
    <mergeCell ref="T46:V46"/>
    <mergeCell ref="X46:Y46"/>
    <mergeCell ref="AA46:AC46"/>
    <mergeCell ref="AE46:AF46"/>
    <mergeCell ref="AH44:AI44"/>
    <mergeCell ref="F45:H45"/>
    <mergeCell ref="J45:K45"/>
    <mergeCell ref="M45:O45"/>
    <mergeCell ref="Q45:R45"/>
    <mergeCell ref="T45:V45"/>
    <mergeCell ref="X45:Y45"/>
    <mergeCell ref="AA45:AC45"/>
    <mergeCell ref="AE45:AF45"/>
    <mergeCell ref="AH45:AI45"/>
    <mergeCell ref="AH46:AI46"/>
    <mergeCell ref="F47:H47"/>
    <mergeCell ref="J47:K47"/>
    <mergeCell ref="M47:O47"/>
    <mergeCell ref="Q47:R47"/>
    <mergeCell ref="T47:V47"/>
    <mergeCell ref="X47:Y47"/>
    <mergeCell ref="AA47:AC47"/>
    <mergeCell ref="AE47:AF47"/>
    <mergeCell ref="AH47:AI47"/>
    <mergeCell ref="E61:J61"/>
    <mergeCell ref="E80:J80"/>
    <mergeCell ref="E92:J92"/>
    <mergeCell ref="C108:D111"/>
    <mergeCell ref="F108:H108"/>
    <mergeCell ref="J108:K108"/>
    <mergeCell ref="M108:O108"/>
    <mergeCell ref="Q108:R108"/>
    <mergeCell ref="T108:V108"/>
    <mergeCell ref="F110:H110"/>
    <mergeCell ref="J110:K110"/>
    <mergeCell ref="M110:O110"/>
    <mergeCell ref="Q110:R110"/>
    <mergeCell ref="T110:V110"/>
    <mergeCell ref="X108:Y108"/>
    <mergeCell ref="AA108:AC108"/>
    <mergeCell ref="AE108:AF108"/>
    <mergeCell ref="AH108:AI108"/>
    <mergeCell ref="F109:H109"/>
    <mergeCell ref="J109:K109"/>
    <mergeCell ref="M109:O109"/>
    <mergeCell ref="Q109:R109"/>
    <mergeCell ref="T109:V109"/>
    <mergeCell ref="X109:Y109"/>
    <mergeCell ref="AA109:AC109"/>
    <mergeCell ref="AE109:AF109"/>
    <mergeCell ref="AH109:AI109"/>
    <mergeCell ref="X110:Y110"/>
    <mergeCell ref="AA110:AC110"/>
    <mergeCell ref="AE110:AF110"/>
    <mergeCell ref="AH110:AI110"/>
    <mergeCell ref="F111:H111"/>
    <mergeCell ref="J111:K111"/>
    <mergeCell ref="M111:O111"/>
    <mergeCell ref="Q111:R111"/>
    <mergeCell ref="T111:V111"/>
    <mergeCell ref="X111:Y111"/>
    <mergeCell ref="AA111:AC111"/>
    <mergeCell ref="AE111:AF111"/>
    <mergeCell ref="AH111:AI111"/>
    <mergeCell ref="C113:D116"/>
    <mergeCell ref="F113:H113"/>
    <mergeCell ref="J113:K113"/>
    <mergeCell ref="M113:O113"/>
    <mergeCell ref="Q113:R113"/>
    <mergeCell ref="T113:V113"/>
    <mergeCell ref="X113:Y113"/>
    <mergeCell ref="AA113:AC113"/>
    <mergeCell ref="AE113:AF113"/>
    <mergeCell ref="F115:H115"/>
    <mergeCell ref="J115:K115"/>
    <mergeCell ref="M115:O115"/>
    <mergeCell ref="Q115:R115"/>
    <mergeCell ref="T115:V115"/>
    <mergeCell ref="X115:Y115"/>
    <mergeCell ref="AA115:AC115"/>
    <mergeCell ref="AE115:AF115"/>
    <mergeCell ref="AH113:AI113"/>
    <mergeCell ref="F114:H114"/>
    <mergeCell ref="J114:K114"/>
    <mergeCell ref="M114:O114"/>
    <mergeCell ref="Q114:R114"/>
    <mergeCell ref="T114:V114"/>
    <mergeCell ref="X114:Y114"/>
    <mergeCell ref="AA114:AC114"/>
    <mergeCell ref="AE114:AF114"/>
    <mergeCell ref="AH114:AI114"/>
    <mergeCell ref="AH115:AI115"/>
    <mergeCell ref="F116:H116"/>
    <mergeCell ref="J116:K116"/>
    <mergeCell ref="M116:O116"/>
    <mergeCell ref="Q116:R116"/>
    <mergeCell ref="T116:V116"/>
    <mergeCell ref="X116:Y116"/>
    <mergeCell ref="AA116:AC116"/>
    <mergeCell ref="AE116:AF116"/>
    <mergeCell ref="AH116:AI116"/>
  </mergeCells>
  <conditionalFormatting sqref="A2:A33">
    <cfRule type="containsText" dxfId="625" priority="202" operator="containsText" text="SG068">
      <formula>NOT(ISERROR(SEARCH("SG068",A2)))</formula>
    </cfRule>
    <cfRule type="containsText" dxfId="624" priority="203" operator="containsText" text="SG214">
      <formula>NOT(ISERROR(SEARCH("SG214",A2)))</formula>
    </cfRule>
    <cfRule type="containsText" dxfId="623" priority="201" operator="containsText" text="SG007">
      <formula>NOT(ISERROR(SEARCH("SG007",A2)))</formula>
    </cfRule>
    <cfRule type="containsText" dxfId="622" priority="204" operator="containsText" text="SG212">
      <formula>NOT(ISERROR(SEARCH("SG212",A2)))</formula>
    </cfRule>
  </conditionalFormatting>
  <conditionalFormatting sqref="A5:A33">
    <cfRule type="containsText" dxfId="621" priority="205" operator="containsText" text="SG070">
      <formula>NOT(ISERROR(SEARCH("SG070",A5)))</formula>
    </cfRule>
  </conditionalFormatting>
  <conditionalFormatting sqref="A102">
    <cfRule type="containsText" dxfId="620" priority="211" operator="containsText" text="SG007">
      <formula>NOT(ISERROR(SEARCH("SG007",A102)))</formula>
    </cfRule>
    <cfRule type="containsText" dxfId="619" priority="212" operator="containsText" text="SG068">
      <formula>NOT(ISERROR(SEARCH("SG068",A102)))</formula>
    </cfRule>
    <cfRule type="containsText" dxfId="618" priority="215" operator="containsText" text="SG070">
      <formula>NOT(ISERROR(SEARCH("SG070",A102)))</formula>
    </cfRule>
    <cfRule type="containsText" dxfId="617" priority="214" operator="containsText" text="SG212">
      <formula>NOT(ISERROR(SEARCH("SG212",A102)))</formula>
    </cfRule>
    <cfRule type="containsText" dxfId="616" priority="213" operator="containsText" text="SG214">
      <formula>NOT(ISERROR(SEARCH("SG214",A102)))</formula>
    </cfRule>
  </conditionalFormatting>
  <conditionalFormatting sqref="E61 E62:I65 E66:AH66 E67:I79 E80 E81:I91 E92 E93:I101">
    <cfRule type="containsText" dxfId="615" priority="292" operator="containsText" text="u">
      <formula>NOT(ISERROR(SEARCH("u",E61)))</formula>
    </cfRule>
    <cfRule type="cellIs" dxfId="614" priority="295" operator="greaterThan">
      <formula>0</formula>
    </cfRule>
    <cfRule type="containsText" dxfId="613" priority="294" operator="containsText" text="d">
      <formula>NOT(ISERROR(SEARCH("d",E61)))</formula>
    </cfRule>
    <cfRule type="containsText" dxfId="612" priority="293" operator="containsText" text="s">
      <formula>NOT(ISERROR(SEARCH("s",E61)))</formula>
    </cfRule>
    <cfRule type="containsText" dxfId="611" priority="291" operator="containsText" text="k">
      <formula>NOT(ISERROR(SEARCH("k",E61)))</formula>
    </cfRule>
    <cfRule type="containsText" dxfId="610" priority="290" operator="containsText" text="wse">
      <formula>NOT(ISERROR(SEARCH("wse",E61)))</formula>
    </cfRule>
  </conditionalFormatting>
  <conditionalFormatting sqref="E61 E62:I65 E66:AH66 E67:I79 E80 E81:I91 E92">
    <cfRule type="containsText" dxfId="608" priority="287" operator="containsText" text="l4">
      <formula>NOT(ISERROR(SEARCH("l4",E61)))</formula>
    </cfRule>
    <cfRule type="containsText" dxfId="607" priority="288" operator="containsText" text="12g">
      <formula>NOT(ISERROR(SEARCH("12g",E61)))</formula>
    </cfRule>
  </conditionalFormatting>
  <conditionalFormatting sqref="E51:I60">
    <cfRule type="containsText" dxfId="606" priority="223" operator="containsText" text="s">
      <formula>NOT(ISERROR(SEARCH("s",E51)))</formula>
    </cfRule>
    <cfRule type="containsText" dxfId="605" priority="218" operator="containsText" text="12g">
      <formula>NOT(ISERROR(SEARCH("12g",E51)))</formula>
    </cfRule>
    <cfRule type="containsText" dxfId="604" priority="217" operator="containsText" text="l4">
      <formula>NOT(ISERROR(SEARCH("l4",E51)))</formula>
    </cfRule>
    <cfRule type="containsText" dxfId="603" priority="222" operator="containsText" text="u">
      <formula>NOT(ISERROR(SEARCH("u",E51)))</formula>
    </cfRule>
    <cfRule type="cellIs" dxfId="602" priority="225" operator="greaterThan">
      <formula>0</formula>
    </cfRule>
    <cfRule type="containsText" dxfId="601" priority="224" operator="containsText" text="d">
      <formula>NOT(ISERROR(SEARCH("d",E51)))</formula>
    </cfRule>
    <cfRule type="containsText" dxfId="600" priority="221" operator="containsText" text="k">
      <formula>NOT(ISERROR(SEARCH("k",E51)))</formula>
    </cfRule>
    <cfRule type="containsText" dxfId="599" priority="220" operator="containsText" text="wse">
      <formula>NOT(ISERROR(SEARCH("wse",E51)))</formula>
    </cfRule>
  </conditionalFormatting>
  <conditionalFormatting sqref="E93:I102 L96:P102">
    <cfRule type="containsText" dxfId="597" priority="83" operator="containsText" text="l4">
      <formula>NOT(ISERROR(SEARCH("l4",E93)))</formula>
    </cfRule>
    <cfRule type="containsText" dxfId="596" priority="84" operator="containsText" text="12g">
      <formula>NOT(ISERROR(SEARCH("12g",E93)))</formula>
    </cfRule>
  </conditionalFormatting>
  <conditionalFormatting sqref="E102:I102 L102:P102 S102:W102 Z102:AD102">
    <cfRule type="cellIs" dxfId="595" priority="91" operator="greaterThan">
      <formula>0</formula>
    </cfRule>
  </conditionalFormatting>
  <conditionalFormatting sqref="E102:I102 L102:P102 S102:W102">
    <cfRule type="containsText" dxfId="594" priority="90" operator="containsText" text="d">
      <formula>NOT(ISERROR(SEARCH("d",E102)))</formula>
    </cfRule>
    <cfRule type="containsText" dxfId="593" priority="89" operator="containsText" text="s">
      <formula>NOT(ISERROR(SEARCH("s",E102)))</formula>
    </cfRule>
    <cfRule type="containsText" dxfId="592" priority="87" operator="containsText" text="k">
      <formula>NOT(ISERROR(SEARCH("k",E102)))</formula>
    </cfRule>
    <cfRule type="containsText" dxfId="590" priority="88" operator="containsText" text="u">
      <formula>NOT(ISERROR(SEARCH("u",E102)))</formula>
    </cfRule>
    <cfRule type="containsText" dxfId="589" priority="86" operator="containsText" text="wse">
      <formula>NOT(ISERROR(SEARCH("wse",E102)))</formula>
    </cfRule>
  </conditionalFormatting>
  <conditionalFormatting sqref="E51:AH101">
    <cfRule type="containsText" dxfId="588" priority="486" operator="containsText" text="$">
      <formula>NOT(ISERROR(SEARCH("$",E51)))</formula>
    </cfRule>
  </conditionalFormatting>
  <conditionalFormatting sqref="E36:AI36">
    <cfRule type="cellIs" dxfId="587" priority="49" operator="greaterThan">
      <formula>3.5</formula>
    </cfRule>
  </conditionalFormatting>
  <conditionalFormatting sqref="E36:AI37">
    <cfRule type="cellIs" dxfId="586" priority="46" operator="equal">
      <formula>0</formula>
    </cfRule>
  </conditionalFormatting>
  <conditionalFormatting sqref="E37:AI37">
    <cfRule type="cellIs" dxfId="585" priority="18" operator="greaterThan">
      <formula>3.5</formula>
    </cfRule>
  </conditionalFormatting>
  <conditionalFormatting sqref="E103:AI103">
    <cfRule type="cellIs" dxfId="584" priority="95" operator="greaterThan">
      <formula>1.5</formula>
    </cfRule>
  </conditionalFormatting>
  <conditionalFormatting sqref="E103:AI104">
    <cfRule type="cellIs" dxfId="583" priority="92" operator="between">
      <formula>0.5</formula>
      <formula>1.5</formula>
    </cfRule>
  </conditionalFormatting>
  <conditionalFormatting sqref="E103:AI106">
    <cfRule type="cellIs" dxfId="582" priority="93" operator="equal">
      <formula>0</formula>
    </cfRule>
  </conditionalFormatting>
  <conditionalFormatting sqref="E104:AI104">
    <cfRule type="cellIs" dxfId="581" priority="96" operator="greaterThan">
      <formula>1.5</formula>
    </cfRule>
  </conditionalFormatting>
  <conditionalFormatting sqref="E105:AI105">
    <cfRule type="cellIs" dxfId="580" priority="97" operator="greaterThan">
      <formula>3.5</formula>
    </cfRule>
  </conditionalFormatting>
  <conditionalFormatting sqref="E106:AI106">
    <cfRule type="cellIs" dxfId="579" priority="50" operator="greaterThan">
      <formula>3.5</formula>
    </cfRule>
  </conditionalFormatting>
  <conditionalFormatting sqref="E35:AJ35">
    <cfRule type="cellIs" dxfId="578" priority="48" operator="greaterThan">
      <formula>1.5</formula>
    </cfRule>
  </conditionalFormatting>
  <conditionalFormatting sqref="J2 E2:I19 E20:E21 E22:I25 E26 E27:I32">
    <cfRule type="cellIs" dxfId="577" priority="106" operator="greaterThan">
      <formula>0</formula>
    </cfRule>
  </conditionalFormatting>
  <conditionalFormatting sqref="J2 E2:I19 E20:E21 E22:K25 E26 E27:K32">
    <cfRule type="containsText" dxfId="576" priority="104" operator="containsText" text="s">
      <formula>NOT(ISERROR(SEARCH("s",E2)))</formula>
    </cfRule>
    <cfRule type="containsText" dxfId="575" priority="103" operator="containsText" text="u">
      <formula>NOT(ISERROR(SEARCH("u",E2)))</formula>
    </cfRule>
    <cfRule type="containsText" dxfId="574" priority="101" operator="containsText" text="wse">
      <formula>NOT(ISERROR(SEARCH("wse",E2)))</formula>
    </cfRule>
    <cfRule type="containsText" dxfId="573" priority="105" operator="containsText" text="d">
      <formula>NOT(ISERROR(SEARCH("d",E2)))</formula>
    </cfRule>
    <cfRule type="containsText" dxfId="572" priority="98" operator="containsText" text="l4">
      <formula>NOT(ISERROR(SEARCH("l4",E2)))</formula>
    </cfRule>
    <cfRule type="containsText" dxfId="571" priority="99" operator="containsText" text="12g">
      <formula>NOT(ISERROR(SEARCH("12g",E2)))</formula>
    </cfRule>
    <cfRule type="containsText" dxfId="569" priority="102" operator="containsText" text="k">
      <formula>NOT(ISERROR(SEARCH("k",E2)))</formula>
    </cfRule>
  </conditionalFormatting>
  <conditionalFormatting sqref="J5:K9 J11:K19 K20:K21 K26">
    <cfRule type="containsText" dxfId="568" priority="146" operator="containsText" text="wse">
      <formula>NOT(ISERROR(SEARCH("wse",J5)))</formula>
    </cfRule>
    <cfRule type="containsText" dxfId="567" priority="144" operator="containsText" text="12g">
      <formula>NOT(ISERROR(SEARCH("12g",J5)))</formula>
    </cfRule>
    <cfRule type="containsText" dxfId="565" priority="143" operator="containsText" text="l4">
      <formula>NOT(ISERROR(SEARCH("l4",J5)))</formula>
    </cfRule>
  </conditionalFormatting>
  <conditionalFormatting sqref="J5:K19 K20:K21 K26">
    <cfRule type="containsText" dxfId="564" priority="150" operator="containsText" text="d">
      <formula>NOT(ISERROR(SEARCH("d",J5)))</formula>
    </cfRule>
    <cfRule type="containsText" dxfId="563" priority="149" operator="containsText" text="s">
      <formula>NOT(ISERROR(SEARCH("s",J5)))</formula>
    </cfRule>
    <cfRule type="containsText" dxfId="562" priority="148" operator="containsText" text="u">
      <formula>NOT(ISERROR(SEARCH("u",J5)))</formula>
    </cfRule>
    <cfRule type="containsText" dxfId="561" priority="147" operator="containsText" text="k">
      <formula>NOT(ISERROR(SEARCH("k",J5)))</formula>
    </cfRule>
  </conditionalFormatting>
  <conditionalFormatting sqref="J51:K60">
    <cfRule type="containsText" dxfId="560" priority="216" operator="containsText" text="D">
      <formula>NOT(ISERROR(SEARCH("D",J51)))</formula>
    </cfRule>
  </conditionalFormatting>
  <conditionalFormatting sqref="J102:K102">
    <cfRule type="containsText" dxfId="559" priority="54" operator="containsText" text="wse">
      <formula>NOT(ISERROR(SEARCH("wse",J102)))</formula>
    </cfRule>
    <cfRule type="containsText" dxfId="558" priority="58" operator="containsText" text="d">
      <formula>NOT(ISERROR(SEARCH("d",J102)))</formula>
    </cfRule>
    <cfRule type="containsText" dxfId="556" priority="52" operator="containsText" text="12g">
      <formula>NOT(ISERROR(SEARCH("12g",J102)))</formula>
    </cfRule>
    <cfRule type="containsText" dxfId="555" priority="51" operator="containsText" text="l4">
      <formula>NOT(ISERROR(SEARCH("l4",J102)))</formula>
    </cfRule>
    <cfRule type="containsText" dxfId="554" priority="55" operator="containsText" text="k">
      <formula>NOT(ISERROR(SEARCH("k",J102)))</formula>
    </cfRule>
    <cfRule type="containsText" dxfId="553" priority="56" operator="containsText" text="u">
      <formula>NOT(ISERROR(SEARCH("u",J102)))</formula>
    </cfRule>
    <cfRule type="containsText" dxfId="552" priority="57" operator="containsText" text="s">
      <formula>NOT(ISERROR(SEARCH("s",J102)))</formula>
    </cfRule>
  </conditionalFormatting>
  <conditionalFormatting sqref="K2 J3:K4">
    <cfRule type="containsText" dxfId="551" priority="2" operator="containsText" text="D">
      <formula>NOT(ISERROR(SEARCH("D",J2)))</formula>
    </cfRule>
  </conditionalFormatting>
  <conditionalFormatting sqref="K61 J62:K65 J67:K79 K80 J81:K91 K92 J93:K101">
    <cfRule type="containsText" dxfId="550" priority="286" operator="containsText" text="D">
      <formula>NOT(ISERROR(SEARCH("D",J61)))</formula>
    </cfRule>
  </conditionalFormatting>
  <conditionalFormatting sqref="L95:O95">
    <cfRule type="containsText" dxfId="549" priority="356" operator="containsText" text="D">
      <formula>NOT(ISERROR(SEARCH("D",L95)))</formula>
    </cfRule>
  </conditionalFormatting>
  <conditionalFormatting sqref="L2:P9 J10:P10 L11:P32">
    <cfRule type="containsText" dxfId="547" priority="110" operator="containsText" text="wse">
      <formula>NOT(ISERROR(SEARCH("wse",J2)))</formula>
    </cfRule>
    <cfRule type="containsText" dxfId="546" priority="107" operator="containsText" text="l4">
      <formula>NOT(ISERROR(SEARCH("l4",J2)))</formula>
    </cfRule>
    <cfRule type="containsText" dxfId="545" priority="108" operator="containsText" text="12g">
      <formula>NOT(ISERROR(SEARCH("12g",J2)))</formula>
    </cfRule>
  </conditionalFormatting>
  <conditionalFormatting sqref="L2:P32">
    <cfRule type="containsText" dxfId="544" priority="113" operator="containsText" text="s">
      <formula>NOT(ISERROR(SEARCH("s",L2)))</formula>
    </cfRule>
    <cfRule type="cellIs" dxfId="543" priority="115" operator="greaterThan">
      <formula>0</formula>
    </cfRule>
    <cfRule type="containsText" dxfId="542" priority="114" operator="containsText" text="d">
      <formula>NOT(ISERROR(SEARCH("d",L2)))</formula>
    </cfRule>
    <cfRule type="containsText" dxfId="541" priority="112" operator="containsText" text="u">
      <formula>NOT(ISERROR(SEARCH("u",L2)))</formula>
    </cfRule>
    <cfRule type="containsText" dxfId="540" priority="111" operator="containsText" text="k">
      <formula>NOT(ISERROR(SEARCH("k",L2)))</formula>
    </cfRule>
  </conditionalFormatting>
  <conditionalFormatting sqref="L51:P65">
    <cfRule type="cellIs" dxfId="539" priority="234" operator="greaterThan">
      <formula>0</formula>
    </cfRule>
  </conditionalFormatting>
  <conditionalFormatting sqref="L67:P94 P95 L96:P101">
    <cfRule type="containsText" dxfId="537" priority="299" operator="containsText" text="wse">
      <formula>NOT(ISERROR(SEARCH("wse",L67)))</formula>
    </cfRule>
    <cfRule type="containsText" dxfId="536" priority="300" operator="containsText" text="k">
      <formula>NOT(ISERROR(SEARCH("k",L67)))</formula>
    </cfRule>
    <cfRule type="containsText" dxfId="535" priority="302" operator="containsText" text="s">
      <formula>NOT(ISERROR(SEARCH("s",L67)))</formula>
    </cfRule>
    <cfRule type="containsText" dxfId="534" priority="303" operator="containsText" text="d">
      <formula>NOT(ISERROR(SEARCH("d",L67)))</formula>
    </cfRule>
    <cfRule type="cellIs" dxfId="533" priority="304" operator="greaterThan">
      <formula>0</formula>
    </cfRule>
    <cfRule type="containsText" dxfId="532" priority="301" operator="containsText" text="u">
      <formula>NOT(ISERROR(SEARCH("u",L67)))</formula>
    </cfRule>
  </conditionalFormatting>
  <conditionalFormatting sqref="L67:P94 P95">
    <cfRule type="containsText" dxfId="531" priority="296" operator="containsText" text="l4">
      <formula>NOT(ISERROR(SEARCH("l4",L67)))</formula>
    </cfRule>
    <cfRule type="containsText" dxfId="530" priority="297" operator="containsText" text="12g">
      <formula>NOT(ISERROR(SEARCH("12g",L67)))</formula>
    </cfRule>
  </conditionalFormatting>
  <conditionalFormatting sqref="L51:AH65">
    <cfRule type="containsText" dxfId="529" priority="227" operator="containsText" text="12g">
      <formula>NOT(ISERROR(SEARCH("12g",L51)))</formula>
    </cfRule>
    <cfRule type="containsText" dxfId="528" priority="232" operator="containsText" text="s">
      <formula>NOT(ISERROR(SEARCH("s",L51)))</formula>
    </cfRule>
    <cfRule type="containsText" dxfId="527" priority="231" operator="containsText" text="u">
      <formula>NOT(ISERROR(SEARCH("u",L51)))</formula>
    </cfRule>
    <cfRule type="containsText" dxfId="526" priority="233" operator="containsText" text="d">
      <formula>NOT(ISERROR(SEARCH("d",L51)))</formula>
    </cfRule>
    <cfRule type="containsText" dxfId="525" priority="230" operator="containsText" text="k">
      <formula>NOT(ISERROR(SEARCH("k",L51)))</formula>
    </cfRule>
    <cfRule type="containsText" dxfId="524" priority="229" operator="containsText" text="wse">
      <formula>NOT(ISERROR(SEARCH("wse",L51)))</formula>
    </cfRule>
    <cfRule type="containsText" dxfId="523" priority="226" operator="containsText" text="l4">
      <formula>NOT(ISERROR(SEARCH("l4",L51)))</formula>
    </cfRule>
  </conditionalFormatting>
  <conditionalFormatting sqref="M33:O33 R33:S33 E34:AI34 E35:AJ35">
    <cfRule type="cellIs" dxfId="521" priority="45" operator="equal">
      <formula>0</formula>
    </cfRule>
    <cfRule type="cellIs" dxfId="520" priority="44" operator="between">
      <formula>0.5</formula>
      <formula>1.5</formula>
    </cfRule>
  </conditionalFormatting>
  <conditionalFormatting sqref="M33:O33 R33:S33 E34:AI34">
    <cfRule type="cellIs" dxfId="519" priority="47" operator="greaterThan">
      <formula>1.5</formula>
    </cfRule>
  </conditionalFormatting>
  <conditionalFormatting sqref="Q102:R102">
    <cfRule type="containsText" dxfId="518" priority="62" operator="containsText" text="wse">
      <formula>NOT(ISERROR(SEARCH("wse",Q102)))</formula>
    </cfRule>
    <cfRule type="containsText" dxfId="517" priority="63" operator="containsText" text="k">
      <formula>NOT(ISERROR(SEARCH("k",Q102)))</formula>
    </cfRule>
    <cfRule type="containsText" dxfId="516" priority="65" operator="containsText" text="s">
      <formula>NOT(ISERROR(SEARCH("s",Q102)))</formula>
    </cfRule>
    <cfRule type="containsText" dxfId="515" priority="66" operator="containsText" text="d">
      <formula>NOT(ISERROR(SEARCH("d",Q102)))</formula>
    </cfRule>
    <cfRule type="containsText" dxfId="514" priority="64" operator="containsText" text="u">
      <formula>NOT(ISERROR(SEARCH("u",Q102)))</formula>
    </cfRule>
  </conditionalFormatting>
  <conditionalFormatting sqref="Q102:AF102">
    <cfRule type="containsText" dxfId="512" priority="60" operator="containsText" text="12g">
      <formula>NOT(ISERROR(SEARCH("12g",Q102)))</formula>
    </cfRule>
    <cfRule type="containsText" dxfId="511" priority="59" operator="containsText" text="l4">
      <formula>NOT(ISERROR(SEARCH("l4",Q102)))</formula>
    </cfRule>
  </conditionalFormatting>
  <conditionalFormatting sqref="Q67:AH101">
    <cfRule type="containsText" dxfId="510" priority="312" operator="containsText" text="d">
      <formula>NOT(ISERROR(SEARCH("d",Q67)))</formula>
    </cfRule>
    <cfRule type="containsText" dxfId="509" priority="311" operator="containsText" text="s">
      <formula>NOT(ISERROR(SEARCH("s",Q67)))</formula>
    </cfRule>
    <cfRule type="containsText" dxfId="508" priority="309" operator="containsText" text="k">
      <formula>NOT(ISERROR(SEARCH("k",Q67)))</formula>
    </cfRule>
    <cfRule type="containsText" dxfId="507" priority="308" operator="containsText" text="wse">
      <formula>NOT(ISERROR(SEARCH("wse",Q67)))</formula>
    </cfRule>
    <cfRule type="containsText" dxfId="505" priority="306" operator="containsText" text="12g">
      <formula>NOT(ISERROR(SEARCH("12g",Q67)))</formula>
    </cfRule>
    <cfRule type="containsText" dxfId="504" priority="305" operator="containsText" text="l4">
      <formula>NOT(ISERROR(SEARCH("l4",Q67)))</formula>
    </cfRule>
    <cfRule type="containsText" dxfId="503" priority="310" operator="containsText" text="u">
      <formula>NOT(ISERROR(SEARCH("u",Q67)))</formula>
    </cfRule>
  </conditionalFormatting>
  <conditionalFormatting sqref="Q2:AI32">
    <cfRule type="containsText" dxfId="502" priority="123" operator="containsText" text="d">
      <formula>NOT(ISERROR(SEARCH("d",Q2)))</formula>
    </cfRule>
    <cfRule type="containsText" dxfId="501" priority="121" operator="containsText" text="u">
      <formula>NOT(ISERROR(SEARCH("u",Q2)))</formula>
    </cfRule>
    <cfRule type="containsText" dxfId="500" priority="120" operator="containsText" text="k">
      <formula>NOT(ISERROR(SEARCH("k",Q2)))</formula>
    </cfRule>
    <cfRule type="containsText" dxfId="499" priority="119" operator="containsText" text="wse">
      <formula>NOT(ISERROR(SEARCH("wse",Q2)))</formula>
    </cfRule>
    <cfRule type="containsText" dxfId="497" priority="117" operator="containsText" text="12g">
      <formula>NOT(ISERROR(SEARCH("12g",Q2)))</formula>
    </cfRule>
    <cfRule type="containsText" dxfId="496" priority="122" operator="containsText" text="s">
      <formula>NOT(ISERROR(SEARCH("s",Q2)))</formula>
    </cfRule>
    <cfRule type="containsText" dxfId="495" priority="116" operator="containsText" text="l4">
      <formula>NOT(ISERROR(SEARCH("l4",Q2)))</formula>
    </cfRule>
  </conditionalFormatting>
  <conditionalFormatting sqref="S2:W32">
    <cfRule type="cellIs" dxfId="494" priority="124" operator="greaterThan">
      <formula>0</formula>
    </cfRule>
  </conditionalFormatting>
  <conditionalFormatting sqref="S51:W65">
    <cfRule type="cellIs" dxfId="493" priority="243" operator="greaterThan">
      <formula>0</formula>
    </cfRule>
  </conditionalFormatting>
  <conditionalFormatting sqref="S67:W101">
    <cfRule type="cellIs" dxfId="492" priority="313" operator="greaterThan">
      <formula>0</formula>
    </cfRule>
  </conditionalFormatting>
  <conditionalFormatting sqref="W33 Z33:AD33">
    <cfRule type="cellIs" dxfId="491" priority="43" operator="greaterThan">
      <formula>0</formula>
    </cfRule>
  </conditionalFormatting>
  <conditionalFormatting sqref="W33:AF33">
    <cfRule type="containsText" dxfId="490" priority="23" operator="containsText" text="k">
      <formula>NOT(ISERROR(SEARCH("k",W33)))</formula>
    </cfRule>
    <cfRule type="containsText" dxfId="489" priority="25" operator="containsText" text="s">
      <formula>NOT(ISERROR(SEARCH("s",W33)))</formula>
    </cfRule>
    <cfRule type="containsText" dxfId="488" priority="26" operator="containsText" text="d">
      <formula>NOT(ISERROR(SEARCH("d",W33)))</formula>
    </cfRule>
    <cfRule type="containsText" dxfId="487" priority="24" operator="containsText" text="u">
      <formula>NOT(ISERROR(SEARCH("u",W33)))</formula>
    </cfRule>
    <cfRule type="containsText" dxfId="486" priority="22" operator="containsText" text="wse">
      <formula>NOT(ISERROR(SEARCH("wse",W33)))</formula>
    </cfRule>
    <cfRule type="containsText" dxfId="484" priority="20" operator="containsText" text="12g">
      <formula>NOT(ISERROR(SEARCH("12g",W33)))</formula>
    </cfRule>
    <cfRule type="containsText" dxfId="483" priority="19" operator="containsText" text="l4">
      <formula>NOT(ISERROR(SEARCH("l4",W33)))</formula>
    </cfRule>
  </conditionalFormatting>
  <conditionalFormatting sqref="X102:Y102">
    <cfRule type="containsText" dxfId="481" priority="71" operator="containsText" text="k">
      <formula>NOT(ISERROR(SEARCH("k",X102)))</formula>
    </cfRule>
    <cfRule type="containsText" dxfId="480" priority="74" operator="containsText" text="d">
      <formula>NOT(ISERROR(SEARCH("d",X102)))</formula>
    </cfRule>
    <cfRule type="containsText" dxfId="479" priority="73" operator="containsText" text="s">
      <formula>NOT(ISERROR(SEARCH("s",X102)))</formula>
    </cfRule>
    <cfRule type="containsText" dxfId="478" priority="72" operator="containsText" text="u">
      <formula>NOT(ISERROR(SEARCH("u",X102)))</formula>
    </cfRule>
    <cfRule type="containsText" dxfId="477" priority="70" operator="containsText" text="wse">
      <formula>NOT(ISERROR(SEARCH("wse",X102)))</formula>
    </cfRule>
  </conditionalFormatting>
  <conditionalFormatting sqref="Z2:AD32">
    <cfRule type="cellIs" dxfId="476" priority="133" operator="greaterThan">
      <formula>0</formula>
    </cfRule>
  </conditionalFormatting>
  <conditionalFormatting sqref="Z51:AD65">
    <cfRule type="cellIs" dxfId="475" priority="252" operator="greaterThan">
      <formula>0</formula>
    </cfRule>
  </conditionalFormatting>
  <conditionalFormatting sqref="Z67:AD101">
    <cfRule type="cellIs" dxfId="474" priority="322" operator="greaterThan">
      <formula>0</formula>
    </cfRule>
  </conditionalFormatting>
  <conditionalFormatting sqref="Z102:AF102">
    <cfRule type="containsText" dxfId="473" priority="79" operator="containsText" text="k">
      <formula>NOT(ISERROR(SEARCH("k",Z102)))</formula>
    </cfRule>
    <cfRule type="containsText" dxfId="471" priority="78" operator="containsText" text="wse">
      <formula>NOT(ISERROR(SEARCH("wse",Z102)))</formula>
    </cfRule>
    <cfRule type="containsText" dxfId="470" priority="82" operator="containsText" text="d">
      <formula>NOT(ISERROR(SEARCH("d",Z102)))</formula>
    </cfRule>
    <cfRule type="containsText" dxfId="469" priority="81" operator="containsText" text="s">
      <formula>NOT(ISERROR(SEARCH("s",Z102)))</formula>
    </cfRule>
    <cfRule type="containsText" dxfId="468" priority="80" operator="containsText" text="u">
      <formula>NOT(ISERROR(SEARCH("u",Z102)))</formula>
    </cfRule>
  </conditionalFormatting>
  <conditionalFormatting sqref="AG51:AH65">
    <cfRule type="cellIs" dxfId="467" priority="261" operator="greaterThan">
      <formula>0</formula>
    </cfRule>
  </conditionalFormatting>
  <conditionalFormatting sqref="AG67:AH101">
    <cfRule type="cellIs" dxfId="466" priority="331" operator="greaterThan">
      <formula>0</formula>
    </cfRule>
  </conditionalFormatting>
  <conditionalFormatting sqref="AG2:AI32">
    <cfRule type="cellIs" dxfId="465" priority="142" operator="greaterThan">
      <formula>0</formula>
    </cfRule>
  </conditionalFormatting>
  <conditionalFormatting sqref="AI51:AI52">
    <cfRule type="containsText" dxfId="463" priority="178" operator="containsText" text="wse">
      <formula>NOT(ISERROR(SEARCH("wse",AI51)))</formula>
    </cfRule>
    <cfRule type="containsText" dxfId="462" priority="179" operator="containsText" text="k">
      <formula>NOT(ISERROR(SEARCH("k",AI51)))</formula>
    </cfRule>
    <cfRule type="containsText" dxfId="461" priority="180" operator="containsText" text="u">
      <formula>NOT(ISERROR(SEARCH("u",AI51)))</formula>
    </cfRule>
    <cfRule type="containsText" dxfId="460" priority="181" operator="containsText" text="s">
      <formula>NOT(ISERROR(SEARCH("s",AI51)))</formula>
    </cfRule>
    <cfRule type="containsText" dxfId="459" priority="182" operator="containsText" text="d">
      <formula>NOT(ISERROR(SEARCH("d",AI51)))</formula>
    </cfRule>
    <cfRule type="cellIs" dxfId="458" priority="183" operator="greaterThan">
      <formula>0</formula>
    </cfRule>
    <cfRule type="containsText" dxfId="457" priority="176" operator="containsText" text="12g">
      <formula>NOT(ISERROR(SEARCH("12g",AI51)))</formula>
    </cfRule>
    <cfRule type="containsText" dxfId="456" priority="175" operator="containsText" text="l4">
      <formula>NOT(ISERROR(SEARCH("l4",AI51)))</formula>
    </cfRule>
  </conditionalFormatting>
  <conditionalFormatting sqref="AK2:AK32">
    <cfRule type="cellIs" dxfId="455" priority="505" operator="greaterThan">
      <formula>0.5</formula>
    </cfRule>
    <cfRule type="cellIs" dxfId="454" priority="504" operator="equal">
      <formula>0</formula>
    </cfRule>
  </conditionalFormatting>
  <conditionalFormatting sqref="AR5:AR14">
    <cfRule type="containsText" dxfId="453" priority="8" operator="containsText" text="s">
      <formula>NOT(ISERROR(SEARCH("s",AR5)))</formula>
    </cfRule>
    <cfRule type="containsText" dxfId="452" priority="7" operator="containsText" text="u">
      <formula>NOT(ISERROR(SEARCH("u",AR5)))</formula>
    </cfRule>
    <cfRule type="containsText" dxfId="451" priority="6" operator="containsText" text="k">
      <formula>NOT(ISERROR(SEARCH("k",AR5)))</formula>
    </cfRule>
    <cfRule type="containsText" dxfId="450" priority="5" operator="containsText" text="wse">
      <formula>NOT(ISERROR(SEARCH("wse",AR5)))</formula>
    </cfRule>
    <cfRule type="containsText" dxfId="448" priority="3" operator="containsText" text="12g">
      <formula>NOT(ISERROR(SEARCH("12g",AR5)))</formula>
    </cfRule>
    <cfRule type="containsText" dxfId="447" priority="9" operator="containsText" text="d">
      <formula>NOT(ISERROR(SEARCH("d",AR5)))</formula>
    </cfRule>
  </conditionalFormatting>
  <conditionalFormatting sqref="AR15">
    <cfRule type="containsText" dxfId="446" priority="14" operator="containsText" text="k">
      <formula>NOT(ISERROR(SEARCH("k",AR15)))</formula>
    </cfRule>
    <cfRule type="containsText" dxfId="445" priority="15" operator="containsText" text="u">
      <formula>NOT(ISERROR(SEARCH("u",AR15)))</formula>
    </cfRule>
    <cfRule type="containsText" dxfId="444" priority="16" operator="containsText" text="s">
      <formula>NOT(ISERROR(SEARCH("s",AR15)))</formula>
    </cfRule>
    <cfRule type="containsText" dxfId="443" priority="17" operator="containsText" text="d">
      <formula>NOT(ISERROR(SEARCH("d",AR15)))</formula>
    </cfRule>
    <cfRule type="containsText" dxfId="441" priority="11" operator="containsText" text="12g">
      <formula>NOT(ISERROR(SEARCH("12g",AR15)))</formula>
    </cfRule>
    <cfRule type="containsText" dxfId="440" priority="10" operator="containsText" text="l4">
      <formula>NOT(ISERROR(SEARCH("l4",AR15)))</formula>
    </cfRule>
    <cfRule type="containsText" dxfId="439" priority="13" operator="containsText" text="wse">
      <formula>NOT(ISERROR(SEARCH("wse",AR15)))</formula>
    </cfRule>
  </conditionalFormatting>
  <pageMargins left="0" right="0" top="0" bottom="0" header="0.51180555555555496" footer="0.51180555555555496"/>
  <pageSetup paperSize="9" orientation="landscape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89" operator="containsText" id="{4FDEB2B1-AA98-4BB8-83ED-1525A0F06E1D}">
            <xm:f>NOT(ISERROR(SEARCH("-",E61)))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E61 E62:I65 E66:AH66 E67:I79 E80 E81:I91 E92 E93:I101</xm:sqref>
        </x14:conditionalFormatting>
        <x14:conditionalFormatting xmlns:xm="http://schemas.microsoft.com/office/excel/2006/main">
          <x14:cfRule type="containsText" priority="219" operator="containsText" id="{717F7EFD-F2FB-452E-80A5-442EC193C04B}">
            <xm:f>NOT(ISERROR(SEARCH("-",E51)))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E51:I60</xm:sqref>
        </x14:conditionalFormatting>
        <x14:conditionalFormatting xmlns:xm="http://schemas.microsoft.com/office/excel/2006/main">
          <x14:cfRule type="containsText" priority="85" operator="containsText" id="{2D6DFD8F-8C1D-4B32-B69F-9B42613923B9}">
            <xm:f>NOT(ISERROR(SEARCH("-",E102)))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E102:I102 L102:P102 S102:W102</xm:sqref>
        </x14:conditionalFormatting>
        <x14:conditionalFormatting xmlns:xm="http://schemas.microsoft.com/office/excel/2006/main">
          <x14:cfRule type="containsText" priority="100" operator="containsText" id="{7D4049F0-D0E4-4AE6-9A80-00DE773EDB13}">
            <xm:f>NOT(ISERROR(SEARCH("-",E2)))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J2 E2:I19 E20:E21 E22:K25 E26 E27:K32</xm:sqref>
        </x14:conditionalFormatting>
        <x14:conditionalFormatting xmlns:xm="http://schemas.microsoft.com/office/excel/2006/main">
          <x14:cfRule type="containsText" priority="145" operator="containsText" id="{55666455-AE26-4250-A3A4-706068FA4011}">
            <xm:f>NOT(ISERROR(SEARCH("-",J5)))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J5:K9 J11:K19 K20:K21 K26</xm:sqref>
        </x14:conditionalFormatting>
        <x14:conditionalFormatting xmlns:xm="http://schemas.microsoft.com/office/excel/2006/main">
          <x14:cfRule type="containsText" priority="53" operator="containsText" id="{AF84466B-2BC3-4F23-9680-3DEE8FC6A8C7}">
            <xm:f>NOT(ISERROR(SEARCH("-",J102)))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J102:K102</xm:sqref>
        </x14:conditionalFormatting>
        <x14:conditionalFormatting xmlns:xm="http://schemas.microsoft.com/office/excel/2006/main">
          <x14:cfRule type="containsText" priority="109" operator="containsText" id="{FEA0719F-BDD9-4A1A-9B9C-32D894B8B974}">
            <xm:f>NOT(ISERROR(SEARCH("-",J2)))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L2:P9 J10:P10 L11:P32</xm:sqref>
        </x14:conditionalFormatting>
        <x14:conditionalFormatting xmlns:xm="http://schemas.microsoft.com/office/excel/2006/main">
          <x14:cfRule type="containsText" priority="298" operator="containsText" id="{F05FB0AB-E994-4CBA-8244-ACF49F7F92DA}">
            <xm:f>NOT(ISERROR(SEARCH("-",L67)))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L67:P94 P95 L96:P101</xm:sqref>
        </x14:conditionalFormatting>
        <x14:conditionalFormatting xmlns:xm="http://schemas.microsoft.com/office/excel/2006/main">
          <x14:cfRule type="containsText" priority="228" operator="containsText" id="{607C5262-D680-41ED-BABF-3A3B3EDD1588}">
            <xm:f>NOT(ISERROR(SEARCH("-",L51)))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L51:AH65</xm:sqref>
        </x14:conditionalFormatting>
        <x14:conditionalFormatting xmlns:xm="http://schemas.microsoft.com/office/excel/2006/main">
          <x14:cfRule type="containsText" priority="61" operator="containsText" id="{342BE293-3DCB-4864-82AA-5A903645C1F6}">
            <xm:f>NOT(ISERROR(SEARCH("-",Q102)))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Q102:R102</xm:sqref>
        </x14:conditionalFormatting>
        <x14:conditionalFormatting xmlns:xm="http://schemas.microsoft.com/office/excel/2006/main">
          <x14:cfRule type="containsText" priority="307" operator="containsText" id="{20B24E52-2255-4630-ACE7-926F7FFCE612}">
            <xm:f>NOT(ISERROR(SEARCH("-",Q67)))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Q67:AH101</xm:sqref>
        </x14:conditionalFormatting>
        <x14:conditionalFormatting xmlns:xm="http://schemas.microsoft.com/office/excel/2006/main">
          <x14:cfRule type="containsText" priority="118" operator="containsText" id="{FB845780-5F4E-4C5E-99A9-16AC364DC0DD}">
            <xm:f>NOT(ISERROR(SEARCH("-",Q2)))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Q2:AI32</xm:sqref>
        </x14:conditionalFormatting>
        <x14:conditionalFormatting xmlns:xm="http://schemas.microsoft.com/office/excel/2006/main">
          <x14:cfRule type="containsText" priority="21" operator="containsText" id="{D352A9FE-2073-42C4-B589-EF7BECFEF7B6}">
            <xm:f>NOT(ISERROR(SEARCH("-",W33)))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W33:AF33</xm:sqref>
        </x14:conditionalFormatting>
        <x14:conditionalFormatting xmlns:xm="http://schemas.microsoft.com/office/excel/2006/main">
          <x14:cfRule type="containsText" priority="69" operator="containsText" id="{80F546DA-F16D-4CEE-8EBE-553FB99DCF2A}">
            <xm:f>NOT(ISERROR(SEARCH("-",X102)))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X102:Y102</xm:sqref>
        </x14:conditionalFormatting>
        <x14:conditionalFormatting xmlns:xm="http://schemas.microsoft.com/office/excel/2006/main">
          <x14:cfRule type="containsText" priority="77" operator="containsText" id="{18B73D2C-F0C0-4880-8440-751E934C5A4B}">
            <xm:f>NOT(ISERROR(SEARCH("-",Z102)))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Z102:AF102</xm:sqref>
        </x14:conditionalFormatting>
        <x14:conditionalFormatting xmlns:xm="http://schemas.microsoft.com/office/excel/2006/main">
          <x14:cfRule type="containsText" priority="177" operator="containsText" id="{45B0E542-40E2-4E58-A492-D6797115ED90}">
            <xm:f>NOT(ISERROR(SEARCH("-",AI51)))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AI51:AI52</xm:sqref>
        </x14:conditionalFormatting>
        <x14:conditionalFormatting xmlns:xm="http://schemas.microsoft.com/office/excel/2006/main">
          <x14:cfRule type="containsText" priority="4" operator="containsText" id="{BCF2D826-5E6F-46F6-B02E-DD10DC68F121}">
            <xm:f>NOT(ISERROR(SEARCH("-",AR5)))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AR5:AR14</xm:sqref>
        </x14:conditionalFormatting>
        <x14:conditionalFormatting xmlns:xm="http://schemas.microsoft.com/office/excel/2006/main">
          <x14:cfRule type="containsText" priority="12" operator="containsText" id="{9F676D3B-8F71-43F8-B9EF-21CB203C86F7}">
            <xm:f>NOT(ISERROR(SEARCH("-",AR15)))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AR15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4"/>
  <sheetViews>
    <sheetView zoomScaleNormal="100" workbookViewId="0">
      <selection activeCell="AC1" sqref="AC1"/>
    </sheetView>
  </sheetViews>
  <sheetFormatPr defaultColWidth="8.69140625" defaultRowHeight="14.6"/>
  <cols>
    <col min="1" max="1" width="3.84375" style="176" customWidth="1"/>
    <col min="2" max="2" width="6" style="177" customWidth="1"/>
    <col min="3" max="3" width="28.84375" style="178" customWidth="1"/>
    <col min="4" max="4" width="23.84375" customWidth="1"/>
    <col min="5" max="5" width="24.53515625" customWidth="1"/>
    <col min="7" max="7" width="20.3046875" customWidth="1"/>
    <col min="8" max="8" width="4" customWidth="1"/>
    <col min="9" max="9" width="20.3046875" customWidth="1"/>
    <col min="10" max="11" width="4" customWidth="1"/>
    <col min="12" max="12" width="20.3046875" customWidth="1"/>
    <col min="13" max="13" width="4" customWidth="1"/>
    <col min="14" max="14" width="20.3046875" customWidth="1"/>
  </cols>
  <sheetData>
    <row r="1" spans="1:14" ht="30.9">
      <c r="B1" s="686" t="s">
        <v>274</v>
      </c>
      <c r="C1" s="686"/>
      <c r="D1" s="686"/>
      <c r="E1" s="686"/>
      <c r="G1" s="694" t="s">
        <v>275</v>
      </c>
      <c r="H1" s="694"/>
      <c r="I1" s="694"/>
      <c r="J1" s="694"/>
      <c r="K1" s="694"/>
      <c r="L1" s="694"/>
      <c r="M1" s="694"/>
      <c r="N1" s="694"/>
    </row>
    <row r="2" spans="1:14" ht="28.3">
      <c r="A2" s="687" t="s">
        <v>178</v>
      </c>
      <c r="B2" s="687"/>
      <c r="C2" s="687"/>
      <c r="D2" s="687"/>
      <c r="E2" s="687"/>
      <c r="G2" s="695" t="s">
        <v>221</v>
      </c>
      <c r="H2" s="695"/>
      <c r="I2" s="695"/>
      <c r="J2" s="234"/>
      <c r="K2" s="235"/>
      <c r="L2" s="696" t="s">
        <v>222</v>
      </c>
      <c r="M2" s="696"/>
      <c r="N2" s="696"/>
    </row>
    <row r="3" spans="1:14" ht="23.15">
      <c r="A3" s="688">
        <v>44348</v>
      </c>
      <c r="B3" s="688"/>
      <c r="C3" s="180" t="s">
        <v>179</v>
      </c>
      <c r="D3" s="181" t="s">
        <v>180</v>
      </c>
      <c r="E3" s="181" t="s">
        <v>180</v>
      </c>
      <c r="G3" s="28"/>
      <c r="J3" s="29"/>
      <c r="K3" s="28"/>
      <c r="N3" s="29"/>
    </row>
    <row r="4" spans="1:14" ht="19.3">
      <c r="A4" s="374">
        <v>1</v>
      </c>
      <c r="B4" s="190" t="s">
        <v>185</v>
      </c>
      <c r="C4" s="191" t="e">
        <f>VLOOKUP("D",CZERWIEC!$E$2:$AJ$32,32,0)</f>
        <v>#REF!</v>
      </c>
      <c r="D4" s="237"/>
      <c r="E4" s="237"/>
      <c r="G4" s="238"/>
      <c r="I4" s="238"/>
      <c r="J4" s="29"/>
      <c r="K4" s="28"/>
      <c r="L4" s="238"/>
      <c r="N4" s="238"/>
    </row>
    <row r="5" spans="1:14" ht="19.3">
      <c r="A5" s="189">
        <v>2</v>
      </c>
      <c r="B5" s="190" t="s">
        <v>186</v>
      </c>
      <c r="C5" s="191" t="e">
        <f>VLOOKUP("D",CZERWIEC!F$2:$AJ$32,31,0)</f>
        <v>#REF!</v>
      </c>
      <c r="D5" s="240"/>
      <c r="E5" s="192"/>
      <c r="G5" s="307"/>
      <c r="I5" s="308"/>
      <c r="J5" s="29"/>
      <c r="K5" s="28"/>
      <c r="L5" s="309"/>
      <c r="N5" s="310"/>
    </row>
    <row r="6" spans="1:14" ht="21.75" customHeight="1">
      <c r="A6" s="186">
        <v>3</v>
      </c>
      <c r="B6" s="183" t="s">
        <v>187</v>
      </c>
      <c r="C6" s="184" t="e">
        <f>VLOOKUP("D",CZERWIEC!G$2:$AJ$32,30,0)</f>
        <v>#REF!</v>
      </c>
      <c r="D6" s="188"/>
      <c r="E6" s="188"/>
      <c r="G6" s="311"/>
      <c r="I6" s="312"/>
      <c r="J6" s="29"/>
      <c r="K6" s="28"/>
      <c r="L6" s="313"/>
      <c r="N6" s="314"/>
    </row>
    <row r="7" spans="1:14" ht="21.75" customHeight="1">
      <c r="A7" s="189">
        <v>4</v>
      </c>
      <c r="B7" s="190" t="s">
        <v>181</v>
      </c>
      <c r="C7" s="191" t="e">
        <f>VLOOKUP("D",CZERWIEC!H$2:$AJ$32,29,0)</f>
        <v>#REF!</v>
      </c>
      <c r="D7" s="192"/>
      <c r="E7" s="192"/>
      <c r="G7" s="315"/>
      <c r="I7" s="316"/>
      <c r="J7" s="29"/>
      <c r="K7" s="28"/>
      <c r="L7" s="315"/>
      <c r="N7" s="316"/>
    </row>
    <row r="8" spans="1:14" ht="21.75" customHeight="1">
      <c r="A8" s="186">
        <v>5</v>
      </c>
      <c r="B8" s="183" t="s">
        <v>182</v>
      </c>
      <c r="C8" s="184" t="e">
        <f>VLOOKUP("D",CZERWIEC!I$2:$AJ$32,28,0)</f>
        <v>#REF!</v>
      </c>
      <c r="D8" s="188"/>
      <c r="E8" s="188"/>
      <c r="G8" s="317"/>
      <c r="I8" s="318"/>
      <c r="J8" s="29"/>
      <c r="K8" s="28"/>
      <c r="L8" s="317"/>
      <c r="N8" s="318"/>
    </row>
    <row r="9" spans="1:14" ht="21.75" customHeight="1">
      <c r="A9" s="186">
        <v>6</v>
      </c>
      <c r="B9" s="183" t="s">
        <v>183</v>
      </c>
      <c r="C9" s="184" t="e">
        <f>VLOOKUP("D",CZERWIEC!J$2:$AJ$32,27,0)</f>
        <v>#REF!</v>
      </c>
      <c r="D9" s="188"/>
      <c r="E9" s="188"/>
      <c r="G9" s="28"/>
      <c r="J9" s="29"/>
      <c r="K9" s="28"/>
      <c r="N9" s="29"/>
    </row>
    <row r="10" spans="1:14" ht="21.75" customHeight="1">
      <c r="A10" s="189">
        <v>7</v>
      </c>
      <c r="B10" s="190" t="s">
        <v>184</v>
      </c>
      <c r="C10" s="191" t="e">
        <f>VLOOKUP("D",CZERWIEC!K$2:$AJ$32,26,0)</f>
        <v>#REF!</v>
      </c>
      <c r="D10" s="192" t="s">
        <v>195</v>
      </c>
      <c r="E10" s="192"/>
      <c r="G10" s="249"/>
      <c r="I10" s="249"/>
      <c r="J10" s="29"/>
      <c r="K10" s="28"/>
      <c r="L10" s="249"/>
      <c r="N10" s="249"/>
    </row>
    <row r="11" spans="1:14" ht="21.75" customHeight="1">
      <c r="A11" s="189">
        <v>8</v>
      </c>
      <c r="B11" s="190" t="s">
        <v>185</v>
      </c>
      <c r="C11" s="191" t="e">
        <f>VLOOKUP("D",CZERWIEC!L$2:$AJ$32,25,0)</f>
        <v>#REF!</v>
      </c>
      <c r="D11" s="193"/>
      <c r="E11" s="192"/>
      <c r="G11" s="307"/>
      <c r="I11" s="308"/>
      <c r="J11" s="29"/>
      <c r="K11" s="28"/>
      <c r="L11" s="310"/>
      <c r="N11" s="310"/>
    </row>
    <row r="12" spans="1:14" ht="21.75" customHeight="1">
      <c r="A12" s="189">
        <v>9</v>
      </c>
      <c r="B12" s="190" t="s">
        <v>186</v>
      </c>
      <c r="C12" s="191" t="e">
        <f>VLOOKUP("D",CZERWIEC!M$2:$AJ$32,24,0)</f>
        <v>#REF!</v>
      </c>
      <c r="D12" s="192"/>
      <c r="E12" s="192"/>
      <c r="G12" s="311"/>
      <c r="I12" s="312"/>
      <c r="J12" s="29"/>
      <c r="K12" s="28"/>
      <c r="L12" s="313"/>
      <c r="N12" s="314"/>
    </row>
    <row r="13" spans="1:14" ht="21.75" customHeight="1">
      <c r="A13" s="189">
        <v>10</v>
      </c>
      <c r="B13" s="190" t="s">
        <v>187</v>
      </c>
      <c r="C13" s="191" t="e">
        <f>VLOOKUP("D",CZERWIEC!N$2:$AJ$32,23,0)</f>
        <v>#REF!</v>
      </c>
      <c r="D13" s="192"/>
      <c r="E13" s="192"/>
      <c r="G13" s="315"/>
      <c r="I13" s="316"/>
      <c r="J13" s="29"/>
      <c r="K13" s="28"/>
      <c r="L13" s="315"/>
      <c r="N13" s="316"/>
    </row>
    <row r="14" spans="1:14" ht="21.75" customHeight="1">
      <c r="A14" s="189">
        <v>11</v>
      </c>
      <c r="B14" s="190" t="s">
        <v>181</v>
      </c>
      <c r="C14" s="191" t="e">
        <f>VLOOKUP("D",CZERWIEC!O$2:$AJ$32,22,0)</f>
        <v>#REF!</v>
      </c>
      <c r="D14" s="192"/>
      <c r="E14" s="192"/>
      <c r="G14" s="317"/>
      <c r="I14" s="318"/>
      <c r="J14" s="29"/>
      <c r="K14" s="28"/>
      <c r="L14" s="317"/>
      <c r="N14" s="318"/>
    </row>
    <row r="15" spans="1:14" ht="21.75" customHeight="1">
      <c r="A15" s="186">
        <v>12</v>
      </c>
      <c r="B15" s="183" t="s">
        <v>182</v>
      </c>
      <c r="C15" s="184" t="e">
        <f>VLOOKUP("D",CZERWIEC!P$2:$AJ$32,21,0)</f>
        <v>#REF!</v>
      </c>
      <c r="D15" s="188"/>
      <c r="E15" s="188"/>
      <c r="G15" s="28"/>
      <c r="J15" s="29"/>
      <c r="K15" s="28"/>
      <c r="N15" s="29"/>
    </row>
    <row r="16" spans="1:14" ht="21.75" customHeight="1">
      <c r="A16" s="186">
        <v>13</v>
      </c>
      <c r="B16" s="183" t="s">
        <v>183</v>
      </c>
      <c r="C16" s="184" t="e">
        <f>VLOOKUP("D",CZERWIEC!Q$2:$AJ$32,20,0)</f>
        <v>#REF!</v>
      </c>
      <c r="D16" s="188"/>
      <c r="E16" s="188"/>
      <c r="G16" s="249"/>
      <c r="I16" s="249"/>
      <c r="J16" s="29"/>
      <c r="K16" s="28"/>
      <c r="L16" s="249"/>
      <c r="N16" s="249"/>
    </row>
    <row r="17" spans="1:14" ht="21.75" customHeight="1">
      <c r="A17" s="189">
        <v>14</v>
      </c>
      <c r="B17" s="190" t="s">
        <v>184</v>
      </c>
      <c r="C17" s="191" t="e">
        <f>VLOOKUP("D",CZERWIEC!R$2:$AJ$32,19,0)</f>
        <v>#REF!</v>
      </c>
      <c r="D17" s="192"/>
      <c r="E17" s="192"/>
      <c r="G17" s="307"/>
      <c r="I17" s="308"/>
      <c r="J17" s="29"/>
      <c r="K17" s="28"/>
      <c r="L17" s="309"/>
      <c r="N17" s="309"/>
    </row>
    <row r="18" spans="1:14" ht="21.75" customHeight="1">
      <c r="A18" s="189">
        <v>15</v>
      </c>
      <c r="B18" s="190" t="s">
        <v>185</v>
      </c>
      <c r="C18" s="191" t="e">
        <f>VLOOKUP("D",CZERWIEC!S$2:$AJ$32,18,0)</f>
        <v>#REF!</v>
      </c>
      <c r="D18" s="192"/>
      <c r="E18" s="192"/>
      <c r="G18" s="311"/>
      <c r="I18" s="312"/>
      <c r="J18" s="29"/>
      <c r="K18" s="28"/>
      <c r="L18" s="313"/>
      <c r="N18" s="314"/>
    </row>
    <row r="19" spans="1:14" ht="21.75" customHeight="1">
      <c r="A19" s="189">
        <v>16</v>
      </c>
      <c r="B19" s="190" t="s">
        <v>186</v>
      </c>
      <c r="C19" s="191" t="e">
        <f>VLOOKUP("D",CZERWIEC!T$2:$AJ$32,17,0)</f>
        <v>#REF!</v>
      </c>
      <c r="D19" s="192"/>
      <c r="E19" s="192"/>
      <c r="G19" s="315"/>
      <c r="I19" s="316"/>
      <c r="J19" s="29"/>
      <c r="K19" s="28"/>
      <c r="L19" s="315"/>
      <c r="N19" s="316"/>
    </row>
    <row r="20" spans="1:14" ht="21.75" customHeight="1">
      <c r="A20" s="189">
        <v>17</v>
      </c>
      <c r="B20" s="190" t="s">
        <v>187</v>
      </c>
      <c r="C20" s="191" t="e">
        <f>VLOOKUP("D",CZERWIEC!U$2:$AJ$32,16,0)</f>
        <v>#REF!</v>
      </c>
      <c r="D20" s="192"/>
      <c r="E20" s="192"/>
      <c r="G20" s="317"/>
      <c r="I20" s="318"/>
      <c r="J20" s="29"/>
      <c r="K20" s="28"/>
      <c r="L20" s="317"/>
      <c r="N20" s="318"/>
    </row>
    <row r="21" spans="1:14" ht="21.75" customHeight="1">
      <c r="A21" s="189">
        <v>18</v>
      </c>
      <c r="B21" s="190" t="s">
        <v>181</v>
      </c>
      <c r="C21" s="191" t="e">
        <f>VLOOKUP("D",CZERWIEC!V$2:$AJ$32,15,0)</f>
        <v>#REF!</v>
      </c>
      <c r="D21" s="192"/>
      <c r="E21" s="192"/>
      <c r="G21" s="28"/>
      <c r="J21" s="29"/>
      <c r="K21" s="28"/>
      <c r="N21" s="29"/>
    </row>
    <row r="22" spans="1:14" ht="21.75" customHeight="1">
      <c r="A22" s="186">
        <v>19</v>
      </c>
      <c r="B22" s="183" t="s">
        <v>182</v>
      </c>
      <c r="C22" s="184" t="e">
        <f>VLOOKUP("D",CZERWIEC!W$2:$AJ$32,14,0)</f>
        <v>#REF!</v>
      </c>
      <c r="D22" s="188"/>
      <c r="E22" s="188"/>
      <c r="G22" s="249"/>
      <c r="I22" s="249"/>
      <c r="J22" s="29"/>
      <c r="K22" s="28"/>
      <c r="L22" s="249"/>
      <c r="N22" s="249"/>
    </row>
    <row r="23" spans="1:14" ht="21.75" customHeight="1">
      <c r="A23" s="186">
        <v>20</v>
      </c>
      <c r="B23" s="183" t="s">
        <v>183</v>
      </c>
      <c r="C23" s="184" t="e">
        <f>VLOOKUP("D",CZERWIEC!X$2:$AJ$32,13,0)</f>
        <v>#REF!</v>
      </c>
      <c r="D23" s="188"/>
      <c r="E23" s="188"/>
      <c r="G23" s="307"/>
      <c r="I23" s="308"/>
      <c r="J23" s="29"/>
      <c r="K23" s="28"/>
      <c r="L23" s="309"/>
      <c r="N23" s="310"/>
    </row>
    <row r="24" spans="1:14" ht="21.75" customHeight="1">
      <c r="A24" s="189">
        <v>21</v>
      </c>
      <c r="B24" s="190" t="s">
        <v>184</v>
      </c>
      <c r="C24" s="191" t="e">
        <f>VLOOKUP("D",CZERWIEC!Y$2:$AJ$32,12,0)</f>
        <v>#REF!</v>
      </c>
      <c r="D24" s="192"/>
      <c r="E24" s="192"/>
      <c r="G24" s="311"/>
      <c r="I24" s="312"/>
      <c r="J24" s="29"/>
      <c r="K24" s="28"/>
      <c r="L24" s="313"/>
      <c r="N24" s="314"/>
    </row>
    <row r="25" spans="1:14" ht="21.75" customHeight="1">
      <c r="A25" s="189">
        <v>22</v>
      </c>
      <c r="B25" s="190" t="s">
        <v>185</v>
      </c>
      <c r="C25" s="191" t="e">
        <f>VLOOKUP("D",CZERWIEC!Z$2:$AJ$32,11,0)</f>
        <v>#REF!</v>
      </c>
      <c r="D25" s="192"/>
      <c r="E25" s="192"/>
      <c r="G25" s="315"/>
      <c r="I25" s="316"/>
      <c r="J25" s="29"/>
      <c r="K25" s="28"/>
      <c r="L25" s="315"/>
      <c r="N25" s="316"/>
    </row>
    <row r="26" spans="1:14" ht="21.75" customHeight="1">
      <c r="A26" s="189">
        <v>23</v>
      </c>
      <c r="B26" s="190" t="s">
        <v>186</v>
      </c>
      <c r="C26" s="191" t="e">
        <f>VLOOKUP("D",CZERWIEC!AA$2:$AJ$32,10,0)</f>
        <v>#REF!</v>
      </c>
      <c r="D26" s="192"/>
      <c r="E26" s="192"/>
      <c r="G26" s="317"/>
      <c r="H26" s="319"/>
      <c r="I26" s="318"/>
      <c r="J26" s="320"/>
      <c r="K26" s="321"/>
      <c r="L26" s="317"/>
      <c r="M26" s="319"/>
      <c r="N26" s="318"/>
    </row>
    <row r="27" spans="1:14" ht="21.75" customHeight="1">
      <c r="A27" s="189">
        <v>24</v>
      </c>
      <c r="B27" s="190" t="s">
        <v>187</v>
      </c>
      <c r="C27" s="191" t="e">
        <f>VLOOKUP("D",CZERWIEC!AB$2:$AJ$32,9,0)</f>
        <v>#REF!</v>
      </c>
      <c r="D27" s="192"/>
      <c r="E27" s="192"/>
      <c r="G27" s="322"/>
      <c r="H27" s="323"/>
      <c r="I27" s="323"/>
      <c r="J27" s="324"/>
      <c r="K27" s="322"/>
      <c r="L27" s="323"/>
      <c r="M27" s="323"/>
      <c r="N27" s="324"/>
    </row>
    <row r="28" spans="1:14" ht="21.75" customHeight="1">
      <c r="A28" s="189">
        <v>25</v>
      </c>
      <c r="B28" s="190" t="s">
        <v>181</v>
      </c>
      <c r="C28" s="191" t="e">
        <f>VLOOKUP("D",CZERWIEC!AC$2:$AJ$32,8,0)</f>
        <v>#REF!</v>
      </c>
      <c r="D28" s="192"/>
      <c r="E28" s="192"/>
      <c r="G28" s="249"/>
      <c r="I28" s="325"/>
      <c r="J28" s="29"/>
      <c r="K28" s="28"/>
      <c r="L28" s="249"/>
      <c r="N28" s="326"/>
    </row>
    <row r="29" spans="1:14" ht="21.75" customHeight="1">
      <c r="A29" s="186">
        <v>26</v>
      </c>
      <c r="B29" s="183" t="s">
        <v>182</v>
      </c>
      <c r="C29" s="184" t="e">
        <f>VLOOKUP("D",CZERWIEC!AD$2:$AJ$32,7,0)</f>
        <v>#REF!</v>
      </c>
      <c r="D29" s="188"/>
      <c r="E29" s="188"/>
      <c r="G29" s="309"/>
      <c r="I29" s="121"/>
      <c r="J29" s="29"/>
      <c r="K29" s="28"/>
      <c r="L29" s="309"/>
      <c r="N29" s="327"/>
    </row>
    <row r="30" spans="1:14" ht="21.75" customHeight="1">
      <c r="A30" s="186">
        <v>27</v>
      </c>
      <c r="B30" s="183" t="s">
        <v>183</v>
      </c>
      <c r="C30" s="184" t="e">
        <f>VLOOKUP("D",CZERWIEC!AE$2:$AJ$32,6,0)</f>
        <v>#N/A</v>
      </c>
      <c r="D30" s="188"/>
      <c r="E30" s="188"/>
      <c r="G30" s="328"/>
      <c r="J30" s="29"/>
      <c r="K30" s="28"/>
      <c r="L30" s="328"/>
      <c r="N30" s="29"/>
    </row>
    <row r="31" spans="1:14" ht="21.75" customHeight="1">
      <c r="A31" s="189">
        <v>28</v>
      </c>
      <c r="B31" s="190" t="s">
        <v>184</v>
      </c>
      <c r="C31" s="191" t="e">
        <f>VLOOKUP("D",CZERWIEC!AF$2:$AJ$32,5,0)</f>
        <v>#REF!</v>
      </c>
      <c r="D31" s="192"/>
      <c r="E31" s="192"/>
      <c r="G31" s="329"/>
      <c r="J31" s="29"/>
      <c r="K31" s="28"/>
      <c r="L31" s="329"/>
      <c r="N31" s="29"/>
    </row>
    <row r="32" spans="1:14" ht="21.75" customHeight="1">
      <c r="A32" s="189">
        <v>29</v>
      </c>
      <c r="B32" s="190" t="s">
        <v>185</v>
      </c>
      <c r="C32" s="191" t="e">
        <f>VLOOKUP("D",CZERWIEC!AG$2:$AJ$32,4,0)</f>
        <v>#REF!</v>
      </c>
      <c r="D32" s="192"/>
      <c r="E32" s="192"/>
      <c r="G32" s="330"/>
      <c r="H32" s="319"/>
      <c r="I32" s="319"/>
      <c r="J32" s="320"/>
      <c r="K32" s="321"/>
      <c r="L32" s="330"/>
      <c r="M32" s="319"/>
      <c r="N32" s="320"/>
    </row>
    <row r="33" spans="1:5" ht="21.75" customHeight="1">
      <c r="A33" s="189">
        <v>30</v>
      </c>
      <c r="B33" s="190" t="s">
        <v>186</v>
      </c>
      <c r="C33" s="191" t="e">
        <f>VLOOKUP("D",CZERWIEC!AH$2:$AJ$32,3,0)</f>
        <v>#N/A</v>
      </c>
      <c r="D33" s="192"/>
      <c r="E33" s="192"/>
    </row>
    <row r="34" spans="1:5" ht="19.5" customHeight="1">
      <c r="A34" s="189">
        <v>31</v>
      </c>
      <c r="B34" s="190" t="s">
        <v>183</v>
      </c>
      <c r="C34" s="375" t="e">
        <f>VLOOKUP("D",CZERWIEC!AI$2:$AJ$32,2,0)</f>
        <v>#N/A</v>
      </c>
      <c r="D34" s="376"/>
      <c r="E34" s="376"/>
    </row>
  </sheetData>
  <mergeCells count="6">
    <mergeCell ref="A3:B3"/>
    <mergeCell ref="B1:E1"/>
    <mergeCell ref="G1:N1"/>
    <mergeCell ref="A2:E2"/>
    <mergeCell ref="G2:I2"/>
    <mergeCell ref="L2:N2"/>
  </mergeCells>
  <pageMargins left="0.23611111111111099" right="0.23611111111111099" top="0.15763888888888899" bottom="0.15763888888888899" header="0.51180555555555496" footer="0.51180555555555496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topLeftCell="A22" zoomScale="80" zoomScaleNormal="80" workbookViewId="0">
      <selection activeCell="AC1" sqref="AC1"/>
    </sheetView>
  </sheetViews>
  <sheetFormatPr defaultColWidth="8.69140625" defaultRowHeight="14.6"/>
  <cols>
    <col min="1" max="2" width="5.4609375" customWidth="1"/>
    <col min="3" max="3" width="34.4609375" customWidth="1"/>
    <col min="4" max="4" width="39.4609375" customWidth="1"/>
    <col min="5" max="5" width="24.15234375" customWidth="1"/>
  </cols>
  <sheetData>
    <row r="1" spans="1:5" ht="27.75" customHeight="1">
      <c r="A1" s="687" t="s">
        <v>178</v>
      </c>
      <c r="B1" s="687"/>
      <c r="C1" s="687"/>
      <c r="D1" s="687"/>
      <c r="E1" s="687"/>
    </row>
    <row r="2" spans="1:5" ht="21.75" customHeight="1">
      <c r="A2" s="755" t="s">
        <v>330</v>
      </c>
      <c r="B2" s="755"/>
      <c r="C2" s="180" t="s">
        <v>179</v>
      </c>
      <c r="D2" s="181" t="s">
        <v>180</v>
      </c>
      <c r="E2" s="181" t="s">
        <v>180</v>
      </c>
    </row>
    <row r="3" spans="1:5" ht="21.75" customHeight="1">
      <c r="A3" s="484">
        <v>1</v>
      </c>
      <c r="B3" s="485" t="s">
        <v>184</v>
      </c>
      <c r="C3" s="486" t="e">
        <f>VLOOKUP("D",CZERWIEC!$E$32:$AJ$101,32,0)</f>
        <v>#REF!</v>
      </c>
      <c r="D3" s="486" t="e">
        <f>VLOOKUP("w",CZERWIEC!$E$32:$AJ$101,32,0)</f>
        <v>#REF!</v>
      </c>
      <c r="E3" s="313"/>
    </row>
    <row r="4" spans="1:5" ht="21.75" customHeight="1">
      <c r="A4" s="487">
        <v>2</v>
      </c>
      <c r="B4" s="488" t="s">
        <v>185</v>
      </c>
      <c r="C4" s="486" t="e">
        <f>VLOOKUP("D",CZERWIEC!$F$32:$AJ$101,31,0)</f>
        <v>#REF!</v>
      </c>
      <c r="D4" s="486" t="e">
        <f>VLOOKUP("w",CZERWIEC!$F$32:$AJ$101,31,0)</f>
        <v>#REF!</v>
      </c>
      <c r="E4" s="315"/>
    </row>
    <row r="5" spans="1:5" ht="21.75" customHeight="1">
      <c r="A5" s="487">
        <v>3</v>
      </c>
      <c r="B5" s="488" t="s">
        <v>186</v>
      </c>
      <c r="C5" s="486" t="e">
        <f>VLOOKUP("D",CZERWIEC!$G$32:$AJ$101,30,0)</f>
        <v>#REF!</v>
      </c>
      <c r="D5" s="486" t="e">
        <f>VLOOKUP("w",CZERWIEC!$G$32:$AJ$101,30,0)</f>
        <v>#REF!</v>
      </c>
      <c r="E5" s="315"/>
    </row>
    <row r="6" spans="1:5" ht="21.75" customHeight="1">
      <c r="A6" s="487">
        <v>4</v>
      </c>
      <c r="B6" s="488" t="s">
        <v>187</v>
      </c>
      <c r="C6" s="486" t="e">
        <f>VLOOKUP("D",CZERWIEC!$H$32:$AJ$101,29,0)</f>
        <v>#REF!</v>
      </c>
      <c r="D6" s="486" t="e">
        <f>VLOOKUP("w",CZERWIEC!$H$32:$AJ$101,29,0)</f>
        <v>#REF!</v>
      </c>
      <c r="E6" s="315"/>
    </row>
    <row r="7" spans="1:5" ht="21.75" customHeight="1">
      <c r="A7" s="487">
        <v>5</v>
      </c>
      <c r="B7" s="488" t="s">
        <v>181</v>
      </c>
      <c r="C7" s="486" t="e">
        <f>VLOOKUP("D",CZERWIEC!$I$32:$AJ$101,28,0)</f>
        <v>#N/A</v>
      </c>
      <c r="D7" s="486" t="e">
        <f>VLOOKUP("w",CZERWIEC!$I$32:$AJ$101,28,0)</f>
        <v>#REF!</v>
      </c>
      <c r="E7" s="315"/>
    </row>
    <row r="8" spans="1:5" ht="21.75" customHeight="1">
      <c r="A8" s="487">
        <v>6</v>
      </c>
      <c r="B8" s="488" t="s">
        <v>182</v>
      </c>
      <c r="C8" s="486" t="e">
        <f>VLOOKUP("D",CZERWIEC!$J$32:$AJ$101,27,0)</f>
        <v>#REF!</v>
      </c>
      <c r="D8" s="486" t="e">
        <f>VLOOKUP("w",CZERWIEC!$J$32:$AJ$101,27,0)</f>
        <v>#N/A</v>
      </c>
      <c r="E8" s="315"/>
    </row>
    <row r="9" spans="1:5" ht="21.75" customHeight="1">
      <c r="A9" s="487">
        <v>7</v>
      </c>
      <c r="B9" s="488" t="s">
        <v>183</v>
      </c>
      <c r="C9" s="486" t="e">
        <f>VLOOKUP("D",CZERWIEC!$K$32:$AJ$101,26,0)</f>
        <v>#REF!</v>
      </c>
      <c r="D9" s="486" t="e">
        <f>VLOOKUP("w",CZERWIEC!$K$32:$AJ$101,26,0)</f>
        <v>#REF!</v>
      </c>
      <c r="E9" s="315"/>
    </row>
    <row r="10" spans="1:5" ht="21.75" customHeight="1">
      <c r="A10" s="487">
        <v>8</v>
      </c>
      <c r="B10" s="488" t="s">
        <v>184</v>
      </c>
      <c r="C10" s="486" t="e">
        <f>VLOOKUP("D",CZERWIEC!$L$32:$AJ$101,25,0)</f>
        <v>#REF!</v>
      </c>
      <c r="D10" s="486" t="e">
        <f>VLOOKUP("w",CZERWIEC!$L$32:$AJ$101,25,0)</f>
        <v>#REF!</v>
      </c>
      <c r="E10" s="315"/>
    </row>
    <row r="11" spans="1:5" ht="21.75" customHeight="1">
      <c r="A11" s="487">
        <v>9</v>
      </c>
      <c r="B11" s="488" t="s">
        <v>185</v>
      </c>
      <c r="C11" s="486" t="e">
        <f>VLOOKUP("D",CZERWIEC!$M$32:$AJ$101,24,0)</f>
        <v>#REF!</v>
      </c>
      <c r="D11" s="486" t="e">
        <f>VLOOKUP("w",CZERWIEC!$M$32:$AJ$101,24,0)</f>
        <v>#REF!</v>
      </c>
      <c r="E11" s="315"/>
    </row>
    <row r="12" spans="1:5" ht="21.75" customHeight="1">
      <c r="A12" s="487">
        <v>10</v>
      </c>
      <c r="B12" s="488" t="s">
        <v>186</v>
      </c>
      <c r="C12" s="486" t="e">
        <f>VLOOKUP("D",CZERWIEC!$N$32:$AJ$101,23,0)</f>
        <v>#REF!</v>
      </c>
      <c r="D12" s="486" t="e">
        <f>VLOOKUP("w",CZERWIEC!$N$32:$AJ$101,23,0)</f>
        <v>#REF!</v>
      </c>
      <c r="E12" s="315"/>
    </row>
    <row r="13" spans="1:5" ht="21.75" customHeight="1">
      <c r="A13" s="487">
        <v>11</v>
      </c>
      <c r="B13" s="488" t="s">
        <v>187</v>
      </c>
      <c r="C13" s="486" t="e">
        <f>VLOOKUP("D",CZERWIEC!$O$32:$AJ$101,22,0)</f>
        <v>#REF!</v>
      </c>
      <c r="D13" s="486" t="e">
        <f>VLOOKUP("w",CZERWIEC!$O$32:$AJ$101,22,0)</f>
        <v>#REF!</v>
      </c>
      <c r="E13" s="315"/>
    </row>
    <row r="14" spans="1:5" ht="21.75" customHeight="1">
      <c r="A14" s="487">
        <v>12</v>
      </c>
      <c r="B14" s="488" t="s">
        <v>181</v>
      </c>
      <c r="C14" s="486" t="e">
        <f>VLOOKUP("D",CZERWIEC!$P$32:$AJ$101,21,0)</f>
        <v>#REF!</v>
      </c>
      <c r="D14" s="486" t="e">
        <f>VLOOKUP("w",CZERWIEC!$P$32:$AJ$101,21,0)</f>
        <v>#REF!</v>
      </c>
      <c r="E14" s="315"/>
    </row>
    <row r="15" spans="1:5" ht="21.75" customHeight="1">
      <c r="A15" s="487">
        <v>13</v>
      </c>
      <c r="B15" s="488" t="s">
        <v>182</v>
      </c>
      <c r="C15" s="486" t="e">
        <f>VLOOKUP("D",CZERWIEC!$Q$32:$AJ$101,20,0)</f>
        <v>#REF!</v>
      </c>
      <c r="D15" s="486" t="e">
        <f>VLOOKUP("w",CZERWIEC!$Q$32:$AJ$101,20,0)</f>
        <v>#REF!</v>
      </c>
      <c r="E15" s="315"/>
    </row>
    <row r="16" spans="1:5" ht="21.75" customHeight="1">
      <c r="A16" s="487">
        <v>14</v>
      </c>
      <c r="B16" s="488" t="s">
        <v>183</v>
      </c>
      <c r="C16" s="486" t="e">
        <f>VLOOKUP("D",CZERWIEC!$R$32:$AJ$101,19,0)</f>
        <v>#REF!</v>
      </c>
      <c r="D16" s="486" t="e">
        <f>VLOOKUP("w",CZERWIEC!$R$32:$AJ$101,19,0)</f>
        <v>#REF!</v>
      </c>
      <c r="E16" s="315"/>
    </row>
    <row r="17" spans="1:5" ht="21.75" customHeight="1">
      <c r="A17" s="487">
        <v>15</v>
      </c>
      <c r="B17" s="488" t="s">
        <v>184</v>
      </c>
      <c r="C17" s="486" t="e">
        <f>VLOOKUP("D",CZERWIEC!$S$32:$AJ$101,18,0)</f>
        <v>#REF!</v>
      </c>
      <c r="D17" s="486" t="e">
        <f>VLOOKUP("w",CZERWIEC!$S$32:$AJ$101,18,0)</f>
        <v>#REF!</v>
      </c>
      <c r="E17" s="315"/>
    </row>
    <row r="18" spans="1:5" ht="21.75" customHeight="1">
      <c r="A18" s="487">
        <v>16</v>
      </c>
      <c r="B18" s="488" t="s">
        <v>185</v>
      </c>
      <c r="C18" s="486" t="e">
        <f>VLOOKUP("D",CZERWIEC!$T$32:$AJ$101,17,0)</f>
        <v>#REF!</v>
      </c>
      <c r="D18" s="486" t="e">
        <f>VLOOKUP("w",CZERWIEC!$T$32:$AJ$101,17,0)</f>
        <v>#REF!</v>
      </c>
      <c r="E18" s="315"/>
    </row>
    <row r="19" spans="1:5" ht="21.75" customHeight="1">
      <c r="A19" s="487">
        <v>17</v>
      </c>
      <c r="B19" s="488" t="s">
        <v>186</v>
      </c>
      <c r="C19" s="486" t="e">
        <f>VLOOKUP("D",CZERWIEC!$U$32:$AJ$101,16,0)</f>
        <v>#REF!</v>
      </c>
      <c r="D19" s="486" t="e">
        <f>VLOOKUP("w",CZERWIEC!$U$32:$AJ$101,16,0)</f>
        <v>#REF!</v>
      </c>
      <c r="E19" s="315"/>
    </row>
    <row r="20" spans="1:5" ht="21.75" customHeight="1">
      <c r="A20" s="487">
        <v>18</v>
      </c>
      <c r="B20" s="488" t="s">
        <v>187</v>
      </c>
      <c r="C20" s="486" t="e">
        <f>VLOOKUP("D",CZERWIEC!$V$32:$AJ$101,15,0)</f>
        <v>#REF!</v>
      </c>
      <c r="D20" s="486" t="e">
        <f>VLOOKUP("w",CZERWIEC!$V$32:$AJ$101,15,0)</f>
        <v>#REF!</v>
      </c>
      <c r="E20" s="315"/>
    </row>
    <row r="21" spans="1:5" ht="21.75" customHeight="1">
      <c r="A21" s="487">
        <v>19</v>
      </c>
      <c r="B21" s="488" t="s">
        <v>181</v>
      </c>
      <c r="C21" s="486" t="e">
        <f>VLOOKUP("D",CZERWIEC!$W$32:$AJ$101,14,0)</f>
        <v>#REF!</v>
      </c>
      <c r="D21" s="486" t="e">
        <f>VLOOKUP("w",CZERWIEC!$W$32:$AJ$101,14,0)</f>
        <v>#REF!</v>
      </c>
      <c r="E21" s="315"/>
    </row>
    <row r="22" spans="1:5" ht="21.75" customHeight="1">
      <c r="A22" s="487">
        <v>20</v>
      </c>
      <c r="B22" s="488" t="s">
        <v>182</v>
      </c>
      <c r="C22" s="486" t="e">
        <f>VLOOKUP("D",CZERWIEC!$X$32:$AJ$101,13,0)</f>
        <v>#REF!</v>
      </c>
      <c r="D22" s="486" t="e">
        <f>VLOOKUP("w",CZERWIEC!$X$32:$AJ$101,13,0)</f>
        <v>#REF!</v>
      </c>
      <c r="E22" s="315"/>
    </row>
    <row r="23" spans="1:5" ht="21.75" customHeight="1">
      <c r="A23" s="487">
        <v>21</v>
      </c>
      <c r="B23" s="488" t="s">
        <v>183</v>
      </c>
      <c r="C23" s="486" t="e">
        <f>VLOOKUP("D",CZERWIEC!$Y$32:$AJ$101,12,0)</f>
        <v>#REF!</v>
      </c>
      <c r="D23" s="486" t="e">
        <f>VLOOKUP("w",CZERWIEC!$Y$32:$AJ$101,12,0)</f>
        <v>#REF!</v>
      </c>
      <c r="E23" s="315"/>
    </row>
    <row r="24" spans="1:5" ht="21.75" customHeight="1">
      <c r="A24" s="487">
        <v>22</v>
      </c>
      <c r="B24" s="488" t="s">
        <v>184</v>
      </c>
      <c r="C24" s="486" t="e">
        <f>VLOOKUP("D",CZERWIEC!$Z$32:$AJ$101,11,0)</f>
        <v>#REF!</v>
      </c>
      <c r="D24" s="486" t="e">
        <f>VLOOKUP("w",CZERWIEC!$Z$32:$AJ$101,11,0)</f>
        <v>#REF!</v>
      </c>
      <c r="E24" s="315"/>
    </row>
    <row r="25" spans="1:5" ht="21.75" customHeight="1">
      <c r="A25" s="487">
        <v>23</v>
      </c>
      <c r="B25" s="488" t="s">
        <v>185</v>
      </c>
      <c r="C25" s="486" t="e">
        <f>VLOOKUP("D",CZERWIEC!$AA$32:$AJ$101,10,0)</f>
        <v>#REF!</v>
      </c>
      <c r="D25" s="486" t="e">
        <f>VLOOKUP("w",CZERWIEC!$AA$32:$AJ$101,10,0)</f>
        <v>#REF!</v>
      </c>
      <c r="E25" s="315"/>
    </row>
    <row r="26" spans="1:5" ht="21.75" customHeight="1">
      <c r="A26" s="487">
        <v>24</v>
      </c>
      <c r="B26" s="488" t="s">
        <v>186</v>
      </c>
      <c r="C26" s="486" t="e">
        <f>VLOOKUP("D",CZERWIEC!$AB$32:$AJ$101,9,0)</f>
        <v>#REF!</v>
      </c>
      <c r="D26" s="486" t="e">
        <f>VLOOKUP("w",CZERWIEC!$AB$32:$AJ$101,9,0)</f>
        <v>#REF!</v>
      </c>
      <c r="E26" s="315"/>
    </row>
    <row r="27" spans="1:5" ht="21.75" customHeight="1">
      <c r="A27" s="487">
        <v>25</v>
      </c>
      <c r="B27" s="488" t="s">
        <v>187</v>
      </c>
      <c r="C27" s="486" t="e">
        <f>VLOOKUP("D",CZERWIEC!$AC$32:$AJ$101,8,0)</f>
        <v>#REF!</v>
      </c>
      <c r="D27" s="486" t="e">
        <f>VLOOKUP("w",CZERWIEC!$AC$32:$AJ$101,8,0)</f>
        <v>#REF!</v>
      </c>
      <c r="E27" s="315"/>
    </row>
    <row r="28" spans="1:5" ht="21.75" customHeight="1">
      <c r="A28" s="487">
        <v>26</v>
      </c>
      <c r="B28" s="488" t="s">
        <v>181</v>
      </c>
      <c r="C28" s="486" t="e">
        <f>VLOOKUP("D",CZERWIEC!$AD$32:$AJ$101,7,0)</f>
        <v>#REF!</v>
      </c>
      <c r="D28" s="486" t="e">
        <f>VLOOKUP("w",CZERWIEC!$AD$32:$AJ$101,7,0)</f>
        <v>#REF!</v>
      </c>
      <c r="E28" s="315"/>
    </row>
    <row r="29" spans="1:5" ht="21.75" customHeight="1">
      <c r="A29" s="487">
        <v>27</v>
      </c>
      <c r="B29" s="488" t="s">
        <v>182</v>
      </c>
      <c r="C29" s="486" t="e">
        <f>VLOOKUP("D",CZERWIEC!$AE$32:$AJ$101,6,0)</f>
        <v>#REF!</v>
      </c>
      <c r="D29" s="486" t="e">
        <f>VLOOKUP("w",CZERWIEC!$AE$32:$AJ$101,6,0)</f>
        <v>#REF!</v>
      </c>
      <c r="E29" s="315"/>
    </row>
    <row r="30" spans="1:5" ht="21.75" customHeight="1">
      <c r="A30" s="487">
        <v>28</v>
      </c>
      <c r="B30" s="488" t="s">
        <v>183</v>
      </c>
      <c r="C30" s="486" t="e">
        <f>VLOOKUP("D",CZERWIEC!$AF$32:$AJ$101,5,0)</f>
        <v>#REF!</v>
      </c>
      <c r="D30" s="486" t="e">
        <f>VLOOKUP("w",CZERWIEC!$AF$32:$AJ$101,5,0)</f>
        <v>#REF!</v>
      </c>
      <c r="E30" s="315"/>
    </row>
    <row r="31" spans="1:5" ht="21.75" customHeight="1">
      <c r="A31" s="487">
        <v>29</v>
      </c>
      <c r="B31" s="488" t="s">
        <v>184</v>
      </c>
      <c r="C31" s="486" t="e">
        <f>VLOOKUP("D",CZERWIEC!$AG$32:$AJ$101,4,0)</f>
        <v>#REF!</v>
      </c>
      <c r="D31" s="486" t="e">
        <f>VLOOKUP("w",CZERWIEC!$AG$32:$AJ$101,4,0)</f>
        <v>#REF!</v>
      </c>
      <c r="E31" s="315"/>
    </row>
    <row r="32" spans="1:5" ht="21.75" customHeight="1">
      <c r="A32" s="487">
        <v>30</v>
      </c>
      <c r="B32" s="488" t="s">
        <v>185</v>
      </c>
      <c r="C32" s="486" t="e">
        <f>VLOOKUP("D",CZERWIEC!$AH$32:$AJ$101,3,0)</f>
        <v>#N/A</v>
      </c>
      <c r="D32" s="486" t="e">
        <f>VLOOKUP("w",CZERWIEC!$AH$32:$AJ$101,3,0)</f>
        <v>#N/A</v>
      </c>
      <c r="E32" s="315"/>
    </row>
    <row r="33" spans="1:5" ht="21.75" customHeight="1">
      <c r="A33" s="489">
        <v>31</v>
      </c>
      <c r="B33" s="490" t="s">
        <v>186</v>
      </c>
      <c r="C33" s="486" t="e">
        <f>VLOOKUP("D",CZERWIEC!$AI$32:$AJ$101,2,0)</f>
        <v>#N/A</v>
      </c>
      <c r="D33" s="486" t="e">
        <f>VLOOKUP("w",CZERWIEC!$AI$32:$AJ$101,2,0)</f>
        <v>#N/A</v>
      </c>
      <c r="E33" s="317"/>
    </row>
  </sheetData>
  <mergeCells count="2">
    <mergeCell ref="A1:E1"/>
    <mergeCell ref="A2:B2"/>
  </mergeCells>
  <pageMargins left="0.25" right="0.25" top="0.75" bottom="0.75" header="0.51180555555555496" footer="0.51180555555555496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AMJ116"/>
  <sheetViews>
    <sheetView topLeftCell="B1" zoomScaleNormal="100" workbookViewId="0">
      <pane ySplit="1" topLeftCell="A2" activePane="bottomLeft" state="frozen"/>
      <selection activeCell="B1" sqref="B1"/>
      <selection pane="bottomLeft" activeCell="B14" sqref="B14"/>
    </sheetView>
  </sheetViews>
  <sheetFormatPr defaultColWidth="8.84375" defaultRowHeight="14.6"/>
  <cols>
    <col min="1" max="1" width="6" style="1" customWidth="1"/>
    <col min="2" max="2" width="4.3046875" style="1" customWidth="1"/>
    <col min="3" max="3" width="20.4609375" style="7" customWidth="1"/>
    <col min="4" max="4" width="7.53515625" style="1" customWidth="1"/>
    <col min="5" max="35" width="3.53515625" style="1" customWidth="1"/>
    <col min="36" max="36" width="41.4609375" style="1" hidden="1" customWidth="1"/>
    <col min="37" max="37" width="9.84375" style="8" customWidth="1"/>
    <col min="38" max="38" width="4.69140625" style="1" customWidth="1"/>
    <col min="39" max="39" width="5.69140625" style="1" customWidth="1"/>
    <col min="40" max="40" width="4.53515625" style="1" customWidth="1"/>
    <col min="41" max="43" width="8.84375" style="1"/>
    <col min="44" max="44" width="20.3046875" style="1" customWidth="1"/>
    <col min="45" max="1024" width="8.84375" style="1"/>
  </cols>
  <sheetData>
    <row r="1" spans="1:45" ht="43.3">
      <c r="A1" s="1" t="s">
        <v>52</v>
      </c>
      <c r="D1" s="9">
        <v>44378</v>
      </c>
      <c r="E1" s="11">
        <v>44378</v>
      </c>
      <c r="F1" s="11">
        <v>44379</v>
      </c>
      <c r="G1" s="378">
        <v>44380</v>
      </c>
      <c r="H1" s="378">
        <v>44381</v>
      </c>
      <c r="I1" s="11">
        <v>44382</v>
      </c>
      <c r="J1" s="11">
        <v>44383</v>
      </c>
      <c r="K1" s="11">
        <v>44384</v>
      </c>
      <c r="L1" s="11">
        <v>44385</v>
      </c>
      <c r="M1" s="11">
        <v>44386</v>
      </c>
      <c r="N1" s="378">
        <v>44387</v>
      </c>
      <c r="O1" s="378">
        <v>44388</v>
      </c>
      <c r="P1" s="11">
        <v>44389</v>
      </c>
      <c r="Q1" s="11">
        <v>44390</v>
      </c>
      <c r="R1" s="11">
        <v>44391</v>
      </c>
      <c r="S1" s="11">
        <v>44392</v>
      </c>
      <c r="T1" s="11">
        <v>44393</v>
      </c>
      <c r="U1" s="378">
        <v>44394</v>
      </c>
      <c r="V1" s="378">
        <v>44395</v>
      </c>
      <c r="W1" s="11">
        <v>44396</v>
      </c>
      <c r="X1" s="11">
        <v>44397</v>
      </c>
      <c r="Y1" s="11">
        <v>44398</v>
      </c>
      <c r="Z1" s="11">
        <v>44399</v>
      </c>
      <c r="AA1" s="11">
        <v>44400</v>
      </c>
      <c r="AB1" s="378">
        <v>44401</v>
      </c>
      <c r="AC1" s="378">
        <v>44402</v>
      </c>
      <c r="AD1" s="11">
        <v>44403</v>
      </c>
      <c r="AE1" s="11">
        <v>44404</v>
      </c>
      <c r="AF1" s="11">
        <v>44405</v>
      </c>
      <c r="AG1" s="11">
        <v>44406</v>
      </c>
      <c r="AH1" s="11">
        <v>44407</v>
      </c>
      <c r="AI1" s="378">
        <v>44408</v>
      </c>
      <c r="AJ1" s="128"/>
      <c r="AK1" s="15">
        <f>22*8</f>
        <v>176</v>
      </c>
      <c r="AL1" s="16" t="s">
        <v>53</v>
      </c>
      <c r="AM1" s="17" t="s">
        <v>54</v>
      </c>
      <c r="AN1" s="18" t="s">
        <v>55</v>
      </c>
      <c r="AO1" s="1" t="s">
        <v>56</v>
      </c>
      <c r="AP1" s="1" t="s">
        <v>57</v>
      </c>
    </row>
    <row r="2" spans="1:45" ht="15.9">
      <c r="A2" s="1" t="s">
        <v>58</v>
      </c>
      <c r="B2" s="1" t="s">
        <v>59</v>
      </c>
      <c r="C2" s="198" t="s">
        <v>60</v>
      </c>
      <c r="D2" s="491">
        <v>0</v>
      </c>
      <c r="E2" s="200"/>
      <c r="F2" s="22"/>
      <c r="G2" s="23"/>
      <c r="H2" s="23" t="s">
        <v>59</v>
      </c>
      <c r="I2" s="22"/>
      <c r="J2" s="22"/>
      <c r="K2" s="22"/>
      <c r="L2" s="22"/>
      <c r="M2" s="22"/>
      <c r="N2" s="23"/>
      <c r="O2" s="23"/>
      <c r="P2" s="22"/>
      <c r="Q2" s="22"/>
      <c r="R2" s="22"/>
      <c r="S2" s="22"/>
      <c r="T2" s="22" t="s">
        <v>61</v>
      </c>
      <c r="U2" s="23" t="s">
        <v>62</v>
      </c>
      <c r="V2" s="23" t="s">
        <v>62</v>
      </c>
      <c r="W2" s="22" t="s">
        <v>61</v>
      </c>
      <c r="X2" s="22"/>
      <c r="Y2" s="22"/>
      <c r="Z2" s="22" t="s">
        <v>75</v>
      </c>
      <c r="AA2" s="22" t="s">
        <v>75</v>
      </c>
      <c r="AB2" s="23"/>
      <c r="AC2" s="23"/>
      <c r="AD2" s="22" t="s">
        <v>75</v>
      </c>
      <c r="AE2" s="22" t="s">
        <v>75</v>
      </c>
      <c r="AF2" s="22" t="s">
        <v>75</v>
      </c>
      <c r="AG2" s="22" t="s">
        <v>75</v>
      </c>
      <c r="AH2" s="22" t="s">
        <v>75</v>
      </c>
      <c r="AI2" s="492" t="s">
        <v>66</v>
      </c>
      <c r="AJ2" s="26" t="e">
        <f>_xlfn.CONCAT(#REF!,Tabela13[[#This Row],[FUNKCJONARIUSZ]])</f>
        <v>#REF!</v>
      </c>
      <c r="AK2" s="27">
        <f t="shared" ref="AK2:AK30" si="0">D2+SUM(AL2:AP2)-$AK$1</f>
        <v>-24</v>
      </c>
      <c r="AL2" s="28">
        <f t="shared" ref="AL2:AL30" si="1">COUNTIF(E2:AI2,"D")*24+COUNTIF(E2:AI2,"12g")*12</f>
        <v>24</v>
      </c>
      <c r="AM2">
        <f t="shared" ref="AM2:AM30" si="2">SUM(COUNTIF(E2:AI2,"k")+COUNTIF(E2:AI2,"s")+COUNTIF(E2:AI2,"wse"))*24+SUM(COUNTIF(E2:AI2,"Pk")+COUNTIF(E2:AI2,"Ps"))*12</f>
        <v>72</v>
      </c>
      <c r="AN2" s="29">
        <f t="shared" ref="AN2:AN30" si="3">SUM(E2:AI2)+COUNTIF(E2:AI2,"uw")*8+COUNTIF(E2:AI2,"us")*8+COUNTIF(E2:AI2,"uz")*8</f>
        <v>56</v>
      </c>
      <c r="AO2" s="1">
        <f t="shared" ref="AO2:AO30" si="4">COUNTIF(E2:AI2,"DT")*8</f>
        <v>0</v>
      </c>
      <c r="AP2" s="1">
        <v>0</v>
      </c>
    </row>
    <row r="3" spans="1:45" ht="15.9">
      <c r="A3" s="1" t="s">
        <v>63</v>
      </c>
      <c r="B3" s="1" t="s">
        <v>64</v>
      </c>
      <c r="C3" s="203" t="s">
        <v>65</v>
      </c>
      <c r="D3" s="491">
        <v>0</v>
      </c>
      <c r="E3" s="204" t="s">
        <v>75</v>
      </c>
      <c r="F3" s="32" t="s">
        <v>75</v>
      </c>
      <c r="G3" s="33"/>
      <c r="H3" s="33"/>
      <c r="I3" s="32" t="s">
        <v>75</v>
      </c>
      <c r="J3" s="32" t="s">
        <v>75</v>
      </c>
      <c r="K3" s="32" t="s">
        <v>75</v>
      </c>
      <c r="L3" s="32" t="s">
        <v>75</v>
      </c>
      <c r="M3" s="32" t="s">
        <v>75</v>
      </c>
      <c r="N3" s="33" t="s">
        <v>66</v>
      </c>
      <c r="O3" s="33" t="s">
        <v>66</v>
      </c>
      <c r="P3" s="32" t="s">
        <v>75</v>
      </c>
      <c r="Q3" s="32" t="s">
        <v>75</v>
      </c>
      <c r="R3" s="32" t="s">
        <v>75</v>
      </c>
      <c r="S3" s="32" t="s">
        <v>75</v>
      </c>
      <c r="T3" s="32" t="s">
        <v>75</v>
      </c>
      <c r="U3" s="33" t="s">
        <v>331</v>
      </c>
      <c r="V3" s="33"/>
      <c r="W3" s="32"/>
      <c r="X3" s="32"/>
      <c r="Y3" s="32"/>
      <c r="Z3" s="32"/>
      <c r="AA3" s="32"/>
      <c r="AB3" s="33"/>
      <c r="AC3" s="33"/>
      <c r="AD3" s="32" t="s">
        <v>113</v>
      </c>
      <c r="AE3" s="32"/>
      <c r="AF3" s="32"/>
      <c r="AG3" s="32"/>
      <c r="AH3" s="32" t="s">
        <v>76</v>
      </c>
      <c r="AI3" s="493"/>
      <c r="AJ3" s="26" t="e">
        <f>_xlfn.CONCAT(#REF!,Tabela13[[#This Row],[FUNKCJONARIUSZ]])</f>
        <v>#REF!</v>
      </c>
      <c r="AK3" s="27">
        <f t="shared" si="0"/>
        <v>-32</v>
      </c>
      <c r="AL3" s="28">
        <f t="shared" si="1"/>
        <v>48</v>
      </c>
      <c r="AM3">
        <f t="shared" si="2"/>
        <v>0</v>
      </c>
      <c r="AN3" s="29">
        <f t="shared" si="3"/>
        <v>96</v>
      </c>
      <c r="AO3" s="1">
        <f t="shared" si="4"/>
        <v>0</v>
      </c>
      <c r="AP3" s="1">
        <v>0</v>
      </c>
    </row>
    <row r="4" spans="1:45" ht="15.9">
      <c r="A4" s="1" t="s">
        <v>67</v>
      </c>
      <c r="B4" s="1" t="s">
        <v>64</v>
      </c>
      <c r="C4" s="203" t="s">
        <v>68</v>
      </c>
      <c r="D4" s="491">
        <v>0</v>
      </c>
      <c r="E4" s="204"/>
      <c r="F4" s="32" t="s">
        <v>66</v>
      </c>
      <c r="G4" s="33" t="s">
        <v>66</v>
      </c>
      <c r="H4" s="33" t="s">
        <v>66</v>
      </c>
      <c r="I4" s="32" t="s">
        <v>66</v>
      </c>
      <c r="J4" s="32" t="s">
        <v>113</v>
      </c>
      <c r="K4" s="32"/>
      <c r="L4" s="32"/>
      <c r="M4" s="32" t="s">
        <v>113</v>
      </c>
      <c r="N4" s="33"/>
      <c r="O4" s="33"/>
      <c r="P4" s="32" t="s">
        <v>75</v>
      </c>
      <c r="Q4" s="32" t="s">
        <v>75</v>
      </c>
      <c r="R4" s="32" t="s">
        <v>75</v>
      </c>
      <c r="S4" s="32" t="s">
        <v>75</v>
      </c>
      <c r="T4" s="32" t="s">
        <v>75</v>
      </c>
      <c r="U4" s="33" t="s">
        <v>66</v>
      </c>
      <c r="V4" s="33" t="s">
        <v>66</v>
      </c>
      <c r="W4" s="32" t="s">
        <v>75</v>
      </c>
      <c r="X4" s="32" t="s">
        <v>75</v>
      </c>
      <c r="Y4" s="32" t="s">
        <v>75</v>
      </c>
      <c r="Z4" s="32" t="s">
        <v>75</v>
      </c>
      <c r="AA4" s="32" t="s">
        <v>75</v>
      </c>
      <c r="AB4" s="33"/>
      <c r="AC4" s="33"/>
      <c r="AD4" s="32" t="s">
        <v>75</v>
      </c>
      <c r="AE4" s="32" t="s">
        <v>75</v>
      </c>
      <c r="AF4" s="32" t="s">
        <v>75</v>
      </c>
      <c r="AG4" s="32" t="s">
        <v>75</v>
      </c>
      <c r="AH4" s="32" t="s">
        <v>75</v>
      </c>
      <c r="AI4" s="493"/>
      <c r="AJ4" s="26" t="e">
        <f>_xlfn.CONCAT(#REF!,Tabela13[[#This Row],[FUNKCJONARIUSZ]])</f>
        <v>#REF!</v>
      </c>
      <c r="AK4" s="27">
        <f t="shared" si="0"/>
        <v>-8</v>
      </c>
      <c r="AL4" s="28">
        <f t="shared" si="1"/>
        <v>48</v>
      </c>
      <c r="AM4">
        <f t="shared" si="2"/>
        <v>0</v>
      </c>
      <c r="AN4" s="29">
        <f t="shared" si="3"/>
        <v>120</v>
      </c>
      <c r="AO4" s="1">
        <f t="shared" si="4"/>
        <v>0</v>
      </c>
      <c r="AP4" s="1">
        <v>0</v>
      </c>
    </row>
    <row r="5" spans="1:45" ht="15.9">
      <c r="A5" s="1" t="s">
        <v>63</v>
      </c>
      <c r="B5" s="1" t="s">
        <v>64</v>
      </c>
      <c r="C5" s="206" t="s">
        <v>71</v>
      </c>
      <c r="D5" s="491">
        <v>0</v>
      </c>
      <c r="E5" s="204" t="s">
        <v>70</v>
      </c>
      <c r="F5" s="32" t="s">
        <v>70</v>
      </c>
      <c r="G5" s="33" t="s">
        <v>70</v>
      </c>
      <c r="H5" s="33" t="s">
        <v>70</v>
      </c>
      <c r="I5" s="32" t="s">
        <v>69</v>
      </c>
      <c r="J5" s="32"/>
      <c r="K5" s="32"/>
      <c r="L5" s="32"/>
      <c r="M5" s="32"/>
      <c r="N5" s="33" t="s">
        <v>76</v>
      </c>
      <c r="O5" s="33"/>
      <c r="P5" s="32"/>
      <c r="Q5" s="32" t="s">
        <v>59</v>
      </c>
      <c r="R5" s="32" t="s">
        <v>66</v>
      </c>
      <c r="S5" s="32" t="s">
        <v>66</v>
      </c>
      <c r="T5" s="32" t="s">
        <v>59</v>
      </c>
      <c r="U5" s="33" t="s">
        <v>66</v>
      </c>
      <c r="V5" s="33" t="s">
        <v>66</v>
      </c>
      <c r="W5" s="32" t="s">
        <v>332</v>
      </c>
      <c r="X5" s="32" t="s">
        <v>59</v>
      </c>
      <c r="Y5" s="32" t="s">
        <v>66</v>
      </c>
      <c r="Z5" s="32" t="s">
        <v>66</v>
      </c>
      <c r="AA5" s="32" t="s">
        <v>66</v>
      </c>
      <c r="AB5" s="33" t="s">
        <v>76</v>
      </c>
      <c r="AC5" s="33" t="s">
        <v>66</v>
      </c>
      <c r="AD5" s="32" t="s">
        <v>66</v>
      </c>
      <c r="AE5" s="32" t="s">
        <v>66</v>
      </c>
      <c r="AF5" s="32" t="s">
        <v>66</v>
      </c>
      <c r="AG5" s="32" t="s">
        <v>66</v>
      </c>
      <c r="AH5" s="32" t="s">
        <v>66</v>
      </c>
      <c r="AI5" s="493" t="s">
        <v>66</v>
      </c>
      <c r="AJ5" s="26" t="e">
        <f>_xlfn.CONCAT(#REF!,Tabela13[[#This Row],[FUNKCJONARIUSZ]])</f>
        <v>#REF!</v>
      </c>
      <c r="AK5" s="27">
        <f t="shared" si="0"/>
        <v>28</v>
      </c>
      <c r="AL5" s="28">
        <f t="shared" si="1"/>
        <v>96</v>
      </c>
      <c r="AM5">
        <f t="shared" si="2"/>
        <v>108</v>
      </c>
      <c r="AN5" s="29">
        <f t="shared" si="3"/>
        <v>0</v>
      </c>
      <c r="AO5" s="1">
        <f t="shared" si="4"/>
        <v>0</v>
      </c>
      <c r="AP5" s="1">
        <v>0</v>
      </c>
      <c r="AQ5" s="36" t="s">
        <v>59</v>
      </c>
      <c r="AR5" s="1" t="s">
        <v>72</v>
      </c>
      <c r="AS5" s="1">
        <v>24</v>
      </c>
    </row>
    <row r="6" spans="1:45" ht="15.9">
      <c r="A6" s="1" t="s">
        <v>67</v>
      </c>
      <c r="B6" s="1" t="s">
        <v>73</v>
      </c>
      <c r="C6" s="203" t="s">
        <v>74</v>
      </c>
      <c r="D6" s="491">
        <v>0</v>
      </c>
      <c r="E6" s="204" t="s">
        <v>66</v>
      </c>
      <c r="F6" s="32" t="s">
        <v>66</v>
      </c>
      <c r="G6" s="33" t="s">
        <v>66</v>
      </c>
      <c r="H6" s="33" t="s">
        <v>66</v>
      </c>
      <c r="I6" s="32" t="s">
        <v>75</v>
      </c>
      <c r="J6" s="32" t="s">
        <v>75</v>
      </c>
      <c r="K6" s="32" t="s">
        <v>75</v>
      </c>
      <c r="L6" s="32" t="s">
        <v>75</v>
      </c>
      <c r="M6" s="32" t="s">
        <v>75</v>
      </c>
      <c r="N6" s="33" t="s">
        <v>66</v>
      </c>
      <c r="O6" s="33" t="s">
        <v>66</v>
      </c>
      <c r="P6" s="32" t="s">
        <v>75</v>
      </c>
      <c r="Q6" s="32" t="s">
        <v>75</v>
      </c>
      <c r="R6" s="32" t="s">
        <v>75</v>
      </c>
      <c r="S6" s="32" t="s">
        <v>75</v>
      </c>
      <c r="T6" s="32" t="s">
        <v>75</v>
      </c>
      <c r="U6" s="33" t="s">
        <v>66</v>
      </c>
      <c r="V6" s="33" t="s">
        <v>66</v>
      </c>
      <c r="W6" s="32" t="s">
        <v>75</v>
      </c>
      <c r="X6" s="32" t="s">
        <v>75</v>
      </c>
      <c r="Y6" s="32" t="s">
        <v>75</v>
      </c>
      <c r="Z6" s="32" t="s">
        <v>75</v>
      </c>
      <c r="AA6" s="32" t="s">
        <v>75</v>
      </c>
      <c r="AB6" s="33"/>
      <c r="AC6" s="33"/>
      <c r="AD6" s="32" t="s">
        <v>75</v>
      </c>
      <c r="AE6" s="32" t="s">
        <v>59</v>
      </c>
      <c r="AF6" s="32"/>
      <c r="AG6" s="32"/>
      <c r="AH6" s="32" t="s">
        <v>59</v>
      </c>
      <c r="AI6" s="493"/>
      <c r="AJ6" s="26" t="e">
        <f>_xlfn.CONCAT(#REF!,Tabela13[[#This Row],[FUNKCJONARIUSZ]])</f>
        <v>#REF!</v>
      </c>
      <c r="AK6" s="27">
        <f t="shared" si="0"/>
        <v>0</v>
      </c>
      <c r="AL6" s="28">
        <f t="shared" si="1"/>
        <v>48</v>
      </c>
      <c r="AM6">
        <f t="shared" si="2"/>
        <v>0</v>
      </c>
      <c r="AN6" s="29">
        <f t="shared" si="3"/>
        <v>128</v>
      </c>
      <c r="AO6" s="1">
        <f t="shared" si="4"/>
        <v>0</v>
      </c>
      <c r="AP6" s="1">
        <v>0</v>
      </c>
      <c r="AQ6" s="36" t="s">
        <v>76</v>
      </c>
      <c r="AR6" s="1" t="s">
        <v>77</v>
      </c>
      <c r="AS6" s="1">
        <v>12</v>
      </c>
    </row>
    <row r="7" spans="1:45" ht="15.9">
      <c r="A7" s="1" t="s">
        <v>67</v>
      </c>
      <c r="B7" s="1" t="s">
        <v>59</v>
      </c>
      <c r="C7" s="30" t="s">
        <v>78</v>
      </c>
      <c r="D7" s="491">
        <v>0</v>
      </c>
      <c r="E7" s="204">
        <v>15</v>
      </c>
      <c r="F7" s="32" t="s">
        <v>98</v>
      </c>
      <c r="G7" s="33">
        <v>20</v>
      </c>
      <c r="H7" s="33"/>
      <c r="I7" s="32"/>
      <c r="J7" s="32"/>
      <c r="K7" s="32"/>
      <c r="L7" s="32"/>
      <c r="M7" s="32"/>
      <c r="N7" s="33"/>
      <c r="O7" s="33"/>
      <c r="P7" s="32">
        <v>17</v>
      </c>
      <c r="Q7" s="32" t="s">
        <v>98</v>
      </c>
      <c r="R7" s="32">
        <v>20</v>
      </c>
      <c r="S7" s="32"/>
      <c r="T7" s="32"/>
      <c r="U7" s="33"/>
      <c r="V7" s="33"/>
      <c r="W7" s="32" t="s">
        <v>61</v>
      </c>
      <c r="X7" s="32" t="s">
        <v>62</v>
      </c>
      <c r="Y7" s="32" t="s">
        <v>62</v>
      </c>
      <c r="Z7" s="32" t="s">
        <v>62</v>
      </c>
      <c r="AA7" s="32" t="s">
        <v>61</v>
      </c>
      <c r="AB7" s="33"/>
      <c r="AC7" s="33"/>
      <c r="AD7" s="32"/>
      <c r="AE7" s="32"/>
      <c r="AF7" s="32"/>
      <c r="AG7" s="32"/>
      <c r="AH7" s="32"/>
      <c r="AI7" s="493"/>
      <c r="AJ7" s="26" t="e">
        <f>_xlfn.CONCAT(#REF!,Tabela13[[#This Row],[FUNKCJONARIUSZ]])</f>
        <v>#REF!</v>
      </c>
      <c r="AK7" s="27">
        <f t="shared" si="0"/>
        <v>40</v>
      </c>
      <c r="AL7" s="28">
        <f t="shared" si="1"/>
        <v>0</v>
      </c>
      <c r="AM7">
        <f t="shared" si="2"/>
        <v>144</v>
      </c>
      <c r="AN7" s="29">
        <f t="shared" si="3"/>
        <v>72</v>
      </c>
      <c r="AO7" s="1">
        <f t="shared" si="4"/>
        <v>0</v>
      </c>
      <c r="AP7" s="1">
        <v>0</v>
      </c>
      <c r="AQ7" s="36" t="s">
        <v>69</v>
      </c>
      <c r="AR7" s="1" t="s">
        <v>79</v>
      </c>
      <c r="AS7" s="1">
        <v>12</v>
      </c>
    </row>
    <row r="8" spans="1:45" ht="15.9">
      <c r="A8" s="1" t="s">
        <v>67</v>
      </c>
      <c r="B8" s="1" t="s">
        <v>59</v>
      </c>
      <c r="C8" s="203" t="s">
        <v>80</v>
      </c>
      <c r="D8" s="491">
        <v>0</v>
      </c>
      <c r="E8" s="204" t="s">
        <v>70</v>
      </c>
      <c r="F8" s="32" t="s">
        <v>70</v>
      </c>
      <c r="G8" s="33" t="s">
        <v>70</v>
      </c>
      <c r="H8" s="33" t="s">
        <v>70</v>
      </c>
      <c r="I8" s="32" t="s">
        <v>69</v>
      </c>
      <c r="J8" s="32"/>
      <c r="K8" s="32"/>
      <c r="L8" s="32"/>
      <c r="M8" s="32" t="s">
        <v>61</v>
      </c>
      <c r="N8" s="33" t="s">
        <v>62</v>
      </c>
      <c r="O8" s="33" t="s">
        <v>62</v>
      </c>
      <c r="P8" s="32" t="s">
        <v>61</v>
      </c>
      <c r="Q8" s="32"/>
      <c r="R8" s="32"/>
      <c r="S8" s="32"/>
      <c r="T8" s="32"/>
      <c r="U8" s="33"/>
      <c r="V8" s="33"/>
      <c r="W8" s="32" t="s">
        <v>59</v>
      </c>
      <c r="X8" s="32"/>
      <c r="Y8" s="32"/>
      <c r="Z8" s="32"/>
      <c r="AA8" s="32"/>
      <c r="AB8" s="33"/>
      <c r="AC8" s="33"/>
      <c r="AD8" s="32"/>
      <c r="AE8" s="32"/>
      <c r="AF8" s="32"/>
      <c r="AG8" s="32"/>
      <c r="AH8" s="32"/>
      <c r="AI8" s="493"/>
      <c r="AJ8" s="26" t="e">
        <f>_xlfn.CONCAT(#REF!,Tabela13[[#This Row],[FUNKCJONARIUSZ]])</f>
        <v>#REF!</v>
      </c>
      <c r="AK8" s="27">
        <f t="shared" si="0"/>
        <v>28</v>
      </c>
      <c r="AL8" s="28">
        <f t="shared" si="1"/>
        <v>24</v>
      </c>
      <c r="AM8">
        <f t="shared" si="2"/>
        <v>180</v>
      </c>
      <c r="AN8" s="29">
        <f t="shared" si="3"/>
        <v>0</v>
      </c>
      <c r="AO8" s="1">
        <f t="shared" si="4"/>
        <v>0</v>
      </c>
      <c r="AP8" s="1">
        <v>0</v>
      </c>
      <c r="AQ8" s="36" t="s">
        <v>70</v>
      </c>
      <c r="AR8" s="1" t="s">
        <v>81</v>
      </c>
      <c r="AS8" s="1">
        <v>24</v>
      </c>
    </row>
    <row r="9" spans="1:45" ht="15.9">
      <c r="A9" s="1" t="s">
        <v>67</v>
      </c>
      <c r="B9" s="1" t="s">
        <v>59</v>
      </c>
      <c r="C9" s="203" t="s">
        <v>82</v>
      </c>
      <c r="D9" s="491">
        <v>0</v>
      </c>
      <c r="E9" s="204"/>
      <c r="F9" s="32" t="s">
        <v>75</v>
      </c>
      <c r="G9" s="33"/>
      <c r="H9" s="33"/>
      <c r="I9" s="32" t="s">
        <v>75</v>
      </c>
      <c r="J9" s="32" t="s">
        <v>75</v>
      </c>
      <c r="K9" s="32" t="s">
        <v>75</v>
      </c>
      <c r="L9" s="32" t="s">
        <v>75</v>
      </c>
      <c r="M9" s="32" t="s">
        <v>75</v>
      </c>
      <c r="N9" s="33" t="s">
        <v>66</v>
      </c>
      <c r="O9" s="33" t="s">
        <v>66</v>
      </c>
      <c r="P9" s="32" t="s">
        <v>75</v>
      </c>
      <c r="Q9" s="32" t="s">
        <v>75</v>
      </c>
      <c r="R9" s="32" t="s">
        <v>75</v>
      </c>
      <c r="S9" s="32" t="s">
        <v>75</v>
      </c>
      <c r="T9" s="32" t="s">
        <v>75</v>
      </c>
      <c r="U9" s="33" t="s">
        <v>66</v>
      </c>
      <c r="V9" s="33" t="s">
        <v>66</v>
      </c>
      <c r="W9" s="32" t="s">
        <v>75</v>
      </c>
      <c r="X9" s="32" t="s">
        <v>75</v>
      </c>
      <c r="Y9" s="32" t="s">
        <v>75</v>
      </c>
      <c r="Z9" s="32" t="s">
        <v>75</v>
      </c>
      <c r="AA9" s="32"/>
      <c r="AB9" s="33"/>
      <c r="AC9" s="33"/>
      <c r="AD9" s="32" t="s">
        <v>61</v>
      </c>
      <c r="AE9" s="32" t="s">
        <v>62</v>
      </c>
      <c r="AF9" s="32" t="s">
        <v>62</v>
      </c>
      <c r="AG9" s="32" t="s">
        <v>70</v>
      </c>
      <c r="AH9" s="32" t="s">
        <v>70</v>
      </c>
      <c r="AI9" s="493" t="s">
        <v>70</v>
      </c>
      <c r="AJ9" s="26" t="e">
        <f>_xlfn.CONCAT(#REF!,Tabela13[[#This Row],[FUNKCJONARIUSZ]])</f>
        <v>#REF!</v>
      </c>
      <c r="AK9" s="27">
        <f t="shared" si="0"/>
        <v>76</v>
      </c>
      <c r="AL9" s="28">
        <f t="shared" si="1"/>
        <v>0</v>
      </c>
      <c r="AM9">
        <f t="shared" si="2"/>
        <v>132</v>
      </c>
      <c r="AN9" s="29">
        <f t="shared" si="3"/>
        <v>120</v>
      </c>
      <c r="AO9" s="1">
        <f t="shared" si="4"/>
        <v>0</v>
      </c>
      <c r="AP9" s="1">
        <v>0</v>
      </c>
      <c r="AQ9" s="36" t="s">
        <v>83</v>
      </c>
      <c r="AR9" s="1" t="s">
        <v>84</v>
      </c>
      <c r="AS9" s="1">
        <v>8</v>
      </c>
    </row>
    <row r="10" spans="1:45" ht="15.9">
      <c r="A10" s="1" t="s">
        <v>58</v>
      </c>
      <c r="B10" s="1" t="s">
        <v>73</v>
      </c>
      <c r="C10" s="203" t="s">
        <v>85</v>
      </c>
      <c r="D10" s="491">
        <v>0</v>
      </c>
      <c r="E10" s="204" t="s">
        <v>75</v>
      </c>
      <c r="F10" s="32" t="s">
        <v>75</v>
      </c>
      <c r="G10" s="33"/>
      <c r="H10" s="33"/>
      <c r="I10" s="32" t="s">
        <v>75</v>
      </c>
      <c r="J10" s="32" t="s">
        <v>75</v>
      </c>
      <c r="K10" s="32" t="s">
        <v>75</v>
      </c>
      <c r="L10" s="32" t="s">
        <v>75</v>
      </c>
      <c r="M10" s="32" t="s">
        <v>75</v>
      </c>
      <c r="N10" s="33" t="s">
        <v>66</v>
      </c>
      <c r="O10" s="33" t="s">
        <v>66</v>
      </c>
      <c r="P10" s="32" t="s">
        <v>75</v>
      </c>
      <c r="Q10" s="32" t="s">
        <v>75</v>
      </c>
      <c r="R10" s="32" t="s">
        <v>75</v>
      </c>
      <c r="S10" s="32" t="s">
        <v>75</v>
      </c>
      <c r="T10" s="32" t="s">
        <v>75</v>
      </c>
      <c r="U10" s="33" t="s">
        <v>331</v>
      </c>
      <c r="V10" s="33"/>
      <c r="W10" s="32" t="s">
        <v>61</v>
      </c>
      <c r="X10" s="32" t="s">
        <v>62</v>
      </c>
      <c r="Y10" s="32" t="s">
        <v>62</v>
      </c>
      <c r="Z10" s="32" t="s">
        <v>62</v>
      </c>
      <c r="AA10" s="32" t="s">
        <v>69</v>
      </c>
      <c r="AB10" s="33"/>
      <c r="AC10" s="33"/>
      <c r="AD10" s="32"/>
      <c r="AE10" s="32"/>
      <c r="AF10" s="32"/>
      <c r="AG10" s="32"/>
      <c r="AH10" s="32" t="s">
        <v>69</v>
      </c>
      <c r="AI10" s="493" t="s">
        <v>70</v>
      </c>
      <c r="AJ10" s="26" t="e">
        <f>_xlfn.CONCAT(#REF!,Tabela13[[#This Row],[FUNKCJONARIUSZ]])</f>
        <v>#REF!</v>
      </c>
      <c r="AK10" s="27">
        <f t="shared" si="0"/>
        <v>64</v>
      </c>
      <c r="AL10" s="28">
        <f t="shared" si="1"/>
        <v>12</v>
      </c>
      <c r="AM10">
        <f t="shared" si="2"/>
        <v>132</v>
      </c>
      <c r="AN10" s="29">
        <f t="shared" si="3"/>
        <v>96</v>
      </c>
      <c r="AO10" s="1">
        <f t="shared" si="4"/>
        <v>0</v>
      </c>
      <c r="AP10" s="1">
        <v>0</v>
      </c>
      <c r="AQ10" s="36" t="s">
        <v>75</v>
      </c>
      <c r="AR10" s="1" t="s">
        <v>86</v>
      </c>
      <c r="AS10" s="1">
        <v>8</v>
      </c>
    </row>
    <row r="11" spans="1:45" ht="15.9">
      <c r="A11" s="1" t="s">
        <v>58</v>
      </c>
      <c r="B11" s="1" t="s">
        <v>73</v>
      </c>
      <c r="C11" s="203" t="s">
        <v>87</v>
      </c>
      <c r="D11" s="491">
        <v>0</v>
      </c>
      <c r="E11" s="204"/>
      <c r="F11" s="32"/>
      <c r="G11" s="33" t="s">
        <v>76</v>
      </c>
      <c r="H11" s="33"/>
      <c r="I11" s="32" t="s">
        <v>103</v>
      </c>
      <c r="J11" s="32"/>
      <c r="K11" s="32"/>
      <c r="L11" s="32"/>
      <c r="M11" s="32"/>
      <c r="N11" s="33" t="s">
        <v>66</v>
      </c>
      <c r="O11" s="33" t="s">
        <v>66</v>
      </c>
      <c r="P11" s="32" t="s">
        <v>75</v>
      </c>
      <c r="Q11" s="32" t="s">
        <v>75</v>
      </c>
      <c r="R11" s="32" t="s">
        <v>75</v>
      </c>
      <c r="S11" s="32" t="s">
        <v>75</v>
      </c>
      <c r="T11" s="32" t="s">
        <v>75</v>
      </c>
      <c r="U11" s="33" t="s">
        <v>66</v>
      </c>
      <c r="V11" s="33" t="s">
        <v>66</v>
      </c>
      <c r="W11" s="32" t="s">
        <v>75</v>
      </c>
      <c r="X11" s="32" t="s">
        <v>75</v>
      </c>
      <c r="Y11" s="32" t="s">
        <v>75</v>
      </c>
      <c r="Z11" s="32" t="s">
        <v>75</v>
      </c>
      <c r="AA11" s="32" t="s">
        <v>75</v>
      </c>
      <c r="AB11" s="33"/>
      <c r="AC11" s="33"/>
      <c r="AD11" s="32" t="s">
        <v>75</v>
      </c>
      <c r="AE11" s="32" t="s">
        <v>75</v>
      </c>
      <c r="AF11" s="32" t="s">
        <v>75</v>
      </c>
      <c r="AG11" s="32" t="s">
        <v>75</v>
      </c>
      <c r="AH11" s="32" t="s">
        <v>66</v>
      </c>
      <c r="AI11" s="493" t="s">
        <v>66</v>
      </c>
      <c r="AJ11" s="26" t="e">
        <f>_xlfn.CONCAT(#REF!,Tabela13[[#This Row],[FUNKCJONARIUSZ]])</f>
        <v>#REF!</v>
      </c>
      <c r="AK11" s="27">
        <f t="shared" si="0"/>
        <v>-52</v>
      </c>
      <c r="AL11" s="28">
        <f t="shared" si="1"/>
        <v>12</v>
      </c>
      <c r="AM11">
        <f t="shared" si="2"/>
        <v>0</v>
      </c>
      <c r="AN11" s="29">
        <f t="shared" si="3"/>
        <v>112</v>
      </c>
      <c r="AO11" s="1">
        <f t="shared" si="4"/>
        <v>0</v>
      </c>
      <c r="AP11" s="1">
        <v>0</v>
      </c>
      <c r="AQ11" s="36" t="s">
        <v>88</v>
      </c>
      <c r="AR11" s="1" t="s">
        <v>89</v>
      </c>
      <c r="AS11" s="1">
        <v>8</v>
      </c>
    </row>
    <row r="12" spans="1:45" ht="15.9">
      <c r="A12" s="1" t="s">
        <v>90</v>
      </c>
      <c r="B12" s="1" t="s">
        <v>64</v>
      </c>
      <c r="C12" s="203" t="s">
        <v>91</v>
      </c>
      <c r="D12" s="491">
        <v>0</v>
      </c>
      <c r="E12" s="204"/>
      <c r="F12" s="32"/>
      <c r="G12" s="33" t="s">
        <v>76</v>
      </c>
      <c r="H12" s="33"/>
      <c r="I12" s="32" t="s">
        <v>113</v>
      </c>
      <c r="J12" s="32"/>
      <c r="K12" s="32"/>
      <c r="L12" s="32"/>
      <c r="M12" s="32"/>
      <c r="N12" s="33"/>
      <c r="O12" s="33"/>
      <c r="P12" s="32"/>
      <c r="Q12" s="32"/>
      <c r="R12" s="32"/>
      <c r="S12" s="32"/>
      <c r="T12" s="32" t="s">
        <v>61</v>
      </c>
      <c r="U12" s="33" t="s">
        <v>62</v>
      </c>
      <c r="V12" s="33" t="s">
        <v>62</v>
      </c>
      <c r="W12" s="32" t="s">
        <v>61</v>
      </c>
      <c r="X12" s="32" t="s">
        <v>75</v>
      </c>
      <c r="Y12" s="32" t="s">
        <v>75</v>
      </c>
      <c r="Z12" s="32" t="s">
        <v>75</v>
      </c>
      <c r="AA12" s="32" t="s">
        <v>75</v>
      </c>
      <c r="AB12" s="33"/>
      <c r="AC12" s="33"/>
      <c r="AD12" s="32" t="s">
        <v>75</v>
      </c>
      <c r="AE12" s="32" t="s">
        <v>75</v>
      </c>
      <c r="AF12" s="32" t="s">
        <v>75</v>
      </c>
      <c r="AG12" s="32" t="s">
        <v>75</v>
      </c>
      <c r="AH12" s="32" t="s">
        <v>75</v>
      </c>
      <c r="AI12" s="493" t="s">
        <v>75</v>
      </c>
      <c r="AJ12" s="26" t="e">
        <f>_xlfn.CONCAT(#REF!,Tabela13[[#This Row],[FUNKCJONARIUSZ]])</f>
        <v>#REF!</v>
      </c>
      <c r="AK12" s="27">
        <f t="shared" si="0"/>
        <v>12</v>
      </c>
      <c r="AL12" s="28">
        <f t="shared" si="1"/>
        <v>36</v>
      </c>
      <c r="AM12">
        <f t="shared" si="2"/>
        <v>72</v>
      </c>
      <c r="AN12" s="29">
        <f t="shared" si="3"/>
        <v>80</v>
      </c>
      <c r="AO12" s="1">
        <f t="shared" si="4"/>
        <v>0</v>
      </c>
      <c r="AP12" s="1">
        <v>0</v>
      </c>
      <c r="AQ12" s="36" t="s">
        <v>92</v>
      </c>
      <c r="AR12" s="1" t="s">
        <v>79</v>
      </c>
      <c r="AS12" s="1">
        <v>12</v>
      </c>
    </row>
    <row r="13" spans="1:45" ht="15.9">
      <c r="A13" s="1" t="s">
        <v>58</v>
      </c>
      <c r="B13" s="1" t="s">
        <v>93</v>
      </c>
      <c r="C13" s="203" t="s">
        <v>94</v>
      </c>
      <c r="D13" s="491">
        <v>0</v>
      </c>
      <c r="E13" s="204"/>
      <c r="F13" s="32" t="s">
        <v>59</v>
      </c>
      <c r="G13" s="33"/>
      <c r="H13" s="33"/>
      <c r="I13" s="32"/>
      <c r="J13" s="32"/>
      <c r="K13" s="32"/>
      <c r="L13" s="32"/>
      <c r="M13" s="32"/>
      <c r="N13" s="33"/>
      <c r="O13" s="33"/>
      <c r="P13" s="32" t="s">
        <v>61</v>
      </c>
      <c r="Q13" s="32" t="s">
        <v>62</v>
      </c>
      <c r="R13" s="32" t="s">
        <v>62</v>
      </c>
      <c r="S13" s="32" t="s">
        <v>62</v>
      </c>
      <c r="T13" s="32" t="s">
        <v>61</v>
      </c>
      <c r="U13" s="33"/>
      <c r="V13" s="33"/>
      <c r="W13" s="32"/>
      <c r="X13" s="32"/>
      <c r="Y13" s="32"/>
      <c r="Z13" s="32"/>
      <c r="AA13" s="32"/>
      <c r="AB13" s="33" t="s">
        <v>59</v>
      </c>
      <c r="AC13" s="33"/>
      <c r="AD13" s="32"/>
      <c r="AE13" s="32"/>
      <c r="AF13" s="32"/>
      <c r="AG13" s="32" t="s">
        <v>66</v>
      </c>
      <c r="AH13" s="32" t="s">
        <v>66</v>
      </c>
      <c r="AI13" s="493" t="s">
        <v>66</v>
      </c>
      <c r="AJ13" s="26" t="e">
        <f>_xlfn.CONCAT(#REF!,Tabela13[[#This Row],[FUNKCJONARIUSZ]])</f>
        <v>#REF!</v>
      </c>
      <c r="AK13" s="27">
        <f t="shared" si="0"/>
        <v>-32</v>
      </c>
      <c r="AL13" s="28">
        <f t="shared" si="1"/>
        <v>48</v>
      </c>
      <c r="AM13">
        <f t="shared" si="2"/>
        <v>96</v>
      </c>
      <c r="AN13" s="29">
        <f t="shared" si="3"/>
        <v>0</v>
      </c>
      <c r="AO13" s="1">
        <f t="shared" si="4"/>
        <v>0</v>
      </c>
      <c r="AP13" s="1">
        <v>0</v>
      </c>
      <c r="AQ13" s="36" t="s">
        <v>95</v>
      </c>
      <c r="AR13" s="1" t="s">
        <v>96</v>
      </c>
      <c r="AS13" s="1">
        <v>24</v>
      </c>
    </row>
    <row r="14" spans="1:45" ht="15.9">
      <c r="A14" s="1" t="s">
        <v>90</v>
      </c>
      <c r="B14" s="1" t="s">
        <v>59</v>
      </c>
      <c r="C14" s="203" t="s">
        <v>97</v>
      </c>
      <c r="D14" s="491">
        <v>0</v>
      </c>
      <c r="E14" s="204"/>
      <c r="F14" s="32"/>
      <c r="G14" s="33"/>
      <c r="H14" s="33"/>
      <c r="I14" s="32" t="s">
        <v>75</v>
      </c>
      <c r="J14" s="32" t="s">
        <v>75</v>
      </c>
      <c r="K14" s="32" t="s">
        <v>75</v>
      </c>
      <c r="L14" s="32" t="s">
        <v>75</v>
      </c>
      <c r="M14" s="32" t="s">
        <v>75</v>
      </c>
      <c r="N14" s="33" t="s">
        <v>66</v>
      </c>
      <c r="O14" s="33" t="s">
        <v>66</v>
      </c>
      <c r="P14" s="32" t="s">
        <v>75</v>
      </c>
      <c r="Q14" s="32"/>
      <c r="R14" s="32"/>
      <c r="S14" s="32"/>
      <c r="T14" s="32"/>
      <c r="U14" s="33" t="s">
        <v>331</v>
      </c>
      <c r="V14" s="33"/>
      <c r="W14" s="32" t="s">
        <v>332</v>
      </c>
      <c r="X14" s="32"/>
      <c r="Y14" s="32"/>
      <c r="Z14" s="32"/>
      <c r="AA14" s="32" t="s">
        <v>59</v>
      </c>
      <c r="AB14" s="33"/>
      <c r="AC14" s="33"/>
      <c r="AD14" s="32" t="s">
        <v>61</v>
      </c>
      <c r="AE14" s="32" t="s">
        <v>62</v>
      </c>
      <c r="AF14" s="32" t="s">
        <v>62</v>
      </c>
      <c r="AG14" s="32" t="s">
        <v>62</v>
      </c>
      <c r="AH14" s="32" t="s">
        <v>70</v>
      </c>
      <c r="AI14" s="493" t="s">
        <v>70</v>
      </c>
      <c r="AJ14" s="26" t="e">
        <f>_xlfn.CONCAT(#REF!,Tabela13[[#This Row],[FUNKCJONARIUSZ]])</f>
        <v>#REF!</v>
      </c>
      <c r="AK14" s="27">
        <f t="shared" si="0"/>
        <v>40</v>
      </c>
      <c r="AL14" s="28">
        <f t="shared" si="1"/>
        <v>36</v>
      </c>
      <c r="AM14">
        <f t="shared" si="2"/>
        <v>132</v>
      </c>
      <c r="AN14" s="29">
        <f t="shared" si="3"/>
        <v>48</v>
      </c>
      <c r="AO14" s="1">
        <f t="shared" si="4"/>
        <v>0</v>
      </c>
      <c r="AQ14" s="36" t="s">
        <v>98</v>
      </c>
      <c r="AR14" s="1" t="s">
        <v>99</v>
      </c>
      <c r="AS14" s="1">
        <v>24</v>
      </c>
    </row>
    <row r="15" spans="1:45" ht="15.9">
      <c r="A15" s="1" t="s">
        <v>58</v>
      </c>
      <c r="B15" s="1" t="s">
        <v>93</v>
      </c>
      <c r="C15" s="203" t="s">
        <v>100</v>
      </c>
      <c r="D15" s="491">
        <v>0</v>
      </c>
      <c r="E15" s="204" t="s">
        <v>70</v>
      </c>
      <c r="F15" s="32" t="s">
        <v>70</v>
      </c>
      <c r="G15" s="33" t="s">
        <v>70</v>
      </c>
      <c r="H15" s="33" t="s">
        <v>70</v>
      </c>
      <c r="I15" s="32" t="s">
        <v>69</v>
      </c>
      <c r="J15" s="32"/>
      <c r="K15" s="32"/>
      <c r="L15" s="32"/>
      <c r="M15" s="32"/>
      <c r="N15" s="33"/>
      <c r="O15" s="33"/>
      <c r="P15" s="32"/>
      <c r="Q15" s="32"/>
      <c r="R15" s="32"/>
      <c r="S15" s="32"/>
      <c r="T15" s="32" t="s">
        <v>61</v>
      </c>
      <c r="U15" s="33" t="s">
        <v>62</v>
      </c>
      <c r="V15" s="33" t="s">
        <v>62</v>
      </c>
      <c r="W15" s="32" t="s">
        <v>61</v>
      </c>
      <c r="X15" s="32"/>
      <c r="Y15" s="32"/>
      <c r="Z15" s="32"/>
      <c r="AA15" s="32"/>
      <c r="AB15" s="33"/>
      <c r="AC15" s="33"/>
      <c r="AD15" s="32"/>
      <c r="AE15" s="32"/>
      <c r="AF15" s="32"/>
      <c r="AG15" s="32" t="s">
        <v>113</v>
      </c>
      <c r="AH15" s="32" t="s">
        <v>66</v>
      </c>
      <c r="AI15" s="493" t="s">
        <v>66</v>
      </c>
      <c r="AJ15" s="26" t="e">
        <f>_xlfn.CONCAT(#REF!,Tabela13[[#This Row],[FUNKCJONARIUSZ]])</f>
        <v>#REF!</v>
      </c>
      <c r="AK15" s="27">
        <f t="shared" si="0"/>
        <v>28</v>
      </c>
      <c r="AL15" s="28">
        <f t="shared" si="1"/>
        <v>24</v>
      </c>
      <c r="AM15">
        <f t="shared" si="2"/>
        <v>180</v>
      </c>
      <c r="AN15" s="29">
        <f t="shared" si="3"/>
        <v>0</v>
      </c>
      <c r="AO15" s="1">
        <f t="shared" si="4"/>
        <v>0</v>
      </c>
      <c r="AQ15" s="32" t="s">
        <v>101</v>
      </c>
      <c r="AR15" s="1" t="s">
        <v>102</v>
      </c>
      <c r="AS15" s="1" t="s">
        <v>103</v>
      </c>
    </row>
    <row r="16" spans="1:45" ht="15.9">
      <c r="A16" s="1" t="s">
        <v>90</v>
      </c>
      <c r="B16" s="1" t="s">
        <v>64</v>
      </c>
      <c r="C16" s="203" t="s">
        <v>104</v>
      </c>
      <c r="D16" s="491">
        <v>0</v>
      </c>
      <c r="E16" s="204"/>
      <c r="F16" s="32"/>
      <c r="G16" s="33"/>
      <c r="H16" s="33"/>
      <c r="I16" s="32"/>
      <c r="J16" s="32"/>
      <c r="K16" s="32"/>
      <c r="L16" s="32"/>
      <c r="M16" s="32"/>
      <c r="N16" s="33" t="s">
        <v>331</v>
      </c>
      <c r="O16" s="33"/>
      <c r="P16" s="32" t="s">
        <v>61</v>
      </c>
      <c r="Q16" s="32" t="s">
        <v>62</v>
      </c>
      <c r="R16" s="32" t="s">
        <v>62</v>
      </c>
      <c r="S16" s="32" t="s">
        <v>62</v>
      </c>
      <c r="T16" s="32" t="s">
        <v>62</v>
      </c>
      <c r="U16" s="33" t="s">
        <v>62</v>
      </c>
      <c r="V16" s="33" t="s">
        <v>62</v>
      </c>
      <c r="W16" s="32" t="s">
        <v>61</v>
      </c>
      <c r="X16" s="32"/>
      <c r="Y16" s="32"/>
      <c r="Z16" s="32"/>
      <c r="AA16" s="32"/>
      <c r="AB16" s="33"/>
      <c r="AC16" s="33"/>
      <c r="AD16" s="32"/>
      <c r="AE16" s="32"/>
      <c r="AF16" s="32"/>
      <c r="AG16" s="32"/>
      <c r="AH16" s="32"/>
      <c r="AI16" s="493"/>
      <c r="AJ16" s="26" t="e">
        <f>_xlfn.CONCAT(#REF!,Tabela13[[#This Row],[FUNKCJONARIUSZ]])</f>
        <v>#REF!</v>
      </c>
      <c r="AK16" s="27">
        <f t="shared" si="0"/>
        <v>4</v>
      </c>
      <c r="AL16" s="28">
        <f t="shared" si="1"/>
        <v>12</v>
      </c>
      <c r="AM16">
        <f t="shared" si="2"/>
        <v>168</v>
      </c>
      <c r="AN16" s="29">
        <f t="shared" si="3"/>
        <v>0</v>
      </c>
      <c r="AO16" s="1">
        <f t="shared" si="4"/>
        <v>0</v>
      </c>
    </row>
    <row r="17" spans="1:42" ht="15.9">
      <c r="A17" s="1" t="s">
        <v>105</v>
      </c>
      <c r="B17" s="1" t="s">
        <v>64</v>
      </c>
      <c r="C17" s="203" t="s">
        <v>106</v>
      </c>
      <c r="D17" s="491">
        <v>0</v>
      </c>
      <c r="E17" s="204">
        <v>15</v>
      </c>
      <c r="F17" s="32" t="s">
        <v>99</v>
      </c>
      <c r="G17" s="33">
        <v>20</v>
      </c>
      <c r="H17" s="33"/>
      <c r="I17" s="32"/>
      <c r="J17" s="32"/>
      <c r="K17" s="32"/>
      <c r="L17" s="32"/>
      <c r="M17" s="32" t="s">
        <v>66</v>
      </c>
      <c r="N17" s="33" t="s">
        <v>66</v>
      </c>
      <c r="O17" s="33" t="s">
        <v>66</v>
      </c>
      <c r="P17" s="32"/>
      <c r="Q17" s="32"/>
      <c r="R17" s="32"/>
      <c r="S17" s="32"/>
      <c r="T17" s="32" t="s">
        <v>61</v>
      </c>
      <c r="U17" s="33" t="s">
        <v>62</v>
      </c>
      <c r="V17" s="33" t="s">
        <v>62</v>
      </c>
      <c r="W17" s="32" t="s">
        <v>61</v>
      </c>
      <c r="X17" s="32"/>
      <c r="Y17" s="32"/>
      <c r="Z17" s="32"/>
      <c r="AA17" s="32"/>
      <c r="AB17" s="33" t="s">
        <v>76</v>
      </c>
      <c r="AC17" s="33"/>
      <c r="AD17" s="32"/>
      <c r="AE17" s="32"/>
      <c r="AF17" s="32"/>
      <c r="AG17" s="32"/>
      <c r="AH17" s="32"/>
      <c r="AI17" s="493"/>
      <c r="AJ17" s="26" t="e">
        <f>_xlfn.CONCAT(#REF!,Tabela13[[#This Row],[FUNKCJONARIUSZ]])</f>
        <v>#REF!</v>
      </c>
      <c r="AK17" s="27">
        <f t="shared" si="0"/>
        <v>-33</v>
      </c>
      <c r="AL17" s="28">
        <f t="shared" si="1"/>
        <v>12</v>
      </c>
      <c r="AM17">
        <f t="shared" si="2"/>
        <v>96</v>
      </c>
      <c r="AN17" s="29">
        <f t="shared" si="3"/>
        <v>35</v>
      </c>
      <c r="AO17" s="1">
        <f t="shared" si="4"/>
        <v>0</v>
      </c>
    </row>
    <row r="18" spans="1:42" ht="15.9">
      <c r="A18" s="1" t="s">
        <v>67</v>
      </c>
      <c r="B18" s="1" t="s">
        <v>73</v>
      </c>
      <c r="C18" s="203" t="s">
        <v>107</v>
      </c>
      <c r="D18" s="491">
        <v>0</v>
      </c>
      <c r="E18" s="204" t="s">
        <v>75</v>
      </c>
      <c r="F18" s="32" t="s">
        <v>75</v>
      </c>
      <c r="G18" s="33"/>
      <c r="H18" s="33"/>
      <c r="I18" s="32" t="s">
        <v>75</v>
      </c>
      <c r="J18" s="32" t="s">
        <v>75</v>
      </c>
      <c r="K18" s="32" t="s">
        <v>75</v>
      </c>
      <c r="L18" s="32"/>
      <c r="M18" s="32"/>
      <c r="N18" s="33" t="s">
        <v>66</v>
      </c>
      <c r="O18" s="33" t="s">
        <v>66</v>
      </c>
      <c r="P18" s="32" t="s">
        <v>61</v>
      </c>
      <c r="Q18" s="32" t="s">
        <v>62</v>
      </c>
      <c r="R18" s="32" t="s">
        <v>62</v>
      </c>
      <c r="S18" s="32" t="s">
        <v>62</v>
      </c>
      <c r="T18" s="32" t="s">
        <v>62</v>
      </c>
      <c r="U18" s="33" t="s">
        <v>62</v>
      </c>
      <c r="V18" s="33" t="s">
        <v>62</v>
      </c>
      <c r="W18" s="32" t="s">
        <v>69</v>
      </c>
      <c r="X18" s="32"/>
      <c r="Y18" s="32"/>
      <c r="Z18" s="32"/>
      <c r="AA18" s="32"/>
      <c r="AB18" s="33"/>
      <c r="AC18" s="33"/>
      <c r="AD18" s="32"/>
      <c r="AE18" s="32"/>
      <c r="AF18" s="32"/>
      <c r="AG18" s="32"/>
      <c r="AH18" s="32"/>
      <c r="AI18" s="493" t="s">
        <v>76</v>
      </c>
      <c r="AJ18" s="26" t="e">
        <f>_xlfn.CONCAT(#REF!,Tabela13[[#This Row],[FUNKCJONARIUSZ]])</f>
        <v>#REF!</v>
      </c>
      <c r="AK18" s="27">
        <f t="shared" si="0"/>
        <v>44</v>
      </c>
      <c r="AL18" s="28">
        <f t="shared" si="1"/>
        <v>12</v>
      </c>
      <c r="AM18">
        <f t="shared" si="2"/>
        <v>168</v>
      </c>
      <c r="AN18" s="29">
        <f t="shared" si="3"/>
        <v>40</v>
      </c>
      <c r="AO18" s="1">
        <f t="shared" si="4"/>
        <v>0</v>
      </c>
      <c r="AP18" s="1">
        <v>0</v>
      </c>
    </row>
    <row r="19" spans="1:42" ht="15.9">
      <c r="A19" s="1" t="s">
        <v>90</v>
      </c>
      <c r="B19" s="1" t="s">
        <v>59</v>
      </c>
      <c r="C19" s="203" t="s">
        <v>108</v>
      </c>
      <c r="D19" s="491">
        <v>0</v>
      </c>
      <c r="E19" s="204" t="s">
        <v>66</v>
      </c>
      <c r="F19" s="32"/>
      <c r="G19" s="33" t="s">
        <v>76</v>
      </c>
      <c r="H19" s="33"/>
      <c r="I19" s="32"/>
      <c r="J19" s="32"/>
      <c r="K19" s="32"/>
      <c r="L19" s="32"/>
      <c r="M19" s="32"/>
      <c r="N19" s="33" t="s">
        <v>59</v>
      </c>
      <c r="O19" s="33"/>
      <c r="P19" s="32"/>
      <c r="Q19" s="32"/>
      <c r="R19" s="32"/>
      <c r="S19" s="32"/>
      <c r="T19" s="32" t="s">
        <v>66</v>
      </c>
      <c r="U19" s="33" t="s">
        <v>66</v>
      </c>
      <c r="V19" s="33" t="s">
        <v>66</v>
      </c>
      <c r="W19" s="32" t="s">
        <v>61</v>
      </c>
      <c r="X19" s="32" t="s">
        <v>62</v>
      </c>
      <c r="Y19" s="32" t="s">
        <v>62</v>
      </c>
      <c r="Z19" s="32" t="s">
        <v>62</v>
      </c>
      <c r="AA19" s="32" t="s">
        <v>61</v>
      </c>
      <c r="AB19" s="33"/>
      <c r="AC19" s="33"/>
      <c r="AD19" s="32"/>
      <c r="AE19" s="32"/>
      <c r="AF19" s="32" t="s">
        <v>59</v>
      </c>
      <c r="AG19" s="32" t="s">
        <v>66</v>
      </c>
      <c r="AH19" s="32" t="s">
        <v>66</v>
      </c>
      <c r="AI19" s="493" t="s">
        <v>66</v>
      </c>
      <c r="AJ19" s="26" t="e">
        <f>_xlfn.CONCAT(#REF!,Tabela13[[#This Row],[FUNKCJONARIUSZ]])</f>
        <v>#REF!</v>
      </c>
      <c r="AK19" s="27">
        <f t="shared" si="0"/>
        <v>-20</v>
      </c>
      <c r="AL19" s="28">
        <f t="shared" si="1"/>
        <v>60</v>
      </c>
      <c r="AM19">
        <f t="shared" si="2"/>
        <v>96</v>
      </c>
      <c r="AN19" s="29">
        <f t="shared" si="3"/>
        <v>0</v>
      </c>
      <c r="AO19" s="1">
        <f t="shared" si="4"/>
        <v>0</v>
      </c>
      <c r="AP19" s="1">
        <v>0</v>
      </c>
    </row>
    <row r="20" spans="1:42" ht="15.9">
      <c r="A20" s="1" t="s">
        <v>58</v>
      </c>
      <c r="B20" s="1" t="s">
        <v>59</v>
      </c>
      <c r="C20" s="203" t="s">
        <v>109</v>
      </c>
      <c r="D20" s="491">
        <v>0</v>
      </c>
      <c r="E20" s="204" t="s">
        <v>66</v>
      </c>
      <c r="F20" s="32" t="s">
        <v>66</v>
      </c>
      <c r="G20" s="33" t="s">
        <v>113</v>
      </c>
      <c r="H20" s="33"/>
      <c r="I20" s="32" t="s">
        <v>75</v>
      </c>
      <c r="J20" s="32" t="s">
        <v>75</v>
      </c>
      <c r="K20" s="32" t="s">
        <v>75</v>
      </c>
      <c r="L20" s="32" t="s">
        <v>75</v>
      </c>
      <c r="M20" s="32" t="s">
        <v>75</v>
      </c>
      <c r="N20" s="33" t="s">
        <v>66</v>
      </c>
      <c r="O20" s="33" t="s">
        <v>66</v>
      </c>
      <c r="P20" s="32" t="s">
        <v>75</v>
      </c>
      <c r="Q20" s="32" t="s">
        <v>75</v>
      </c>
      <c r="R20" s="32" t="s">
        <v>75</v>
      </c>
      <c r="S20" s="32" t="s">
        <v>75</v>
      </c>
      <c r="T20" s="32" t="s">
        <v>75</v>
      </c>
      <c r="U20" s="33" t="s">
        <v>66</v>
      </c>
      <c r="V20" s="33" t="s">
        <v>66</v>
      </c>
      <c r="W20" s="32" t="s">
        <v>75</v>
      </c>
      <c r="X20" s="32" t="s">
        <v>75</v>
      </c>
      <c r="Y20" s="32" t="s">
        <v>75</v>
      </c>
      <c r="Z20" s="32"/>
      <c r="AA20" s="32">
        <v>17</v>
      </c>
      <c r="AB20" s="33" t="s">
        <v>70</v>
      </c>
      <c r="AC20" s="33" t="s">
        <v>70</v>
      </c>
      <c r="AD20" s="32">
        <v>14</v>
      </c>
      <c r="AE20" s="32"/>
      <c r="AF20" s="32"/>
      <c r="AG20" s="32"/>
      <c r="AH20" s="32"/>
      <c r="AI20" s="493"/>
      <c r="AJ20" s="26" t="e">
        <f>_xlfn.CONCAT(#REF!,Tabela13[[#This Row],[FUNKCJONARIUSZ]])</f>
        <v>#REF!</v>
      </c>
      <c r="AK20" s="27">
        <f t="shared" si="0"/>
        <v>31</v>
      </c>
      <c r="AL20" s="28">
        <f t="shared" si="1"/>
        <v>24</v>
      </c>
      <c r="AM20">
        <f t="shared" si="2"/>
        <v>48</v>
      </c>
      <c r="AN20" s="29">
        <f t="shared" si="3"/>
        <v>135</v>
      </c>
      <c r="AO20" s="1">
        <f t="shared" si="4"/>
        <v>0</v>
      </c>
      <c r="AP20" s="1">
        <v>0</v>
      </c>
    </row>
    <row r="21" spans="1:42" ht="15.9">
      <c r="A21" s="1" t="s">
        <v>67</v>
      </c>
      <c r="B21" s="1" t="s">
        <v>93</v>
      </c>
      <c r="C21" s="203" t="s">
        <v>110</v>
      </c>
      <c r="D21" s="491">
        <v>0</v>
      </c>
      <c r="E21" s="204"/>
      <c r="F21" s="32"/>
      <c r="G21" s="33"/>
      <c r="H21" s="33"/>
      <c r="I21" s="32" t="s">
        <v>61</v>
      </c>
      <c r="J21" s="32" t="s">
        <v>62</v>
      </c>
      <c r="K21" s="32" t="s">
        <v>62</v>
      </c>
      <c r="L21" s="32" t="s">
        <v>62</v>
      </c>
      <c r="M21" s="32" t="s">
        <v>62</v>
      </c>
      <c r="N21" s="33" t="s">
        <v>62</v>
      </c>
      <c r="O21" s="33" t="s">
        <v>62</v>
      </c>
      <c r="P21" s="32" t="s">
        <v>61</v>
      </c>
      <c r="Q21" s="32"/>
      <c r="R21" s="32"/>
      <c r="S21" s="32"/>
      <c r="T21" s="32"/>
      <c r="U21" s="33" t="s">
        <v>59</v>
      </c>
      <c r="V21" s="33"/>
      <c r="W21" s="32"/>
      <c r="X21" s="32"/>
      <c r="Y21" s="32"/>
      <c r="Z21" s="32" t="s">
        <v>59</v>
      </c>
      <c r="AA21" s="32"/>
      <c r="AB21" s="33"/>
      <c r="AC21" s="33"/>
      <c r="AD21" s="32"/>
      <c r="AE21" s="32"/>
      <c r="AF21" s="32"/>
      <c r="AG21" s="32"/>
      <c r="AH21" s="32"/>
      <c r="AI21" s="493"/>
      <c r="AJ21" s="26" t="e">
        <f>_xlfn.CONCAT(#REF!,Tabela13[[#This Row],[FUNKCJONARIUSZ]])</f>
        <v>#REF!</v>
      </c>
      <c r="AK21" s="27">
        <f t="shared" si="0"/>
        <v>40</v>
      </c>
      <c r="AL21" s="28">
        <f t="shared" si="1"/>
        <v>48</v>
      </c>
      <c r="AM21">
        <f t="shared" si="2"/>
        <v>168</v>
      </c>
      <c r="AN21" s="29">
        <f t="shared" si="3"/>
        <v>0</v>
      </c>
      <c r="AO21" s="1">
        <f t="shared" si="4"/>
        <v>0</v>
      </c>
      <c r="AP21" s="1">
        <v>0</v>
      </c>
    </row>
    <row r="22" spans="1:42" ht="15.9">
      <c r="A22" s="1" t="s">
        <v>58</v>
      </c>
      <c r="B22" s="1" t="s">
        <v>59</v>
      </c>
      <c r="C22" s="203" t="s">
        <v>111</v>
      </c>
      <c r="D22" s="491">
        <v>0</v>
      </c>
      <c r="E22" s="204"/>
      <c r="F22" s="32"/>
      <c r="G22" s="33"/>
      <c r="H22" s="33"/>
      <c r="I22" s="32" t="s">
        <v>69</v>
      </c>
      <c r="J22" s="32" t="s">
        <v>70</v>
      </c>
      <c r="K22" s="32" t="s">
        <v>70</v>
      </c>
      <c r="L22" s="32" t="s">
        <v>70</v>
      </c>
      <c r="M22" s="32" t="s">
        <v>69</v>
      </c>
      <c r="N22" s="33" t="s">
        <v>66</v>
      </c>
      <c r="O22" s="33" t="s">
        <v>66</v>
      </c>
      <c r="P22" s="32" t="s">
        <v>75</v>
      </c>
      <c r="Q22" s="32" t="s">
        <v>75</v>
      </c>
      <c r="R22" s="32" t="s">
        <v>75</v>
      </c>
      <c r="S22" s="32" t="s">
        <v>75</v>
      </c>
      <c r="T22" s="32" t="s">
        <v>75</v>
      </c>
      <c r="U22" s="33" t="s">
        <v>66</v>
      </c>
      <c r="V22" s="33" t="s">
        <v>66</v>
      </c>
      <c r="W22" s="32" t="s">
        <v>75</v>
      </c>
      <c r="X22" s="32" t="s">
        <v>75</v>
      </c>
      <c r="Y22" s="32" t="s">
        <v>75</v>
      </c>
      <c r="Z22" s="32" t="s">
        <v>75</v>
      </c>
      <c r="AA22" s="32" t="s">
        <v>75</v>
      </c>
      <c r="AB22" s="33"/>
      <c r="AC22" s="33"/>
      <c r="AD22" s="32" t="s">
        <v>75</v>
      </c>
      <c r="AE22" s="32" t="s">
        <v>75</v>
      </c>
      <c r="AF22" s="32" t="s">
        <v>75</v>
      </c>
      <c r="AG22" s="32" t="s">
        <v>75</v>
      </c>
      <c r="AH22" s="32"/>
      <c r="AI22" s="493"/>
      <c r="AJ22" s="26" t="e">
        <f>_xlfn.CONCAT(#REF!,Tabela13[[#This Row],[FUNKCJONARIUSZ]])</f>
        <v>#REF!</v>
      </c>
      <c r="AK22" s="27">
        <f t="shared" si="0"/>
        <v>32</v>
      </c>
      <c r="AL22" s="28">
        <f t="shared" si="1"/>
        <v>0</v>
      </c>
      <c r="AM22">
        <f t="shared" si="2"/>
        <v>96</v>
      </c>
      <c r="AN22" s="29">
        <f t="shared" si="3"/>
        <v>112</v>
      </c>
      <c r="AO22" s="1">
        <f t="shared" si="4"/>
        <v>0</v>
      </c>
      <c r="AP22" s="1">
        <v>0</v>
      </c>
    </row>
    <row r="23" spans="1:42" ht="15.9">
      <c r="A23" s="1" t="s">
        <v>63</v>
      </c>
      <c r="B23" s="1" t="s">
        <v>192</v>
      </c>
      <c r="C23" s="210" t="s">
        <v>112</v>
      </c>
      <c r="D23" s="491">
        <v>0</v>
      </c>
      <c r="E23" s="204"/>
      <c r="F23" s="32"/>
      <c r="G23" s="33" t="s">
        <v>76</v>
      </c>
      <c r="H23" s="33"/>
      <c r="I23" s="32"/>
      <c r="J23" s="32"/>
      <c r="K23" s="32" t="s">
        <v>59</v>
      </c>
      <c r="L23" s="32"/>
      <c r="M23" s="32"/>
      <c r="N23" s="33" t="s">
        <v>76</v>
      </c>
      <c r="O23" s="33"/>
      <c r="P23" s="32" t="s">
        <v>59</v>
      </c>
      <c r="Q23" s="32"/>
      <c r="R23" s="32"/>
      <c r="S23" s="32" t="s">
        <v>59</v>
      </c>
      <c r="T23" s="32"/>
      <c r="U23" s="33" t="s">
        <v>331</v>
      </c>
      <c r="V23" s="33" t="s">
        <v>113</v>
      </c>
      <c r="W23" s="32"/>
      <c r="X23" s="32"/>
      <c r="Y23" s="32" t="s">
        <v>59</v>
      </c>
      <c r="Z23" s="32"/>
      <c r="AA23" s="32"/>
      <c r="AB23" s="33" t="s">
        <v>76</v>
      </c>
      <c r="AC23" s="33"/>
      <c r="AD23" s="32"/>
      <c r="AE23" s="32"/>
      <c r="AF23" s="32"/>
      <c r="AG23" s="32"/>
      <c r="AH23" s="32"/>
      <c r="AI23" s="493" t="s">
        <v>76</v>
      </c>
      <c r="AJ23" s="26" t="e">
        <f>_xlfn.CONCAT(#REF!,Tabela13[[#This Row],[FUNKCJONARIUSZ]])</f>
        <v>#REF!</v>
      </c>
      <c r="AK23" s="27">
        <f t="shared" si="0"/>
        <v>4</v>
      </c>
      <c r="AL23" s="28">
        <f t="shared" si="1"/>
        <v>180</v>
      </c>
      <c r="AM23">
        <f t="shared" si="2"/>
        <v>0</v>
      </c>
      <c r="AN23" s="29">
        <f t="shared" si="3"/>
        <v>0</v>
      </c>
      <c r="AO23" s="1">
        <f t="shared" si="4"/>
        <v>0</v>
      </c>
      <c r="AP23" s="1">
        <v>0</v>
      </c>
    </row>
    <row r="24" spans="1:42" ht="15.9">
      <c r="A24" s="1" t="s">
        <v>67</v>
      </c>
      <c r="B24" s="1" t="s">
        <v>93</v>
      </c>
      <c r="C24" s="203" t="s">
        <v>114</v>
      </c>
      <c r="D24" s="491">
        <v>0</v>
      </c>
      <c r="E24" s="204" t="s">
        <v>66</v>
      </c>
      <c r="F24" s="32" t="s">
        <v>75</v>
      </c>
      <c r="G24" s="33"/>
      <c r="H24" s="33"/>
      <c r="I24" s="32" t="s">
        <v>75</v>
      </c>
      <c r="J24" s="32" t="s">
        <v>75</v>
      </c>
      <c r="K24" s="32" t="s">
        <v>75</v>
      </c>
      <c r="L24" s="32" t="s">
        <v>75</v>
      </c>
      <c r="M24" s="32" t="s">
        <v>75</v>
      </c>
      <c r="N24" s="33" t="s">
        <v>66</v>
      </c>
      <c r="O24" s="33" t="s">
        <v>66</v>
      </c>
      <c r="P24" s="32" t="s">
        <v>75</v>
      </c>
      <c r="Q24" s="32" t="s">
        <v>75</v>
      </c>
      <c r="R24" s="32" t="s">
        <v>75</v>
      </c>
      <c r="S24" s="32" t="s">
        <v>75</v>
      </c>
      <c r="T24" s="32" t="s">
        <v>75</v>
      </c>
      <c r="U24" s="33" t="s">
        <v>66</v>
      </c>
      <c r="V24" s="33" t="s">
        <v>66</v>
      </c>
      <c r="W24" s="32" t="s">
        <v>75</v>
      </c>
      <c r="X24" s="32" t="s">
        <v>75</v>
      </c>
      <c r="Y24" s="32" t="s">
        <v>75</v>
      </c>
      <c r="Z24" s="32" t="s">
        <v>75</v>
      </c>
      <c r="AA24" s="32"/>
      <c r="AB24" s="33"/>
      <c r="AC24" s="33"/>
      <c r="AD24" s="32" t="s">
        <v>69</v>
      </c>
      <c r="AE24" s="32" t="s">
        <v>70</v>
      </c>
      <c r="AF24" s="32" t="s">
        <v>70</v>
      </c>
      <c r="AG24" s="32" t="s">
        <v>70</v>
      </c>
      <c r="AH24" s="32" t="s">
        <v>70</v>
      </c>
      <c r="AI24" s="493" t="s">
        <v>70</v>
      </c>
      <c r="AJ24" s="26" t="e">
        <f>_xlfn.CONCAT(#REF!,Tabela13[[#This Row],[FUNKCJONARIUSZ]])</f>
        <v>#REF!</v>
      </c>
      <c r="AK24" s="27">
        <f t="shared" si="0"/>
        <v>76</v>
      </c>
      <c r="AL24" s="28">
        <f t="shared" si="1"/>
        <v>0</v>
      </c>
      <c r="AM24">
        <f t="shared" si="2"/>
        <v>132</v>
      </c>
      <c r="AN24" s="29">
        <f t="shared" si="3"/>
        <v>120</v>
      </c>
      <c r="AO24" s="1">
        <f t="shared" si="4"/>
        <v>0</v>
      </c>
      <c r="AP24" s="1">
        <v>0</v>
      </c>
    </row>
    <row r="25" spans="1:42" ht="15.9">
      <c r="A25" s="1" t="s">
        <v>63</v>
      </c>
      <c r="B25" s="1" t="s">
        <v>59</v>
      </c>
      <c r="C25" s="203" t="s">
        <v>115</v>
      </c>
      <c r="D25" s="491">
        <v>0</v>
      </c>
      <c r="E25" s="204" t="s">
        <v>113</v>
      </c>
      <c r="F25" s="32"/>
      <c r="G25" s="33"/>
      <c r="H25" s="33"/>
      <c r="I25" s="32"/>
      <c r="J25" s="32"/>
      <c r="K25" s="32"/>
      <c r="L25" s="32" t="s">
        <v>59</v>
      </c>
      <c r="M25" s="32"/>
      <c r="N25" s="33" t="s">
        <v>76</v>
      </c>
      <c r="O25" s="33" t="s">
        <v>113</v>
      </c>
      <c r="P25" s="32"/>
      <c r="Q25" s="32"/>
      <c r="R25" s="32" t="s">
        <v>59</v>
      </c>
      <c r="S25" s="32" t="s">
        <v>66</v>
      </c>
      <c r="T25" s="32" t="s">
        <v>66</v>
      </c>
      <c r="U25" s="33" t="s">
        <v>66</v>
      </c>
      <c r="V25" s="33" t="s">
        <v>66</v>
      </c>
      <c r="W25" s="32" t="s">
        <v>75</v>
      </c>
      <c r="X25" s="32" t="s">
        <v>75</v>
      </c>
      <c r="Y25" s="32" t="s">
        <v>75</v>
      </c>
      <c r="Z25" s="32" t="s">
        <v>75</v>
      </c>
      <c r="AA25" s="32" t="s">
        <v>75</v>
      </c>
      <c r="AB25" s="33" t="s">
        <v>66</v>
      </c>
      <c r="AC25" s="33" t="s">
        <v>66</v>
      </c>
      <c r="AD25" s="32" t="s">
        <v>75</v>
      </c>
      <c r="AE25" s="32" t="s">
        <v>75</v>
      </c>
      <c r="AF25" s="32" t="s">
        <v>75</v>
      </c>
      <c r="AG25" s="32" t="s">
        <v>75</v>
      </c>
      <c r="AH25" s="32" t="s">
        <v>75</v>
      </c>
      <c r="AI25" s="493" t="s">
        <v>66</v>
      </c>
      <c r="AJ25" s="26" t="e">
        <f>_xlfn.CONCAT(#REF!,Tabela13[[#This Row],[FUNKCJONARIUSZ]])</f>
        <v>#REF!</v>
      </c>
      <c r="AK25" s="27">
        <f t="shared" si="0"/>
        <v>12</v>
      </c>
      <c r="AL25" s="28">
        <f t="shared" si="1"/>
        <v>108</v>
      </c>
      <c r="AM25">
        <f t="shared" si="2"/>
        <v>0</v>
      </c>
      <c r="AN25" s="29">
        <f t="shared" si="3"/>
        <v>80</v>
      </c>
      <c r="AO25" s="1">
        <f t="shared" si="4"/>
        <v>0</v>
      </c>
      <c r="AP25" s="1">
        <v>0</v>
      </c>
    </row>
    <row r="26" spans="1:42" s="1" customFormat="1" ht="15.9" hidden="1">
      <c r="A26" s="1" t="s">
        <v>58</v>
      </c>
      <c r="B26" s="1" t="s">
        <v>59</v>
      </c>
      <c r="C26" s="203" t="s">
        <v>170</v>
      </c>
      <c r="D26" s="491">
        <v>0</v>
      </c>
      <c r="E26" s="204"/>
      <c r="F26" s="32"/>
      <c r="G26" s="33"/>
      <c r="H26" s="33"/>
      <c r="I26" s="32"/>
      <c r="J26" s="32"/>
      <c r="K26" s="32"/>
      <c r="L26" s="32"/>
      <c r="M26" s="32"/>
      <c r="N26" s="33"/>
      <c r="O26" s="33"/>
      <c r="P26" s="32"/>
      <c r="Q26" s="32"/>
      <c r="R26" s="32"/>
      <c r="S26" s="32"/>
      <c r="T26" s="32"/>
      <c r="U26" s="33"/>
      <c r="V26" s="33"/>
      <c r="W26" s="32"/>
      <c r="X26" s="32"/>
      <c r="Y26" s="32"/>
      <c r="Z26" s="32"/>
      <c r="AA26" s="32"/>
      <c r="AB26" s="33"/>
      <c r="AC26" s="33"/>
      <c r="AD26" s="32"/>
      <c r="AE26" s="32"/>
      <c r="AF26" s="32"/>
      <c r="AG26" s="32"/>
      <c r="AH26" s="32"/>
      <c r="AI26" s="493"/>
      <c r="AJ26" s="26" t="e">
        <f>_xlfn.CONCAT(#REF!,Tabela13[[#This Row],[FUNKCJONARIUSZ]])</f>
        <v>#REF!</v>
      </c>
      <c r="AK26" s="27">
        <f t="shared" si="0"/>
        <v>-176</v>
      </c>
      <c r="AL26" s="28">
        <f t="shared" si="1"/>
        <v>0</v>
      </c>
      <c r="AM26">
        <f t="shared" si="2"/>
        <v>0</v>
      </c>
      <c r="AN26" s="29">
        <f t="shared" si="3"/>
        <v>0</v>
      </c>
      <c r="AO26" s="1">
        <f t="shared" si="4"/>
        <v>0</v>
      </c>
      <c r="AP26" s="1">
        <v>0</v>
      </c>
    </row>
    <row r="27" spans="1:42" ht="15.9">
      <c r="A27" s="1" t="s">
        <v>63</v>
      </c>
      <c r="B27" s="1" t="s">
        <v>73</v>
      </c>
      <c r="C27" s="203" t="s">
        <v>116</v>
      </c>
      <c r="D27" s="491">
        <v>0</v>
      </c>
      <c r="E27" s="204" t="s">
        <v>75</v>
      </c>
      <c r="F27" s="32" t="s">
        <v>75</v>
      </c>
      <c r="G27" s="33"/>
      <c r="H27" s="33"/>
      <c r="I27" s="32" t="s">
        <v>75</v>
      </c>
      <c r="J27" s="32" t="s">
        <v>75</v>
      </c>
      <c r="K27" s="32" t="s">
        <v>75</v>
      </c>
      <c r="L27" s="32" t="s">
        <v>75</v>
      </c>
      <c r="M27" s="32" t="s">
        <v>75</v>
      </c>
      <c r="N27" s="33" t="s">
        <v>66</v>
      </c>
      <c r="O27" s="33" t="s">
        <v>66</v>
      </c>
      <c r="P27" s="32" t="s">
        <v>75</v>
      </c>
      <c r="Q27" s="32" t="s">
        <v>75</v>
      </c>
      <c r="R27" s="32" t="s">
        <v>75</v>
      </c>
      <c r="S27" s="32" t="s">
        <v>75</v>
      </c>
      <c r="T27" s="32" t="s">
        <v>294</v>
      </c>
      <c r="U27" s="33" t="s">
        <v>66</v>
      </c>
      <c r="V27" s="33" t="s">
        <v>66</v>
      </c>
      <c r="W27" s="32" t="s">
        <v>294</v>
      </c>
      <c r="X27" s="32"/>
      <c r="Y27" s="32"/>
      <c r="Z27" s="32"/>
      <c r="AA27" s="32" t="s">
        <v>69</v>
      </c>
      <c r="AB27" s="33" t="s">
        <v>70</v>
      </c>
      <c r="AC27" s="33" t="s">
        <v>70</v>
      </c>
      <c r="AD27" s="32" t="s">
        <v>70</v>
      </c>
      <c r="AE27" s="32" t="s">
        <v>70</v>
      </c>
      <c r="AF27" s="32" t="s">
        <v>70</v>
      </c>
      <c r="AG27" s="32" t="s">
        <v>70</v>
      </c>
      <c r="AH27" s="32" t="s">
        <v>69</v>
      </c>
      <c r="AI27" s="493"/>
      <c r="AJ27" s="26" t="e">
        <f>_xlfn.CONCAT(#REF!,Tabela13[[#This Row],[FUNKCJONARIUSZ]])</f>
        <v>#REF!</v>
      </c>
      <c r="AK27" s="27">
        <f t="shared" si="0"/>
        <v>96</v>
      </c>
      <c r="AL27" s="28">
        <f t="shared" si="1"/>
        <v>0</v>
      </c>
      <c r="AM27">
        <f t="shared" si="2"/>
        <v>168</v>
      </c>
      <c r="AN27" s="29">
        <f t="shared" si="3"/>
        <v>104</v>
      </c>
      <c r="AO27" s="1">
        <f t="shared" si="4"/>
        <v>0</v>
      </c>
      <c r="AP27" s="1">
        <v>0</v>
      </c>
    </row>
    <row r="28" spans="1:42" ht="15.9">
      <c r="A28" s="1" t="s">
        <v>58</v>
      </c>
      <c r="B28" s="1" t="s">
        <v>93</v>
      </c>
      <c r="C28" s="203" t="s">
        <v>117</v>
      </c>
      <c r="D28" s="491">
        <v>0</v>
      </c>
      <c r="E28" s="204"/>
      <c r="F28" s="32"/>
      <c r="G28" s="33"/>
      <c r="H28" s="33"/>
      <c r="I28" s="32"/>
      <c r="J28" s="32"/>
      <c r="K28" s="32"/>
      <c r="L28" s="32"/>
      <c r="M28" s="32"/>
      <c r="N28" s="33"/>
      <c r="O28" s="33"/>
      <c r="P28" s="32" t="s">
        <v>61</v>
      </c>
      <c r="Q28" s="32" t="s">
        <v>62</v>
      </c>
      <c r="R28" s="32" t="s">
        <v>62</v>
      </c>
      <c r="S28" s="32" t="s">
        <v>62</v>
      </c>
      <c r="T28" s="32" t="s">
        <v>62</v>
      </c>
      <c r="U28" s="33" t="s">
        <v>62</v>
      </c>
      <c r="V28" s="33" t="s">
        <v>62</v>
      </c>
      <c r="W28" s="32" t="s">
        <v>61</v>
      </c>
      <c r="X28" s="32"/>
      <c r="Y28" s="32"/>
      <c r="Z28" s="32"/>
      <c r="AA28" s="32"/>
      <c r="AB28" s="33"/>
      <c r="AC28" s="33"/>
      <c r="AD28" s="32"/>
      <c r="AE28" s="32"/>
      <c r="AF28" s="32"/>
      <c r="AG28" s="32"/>
      <c r="AH28" s="32" t="s">
        <v>76</v>
      </c>
      <c r="AI28" s="493"/>
      <c r="AJ28" s="26" t="e">
        <f>_xlfn.CONCAT(#REF!,Tabela13[[#This Row],[FUNKCJONARIUSZ]])</f>
        <v>#REF!</v>
      </c>
      <c r="AK28" s="27">
        <f t="shared" si="0"/>
        <v>4</v>
      </c>
      <c r="AL28" s="28">
        <f t="shared" si="1"/>
        <v>12</v>
      </c>
      <c r="AM28">
        <f t="shared" si="2"/>
        <v>168</v>
      </c>
      <c r="AN28" s="29">
        <f t="shared" si="3"/>
        <v>0</v>
      </c>
      <c r="AO28" s="1">
        <f t="shared" si="4"/>
        <v>0</v>
      </c>
      <c r="AP28" s="1">
        <v>0</v>
      </c>
    </row>
    <row r="29" spans="1:42" ht="15" customHeight="1">
      <c r="A29" s="1" t="s">
        <v>105</v>
      </c>
      <c r="B29" s="1" t="s">
        <v>59</v>
      </c>
      <c r="C29" s="203" t="s">
        <v>118</v>
      </c>
      <c r="D29" s="491">
        <v>0</v>
      </c>
      <c r="E29" s="204"/>
      <c r="F29" s="32"/>
      <c r="G29" s="33"/>
      <c r="H29" s="33"/>
      <c r="I29" s="32" t="s">
        <v>61</v>
      </c>
      <c r="J29" s="32" t="s">
        <v>62</v>
      </c>
      <c r="K29" s="32" t="s">
        <v>62</v>
      </c>
      <c r="L29" s="32" t="s">
        <v>62</v>
      </c>
      <c r="M29" s="32" t="s">
        <v>62</v>
      </c>
      <c r="N29" s="33" t="s">
        <v>62</v>
      </c>
      <c r="O29" s="33" t="s">
        <v>62</v>
      </c>
      <c r="P29" s="32" t="s">
        <v>61</v>
      </c>
      <c r="Q29" s="32"/>
      <c r="R29" s="32"/>
      <c r="S29" s="32"/>
      <c r="T29" s="32"/>
      <c r="U29" s="33"/>
      <c r="V29" s="33"/>
      <c r="W29" s="32"/>
      <c r="X29" s="32"/>
      <c r="Y29" s="32"/>
      <c r="Z29" s="32"/>
      <c r="AA29" s="32"/>
      <c r="AB29" s="33" t="s">
        <v>76</v>
      </c>
      <c r="AC29" s="33" t="s">
        <v>59</v>
      </c>
      <c r="AD29" s="32"/>
      <c r="AE29" s="32"/>
      <c r="AF29" s="32"/>
      <c r="AG29" s="32"/>
      <c r="AH29" s="32" t="s">
        <v>76</v>
      </c>
      <c r="AI29" s="493"/>
      <c r="AJ29" s="26" t="e">
        <f>_xlfn.CONCAT(#REF!,Tabela13[[#This Row],[FUNKCJONARIUSZ]])</f>
        <v>#REF!</v>
      </c>
      <c r="AK29" s="27">
        <f t="shared" si="0"/>
        <v>40</v>
      </c>
      <c r="AL29" s="28">
        <f t="shared" si="1"/>
        <v>48</v>
      </c>
      <c r="AM29">
        <f t="shared" si="2"/>
        <v>168</v>
      </c>
      <c r="AN29" s="29">
        <f t="shared" si="3"/>
        <v>0</v>
      </c>
      <c r="AO29" s="1">
        <f t="shared" si="4"/>
        <v>0</v>
      </c>
      <c r="AP29" s="1">
        <v>0</v>
      </c>
    </row>
    <row r="30" spans="1:42" ht="15.9">
      <c r="A30" s="1" t="s">
        <v>58</v>
      </c>
      <c r="B30" s="1" t="s">
        <v>73</v>
      </c>
      <c r="C30" s="212" t="s">
        <v>119</v>
      </c>
      <c r="D30" s="491">
        <v>0</v>
      </c>
      <c r="E30" s="96" t="s">
        <v>70</v>
      </c>
      <c r="F30" s="51" t="s">
        <v>70</v>
      </c>
      <c r="G30" s="52" t="s">
        <v>70</v>
      </c>
      <c r="H30" s="52" t="s">
        <v>70</v>
      </c>
      <c r="I30" s="51" t="s">
        <v>69</v>
      </c>
      <c r="J30" s="51"/>
      <c r="K30" s="51"/>
      <c r="L30" s="51" t="s">
        <v>75</v>
      </c>
      <c r="M30" s="51" t="s">
        <v>75</v>
      </c>
      <c r="N30" s="52" t="s">
        <v>66</v>
      </c>
      <c r="O30" s="52" t="s">
        <v>66</v>
      </c>
      <c r="P30" s="51" t="s">
        <v>75</v>
      </c>
      <c r="Q30" s="51" t="s">
        <v>75</v>
      </c>
      <c r="R30" s="51" t="s">
        <v>75</v>
      </c>
      <c r="S30" s="51" t="s">
        <v>75</v>
      </c>
      <c r="T30" s="51" t="s">
        <v>75</v>
      </c>
      <c r="U30" s="52" t="s">
        <v>66</v>
      </c>
      <c r="V30" s="52" t="s">
        <v>66</v>
      </c>
      <c r="W30" s="51" t="s">
        <v>75</v>
      </c>
      <c r="X30" s="51"/>
      <c r="Y30" s="51"/>
      <c r="Z30" s="51"/>
      <c r="AA30" s="51"/>
      <c r="AB30" s="52"/>
      <c r="AC30" s="52"/>
      <c r="AD30" s="51"/>
      <c r="AE30" s="51"/>
      <c r="AF30" s="51"/>
      <c r="AG30" s="51"/>
      <c r="AH30" s="51" t="s">
        <v>76</v>
      </c>
      <c r="AI30" s="494"/>
      <c r="AJ30" s="26" t="e">
        <f>_xlfn.CONCAT(#REF!,Tabela13[[#This Row],[FUNKCJONARIUSZ]])</f>
        <v>#REF!</v>
      </c>
      <c r="AK30" s="27">
        <f t="shared" si="0"/>
        <v>8</v>
      </c>
      <c r="AL30" s="28">
        <f t="shared" si="1"/>
        <v>12</v>
      </c>
      <c r="AM30">
        <f t="shared" si="2"/>
        <v>108</v>
      </c>
      <c r="AN30" s="29">
        <f t="shared" si="3"/>
        <v>64</v>
      </c>
      <c r="AO30" s="1">
        <f t="shared" si="4"/>
        <v>0</v>
      </c>
      <c r="AP30" s="1">
        <v>0</v>
      </c>
    </row>
    <row r="31" spans="1:42" ht="15.9">
      <c r="A31" s="55"/>
      <c r="B31" s="55"/>
      <c r="C31" s="56"/>
      <c r="D31" s="57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9"/>
      <c r="AH31" s="27"/>
      <c r="AI31" s="27"/>
      <c r="AJ31" s="60"/>
      <c r="AK31" s="27">
        <f>SUM(AK2:AK30)</f>
        <v>330</v>
      </c>
      <c r="AL31" s="28"/>
      <c r="AM31"/>
      <c r="AN31" s="29"/>
    </row>
    <row r="32" spans="1:42" ht="15.9">
      <c r="B32" s="61"/>
      <c r="C32" s="62" t="s">
        <v>120</v>
      </c>
      <c r="D32" s="63"/>
      <c r="E32" s="64">
        <f t="shared" ref="E32:AI32" si="5">COUNTIF(E2:E30,"D")</f>
        <v>1</v>
      </c>
      <c r="F32" s="64">
        <f t="shared" si="5"/>
        <v>1</v>
      </c>
      <c r="G32" s="64">
        <f t="shared" si="5"/>
        <v>1</v>
      </c>
      <c r="H32" s="64">
        <f t="shared" si="5"/>
        <v>1</v>
      </c>
      <c r="I32" s="64">
        <f t="shared" si="5"/>
        <v>1</v>
      </c>
      <c r="J32" s="64">
        <f t="shared" si="5"/>
        <v>1</v>
      </c>
      <c r="K32" s="64">
        <f t="shared" si="5"/>
        <v>1</v>
      </c>
      <c r="L32" s="64">
        <f t="shared" si="5"/>
        <v>1</v>
      </c>
      <c r="M32" s="64">
        <f t="shared" si="5"/>
        <v>1</v>
      </c>
      <c r="N32" s="64">
        <f t="shared" si="5"/>
        <v>1</v>
      </c>
      <c r="O32" s="64">
        <f t="shared" si="5"/>
        <v>1</v>
      </c>
      <c r="P32" s="64">
        <f t="shared" si="5"/>
        <v>1</v>
      </c>
      <c r="Q32" s="64">
        <f t="shared" si="5"/>
        <v>1</v>
      </c>
      <c r="R32" s="64">
        <f t="shared" si="5"/>
        <v>1</v>
      </c>
      <c r="S32" s="64">
        <f t="shared" si="5"/>
        <v>1</v>
      </c>
      <c r="T32" s="64">
        <f t="shared" si="5"/>
        <v>1</v>
      </c>
      <c r="U32" s="64">
        <f t="shared" si="5"/>
        <v>1</v>
      </c>
      <c r="V32" s="64">
        <f t="shared" si="5"/>
        <v>1</v>
      </c>
      <c r="W32" s="64">
        <f t="shared" si="5"/>
        <v>1</v>
      </c>
      <c r="X32" s="64">
        <f t="shared" si="5"/>
        <v>1</v>
      </c>
      <c r="Y32" s="64">
        <f t="shared" si="5"/>
        <v>1</v>
      </c>
      <c r="Z32" s="64">
        <f t="shared" si="5"/>
        <v>1</v>
      </c>
      <c r="AA32" s="64">
        <f t="shared" si="5"/>
        <v>1</v>
      </c>
      <c r="AB32" s="64">
        <f t="shared" si="5"/>
        <v>1</v>
      </c>
      <c r="AC32" s="64">
        <f t="shared" si="5"/>
        <v>1</v>
      </c>
      <c r="AD32" s="64">
        <f t="shared" si="5"/>
        <v>1</v>
      </c>
      <c r="AE32" s="64">
        <f t="shared" si="5"/>
        <v>1</v>
      </c>
      <c r="AF32" s="64">
        <f t="shared" si="5"/>
        <v>1</v>
      </c>
      <c r="AG32" s="64">
        <f t="shared" si="5"/>
        <v>1</v>
      </c>
      <c r="AH32" s="64">
        <f t="shared" si="5"/>
        <v>1</v>
      </c>
      <c r="AI32" s="64">
        <f t="shared" si="5"/>
        <v>0</v>
      </c>
      <c r="AJ32"/>
      <c r="AK32" s="27">
        <f>COUNTIF(E32:AG32,0)*24</f>
        <v>0</v>
      </c>
      <c r="AL32" s="28"/>
      <c r="AM32"/>
      <c r="AN32" s="29"/>
    </row>
    <row r="33" spans="1:42" ht="15.9">
      <c r="B33" s="61"/>
      <c r="C33" s="65" t="s">
        <v>121</v>
      </c>
      <c r="D33" s="66"/>
      <c r="E33" s="64">
        <f t="shared" ref="E33:AI33" si="6">COUNTIF(E49:E101,"D")+COUNTIF(E49:E101,"W")</f>
        <v>2</v>
      </c>
      <c r="F33" s="64">
        <f t="shared" si="6"/>
        <v>2</v>
      </c>
      <c r="G33" s="64">
        <f t="shared" si="6"/>
        <v>2</v>
      </c>
      <c r="H33" s="64">
        <f t="shared" si="6"/>
        <v>2</v>
      </c>
      <c r="I33" s="64">
        <f t="shared" si="6"/>
        <v>2</v>
      </c>
      <c r="J33" s="64">
        <f t="shared" si="6"/>
        <v>2</v>
      </c>
      <c r="K33" s="64">
        <f t="shared" si="6"/>
        <v>2</v>
      </c>
      <c r="L33" s="64">
        <f t="shared" si="6"/>
        <v>2</v>
      </c>
      <c r="M33" s="64">
        <f t="shared" si="6"/>
        <v>2</v>
      </c>
      <c r="N33" s="64">
        <f t="shared" si="6"/>
        <v>2</v>
      </c>
      <c r="O33" s="64">
        <f t="shared" si="6"/>
        <v>2</v>
      </c>
      <c r="P33" s="64">
        <f t="shared" si="6"/>
        <v>2</v>
      </c>
      <c r="Q33" s="64">
        <f t="shared" si="6"/>
        <v>2</v>
      </c>
      <c r="R33" s="64">
        <f t="shared" si="6"/>
        <v>2</v>
      </c>
      <c r="S33" s="64">
        <f t="shared" si="6"/>
        <v>2</v>
      </c>
      <c r="T33" s="64">
        <f t="shared" si="6"/>
        <v>2</v>
      </c>
      <c r="U33" s="64">
        <f t="shared" si="6"/>
        <v>3</v>
      </c>
      <c r="V33" s="64">
        <f t="shared" si="6"/>
        <v>2</v>
      </c>
      <c r="W33" s="64">
        <f t="shared" si="6"/>
        <v>2</v>
      </c>
      <c r="X33" s="64">
        <f t="shared" si="6"/>
        <v>2</v>
      </c>
      <c r="Y33" s="64">
        <f t="shared" si="6"/>
        <v>2</v>
      </c>
      <c r="Z33" s="64">
        <f t="shared" si="6"/>
        <v>2</v>
      </c>
      <c r="AA33" s="64">
        <f t="shared" si="6"/>
        <v>1</v>
      </c>
      <c r="AB33" s="64">
        <f t="shared" si="6"/>
        <v>2</v>
      </c>
      <c r="AC33" s="64">
        <f t="shared" si="6"/>
        <v>2</v>
      </c>
      <c r="AD33" s="64">
        <f t="shared" si="6"/>
        <v>2</v>
      </c>
      <c r="AE33" s="64">
        <f t="shared" si="6"/>
        <v>2</v>
      </c>
      <c r="AF33" s="64">
        <f t="shared" si="6"/>
        <v>2</v>
      </c>
      <c r="AG33" s="64">
        <f t="shared" si="6"/>
        <v>2</v>
      </c>
      <c r="AH33" s="64">
        <f t="shared" si="6"/>
        <v>2</v>
      </c>
      <c r="AI33" s="64">
        <f t="shared" si="6"/>
        <v>2</v>
      </c>
      <c r="AJ33" s="64">
        <f>COUNTIF(AJ50:AJ101,"D")+COUNTIF(AJ50:AJ101,"W")</f>
        <v>0</v>
      </c>
      <c r="AK33" s="27"/>
      <c r="AL33" s="28"/>
      <c r="AM33"/>
      <c r="AN33" s="29"/>
    </row>
    <row r="34" spans="1:42">
      <c r="C34" s="67" t="s">
        <v>122</v>
      </c>
      <c r="D34" s="68"/>
      <c r="E34" s="64">
        <f t="shared" ref="E34:AI34" si="7">COUNTIF(E2:E30,"S")+COUNTIF(E50:E101,"S")</f>
        <v>4</v>
      </c>
      <c r="F34" s="64">
        <f t="shared" si="7"/>
        <v>4</v>
      </c>
      <c r="G34" s="64">
        <f t="shared" si="7"/>
        <v>4</v>
      </c>
      <c r="H34" s="64">
        <f t="shared" si="7"/>
        <v>4</v>
      </c>
      <c r="I34" s="64">
        <f t="shared" si="7"/>
        <v>0</v>
      </c>
      <c r="J34" s="64">
        <f t="shared" si="7"/>
        <v>4</v>
      </c>
      <c r="K34" s="64">
        <f t="shared" si="7"/>
        <v>4</v>
      </c>
      <c r="L34" s="64">
        <f t="shared" si="7"/>
        <v>4</v>
      </c>
      <c r="M34" s="64">
        <f t="shared" si="7"/>
        <v>3</v>
      </c>
      <c r="N34" s="64">
        <f t="shared" si="7"/>
        <v>4</v>
      </c>
      <c r="O34" s="64">
        <f t="shared" si="7"/>
        <v>4</v>
      </c>
      <c r="P34" s="64">
        <f t="shared" si="7"/>
        <v>0</v>
      </c>
      <c r="Q34" s="64">
        <f t="shared" si="7"/>
        <v>4</v>
      </c>
      <c r="R34" s="64">
        <f t="shared" si="7"/>
        <v>4</v>
      </c>
      <c r="S34" s="64">
        <f t="shared" si="7"/>
        <v>4</v>
      </c>
      <c r="T34" s="64">
        <f t="shared" si="7"/>
        <v>3</v>
      </c>
      <c r="U34" s="64">
        <f t="shared" si="7"/>
        <v>7</v>
      </c>
      <c r="V34" s="64">
        <f t="shared" si="7"/>
        <v>7</v>
      </c>
      <c r="W34" s="64">
        <f t="shared" si="7"/>
        <v>0</v>
      </c>
      <c r="X34" s="64">
        <f t="shared" si="7"/>
        <v>4</v>
      </c>
      <c r="Y34" s="64">
        <f t="shared" si="7"/>
        <v>4</v>
      </c>
      <c r="Z34" s="64">
        <f t="shared" si="7"/>
        <v>4</v>
      </c>
      <c r="AA34" s="64">
        <f t="shared" si="7"/>
        <v>0</v>
      </c>
      <c r="AB34" s="64">
        <f t="shared" si="7"/>
        <v>4</v>
      </c>
      <c r="AC34" s="64">
        <f t="shared" si="7"/>
        <v>4</v>
      </c>
      <c r="AD34" s="64">
        <f t="shared" si="7"/>
        <v>1</v>
      </c>
      <c r="AE34" s="64">
        <f t="shared" si="7"/>
        <v>4</v>
      </c>
      <c r="AF34" s="64">
        <f t="shared" si="7"/>
        <v>4</v>
      </c>
      <c r="AG34" s="64">
        <f t="shared" si="7"/>
        <v>4</v>
      </c>
      <c r="AH34" s="64">
        <f t="shared" si="7"/>
        <v>3</v>
      </c>
      <c r="AI34" s="64">
        <f t="shared" si="7"/>
        <v>4</v>
      </c>
      <c r="AJ34"/>
      <c r="AK34" s="27"/>
      <c r="AL34" s="28"/>
      <c r="AM34"/>
      <c r="AN34" s="29"/>
    </row>
    <row r="35" spans="1:42">
      <c r="C35" s="69" t="s">
        <v>123</v>
      </c>
      <c r="D35" s="70"/>
      <c r="E35" s="64">
        <f t="shared" ref="E35:AI35" si="8">COUNTIF(E2:E32,"K")+COUNTIF(E51:E102,"K")</f>
        <v>4</v>
      </c>
      <c r="F35" s="64">
        <f t="shared" si="8"/>
        <v>4</v>
      </c>
      <c r="G35" s="64">
        <f t="shared" si="8"/>
        <v>4</v>
      </c>
      <c r="H35" s="64">
        <f t="shared" si="8"/>
        <v>4</v>
      </c>
      <c r="I35" s="64">
        <f t="shared" si="8"/>
        <v>4</v>
      </c>
      <c r="J35" s="64">
        <f t="shared" si="8"/>
        <v>0</v>
      </c>
      <c r="K35" s="64">
        <f t="shared" si="8"/>
        <v>4</v>
      </c>
      <c r="L35" s="64">
        <f t="shared" si="8"/>
        <v>4</v>
      </c>
      <c r="M35" s="64">
        <f t="shared" si="8"/>
        <v>3</v>
      </c>
      <c r="N35" s="64">
        <f t="shared" si="8"/>
        <v>4</v>
      </c>
      <c r="O35" s="64">
        <f t="shared" si="8"/>
        <v>4</v>
      </c>
      <c r="P35" s="64">
        <f t="shared" si="8"/>
        <v>4</v>
      </c>
      <c r="Q35" s="64">
        <f t="shared" si="8"/>
        <v>0</v>
      </c>
      <c r="R35" s="64">
        <f t="shared" si="8"/>
        <v>4</v>
      </c>
      <c r="S35" s="64">
        <f t="shared" si="8"/>
        <v>4</v>
      </c>
      <c r="T35" s="64">
        <f t="shared" si="8"/>
        <v>2</v>
      </c>
      <c r="U35" s="64">
        <f t="shared" si="8"/>
        <v>4</v>
      </c>
      <c r="V35" s="64">
        <f t="shared" si="8"/>
        <v>4</v>
      </c>
      <c r="W35" s="64">
        <f t="shared" si="8"/>
        <v>4</v>
      </c>
      <c r="X35" s="64">
        <f t="shared" si="8"/>
        <v>0</v>
      </c>
      <c r="Y35" s="64">
        <f t="shared" si="8"/>
        <v>4</v>
      </c>
      <c r="Z35" s="64">
        <f t="shared" si="8"/>
        <v>4</v>
      </c>
      <c r="AA35" s="64">
        <f t="shared" si="8"/>
        <v>4</v>
      </c>
      <c r="AB35" s="64">
        <f t="shared" si="8"/>
        <v>4</v>
      </c>
      <c r="AC35" s="64">
        <f t="shared" si="8"/>
        <v>4</v>
      </c>
      <c r="AD35" s="64">
        <f t="shared" si="8"/>
        <v>4</v>
      </c>
      <c r="AE35" s="64">
        <f t="shared" si="8"/>
        <v>0</v>
      </c>
      <c r="AF35" s="64">
        <f t="shared" si="8"/>
        <v>4</v>
      </c>
      <c r="AG35" s="64">
        <f t="shared" si="8"/>
        <v>4</v>
      </c>
      <c r="AH35" s="64">
        <f t="shared" si="8"/>
        <v>4</v>
      </c>
      <c r="AI35" s="64">
        <f t="shared" si="8"/>
        <v>4</v>
      </c>
      <c r="AJ35"/>
      <c r="AK35" s="27"/>
      <c r="AL35" s="28"/>
      <c r="AM35"/>
      <c r="AN35" s="29"/>
    </row>
    <row r="36" spans="1:42" ht="15.9">
      <c r="C36" s="56"/>
      <c r="D36" s="57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97"/>
      <c r="AH36" s="98"/>
      <c r="AI36" s="27"/>
      <c r="AJ36"/>
      <c r="AK36" s="27"/>
      <c r="AL36" s="28"/>
      <c r="AM36"/>
      <c r="AN36" s="29"/>
    </row>
    <row r="37" spans="1:42" s="73" customFormat="1">
      <c r="C37" s="660" t="s">
        <v>122</v>
      </c>
      <c r="D37" s="660"/>
      <c r="E37" s="99"/>
      <c r="F37" s="661" t="s">
        <v>124</v>
      </c>
      <c r="G37" s="661"/>
      <c r="H37" s="661"/>
      <c r="I37" s="100"/>
      <c r="J37" s="661" t="s">
        <v>125</v>
      </c>
      <c r="K37" s="661"/>
      <c r="L37" s="100"/>
      <c r="M37" s="661" t="s">
        <v>124</v>
      </c>
      <c r="N37" s="661"/>
      <c r="O37" s="661"/>
      <c r="P37" s="100"/>
      <c r="Q37" s="661" t="s">
        <v>130</v>
      </c>
      <c r="R37" s="661"/>
      <c r="S37" s="100"/>
      <c r="T37" s="661" t="s">
        <v>131</v>
      </c>
      <c r="U37" s="661"/>
      <c r="V37" s="661"/>
      <c r="W37" s="100"/>
      <c r="X37" s="661" t="s">
        <v>126</v>
      </c>
      <c r="Y37" s="661"/>
      <c r="Z37" s="100"/>
      <c r="AA37" s="661" t="s">
        <v>173</v>
      </c>
      <c r="AB37" s="661"/>
      <c r="AC37" s="661"/>
      <c r="AD37" s="100"/>
      <c r="AE37" s="658" t="s">
        <v>129</v>
      </c>
      <c r="AF37" s="658"/>
      <c r="AG37" s="101"/>
      <c r="AH37" s="658" t="s">
        <v>129</v>
      </c>
      <c r="AI37" s="658"/>
      <c r="AJ37" s="80"/>
      <c r="AK37" s="27"/>
      <c r="AL37" s="28"/>
      <c r="AM37"/>
      <c r="AN37" s="29"/>
      <c r="AO37" s="1"/>
      <c r="AP37" s="1"/>
    </row>
    <row r="38" spans="1:42" s="73" customFormat="1">
      <c r="C38" s="660"/>
      <c r="D38" s="660"/>
      <c r="E38" s="102"/>
      <c r="F38" s="653" t="s">
        <v>131</v>
      </c>
      <c r="G38" s="653"/>
      <c r="H38" s="653"/>
      <c r="I38" s="103"/>
      <c r="J38" s="653" t="s">
        <v>135</v>
      </c>
      <c r="K38" s="653"/>
      <c r="L38" s="103"/>
      <c r="M38" s="653" t="s">
        <v>135</v>
      </c>
      <c r="N38" s="653"/>
      <c r="O38" s="653"/>
      <c r="P38" s="103"/>
      <c r="Q38" s="653" t="s">
        <v>194</v>
      </c>
      <c r="R38" s="653"/>
      <c r="S38" s="103"/>
      <c r="T38" s="653" t="s">
        <v>194</v>
      </c>
      <c r="U38" s="653"/>
      <c r="V38" s="653"/>
      <c r="W38" s="103"/>
      <c r="X38" s="653" t="s">
        <v>134</v>
      </c>
      <c r="Y38" s="653"/>
      <c r="Z38" s="103"/>
      <c r="AA38" s="749" t="s">
        <v>202</v>
      </c>
      <c r="AB38" s="749"/>
      <c r="AC38" s="749"/>
      <c r="AD38" s="103"/>
      <c r="AE38" s="648" t="s">
        <v>174</v>
      </c>
      <c r="AF38" s="648"/>
      <c r="AG38" s="104"/>
      <c r="AH38" s="648" t="s">
        <v>174</v>
      </c>
      <c r="AI38" s="648"/>
      <c r="AJ38" s="80"/>
      <c r="AK38" s="27"/>
      <c r="AL38" s="28"/>
      <c r="AM38"/>
      <c r="AN38" s="29"/>
      <c r="AO38" s="1"/>
      <c r="AP38" s="1"/>
    </row>
    <row r="39" spans="1:42" s="73" customFormat="1">
      <c r="C39" s="660"/>
      <c r="D39" s="660"/>
      <c r="E39" s="102"/>
      <c r="F39" s="653" t="s">
        <v>197</v>
      </c>
      <c r="G39" s="653"/>
      <c r="H39" s="653"/>
      <c r="I39" s="103"/>
      <c r="J39" s="749" t="s">
        <v>210</v>
      </c>
      <c r="K39" s="749"/>
      <c r="L39" s="495"/>
      <c r="M39" s="749" t="s">
        <v>210</v>
      </c>
      <c r="N39" s="749"/>
      <c r="O39" s="749"/>
      <c r="P39" s="103"/>
      <c r="Q39" s="653" t="s">
        <v>137</v>
      </c>
      <c r="R39" s="653"/>
      <c r="S39" s="103"/>
      <c r="T39" s="653" t="s">
        <v>137</v>
      </c>
      <c r="U39" s="653"/>
      <c r="V39" s="653"/>
      <c r="W39" s="103"/>
      <c r="X39" s="653" t="s">
        <v>141</v>
      </c>
      <c r="Y39" s="653"/>
      <c r="Z39" s="103"/>
      <c r="AA39" s="653" t="s">
        <v>141</v>
      </c>
      <c r="AB39" s="653"/>
      <c r="AC39" s="653"/>
      <c r="AD39" s="103"/>
      <c r="AE39" s="648" t="s">
        <v>136</v>
      </c>
      <c r="AF39" s="648"/>
      <c r="AG39" s="105"/>
      <c r="AH39" s="648" t="s">
        <v>136</v>
      </c>
      <c r="AI39" s="648"/>
      <c r="AJ39" s="80"/>
      <c r="AK39" s="27"/>
      <c r="AL39" s="28"/>
      <c r="AM39"/>
      <c r="AN39" s="29"/>
      <c r="AO39" s="1"/>
      <c r="AP39" s="1"/>
    </row>
    <row r="40" spans="1:42" s="73" customFormat="1">
      <c r="C40" s="660"/>
      <c r="D40" s="660"/>
      <c r="E40" s="106"/>
      <c r="F40" s="649" t="s">
        <v>143</v>
      </c>
      <c r="G40" s="649"/>
      <c r="H40" s="649"/>
      <c r="I40" s="107"/>
      <c r="J40" s="649" t="s">
        <v>132</v>
      </c>
      <c r="K40" s="649"/>
      <c r="L40" s="107"/>
      <c r="M40" s="649" t="s">
        <v>132</v>
      </c>
      <c r="N40" s="649"/>
      <c r="O40" s="649"/>
      <c r="P40" s="107"/>
      <c r="Q40" s="649" t="s">
        <v>149</v>
      </c>
      <c r="R40" s="649"/>
      <c r="S40" s="107"/>
      <c r="T40" s="649" t="s">
        <v>149</v>
      </c>
      <c r="U40" s="649"/>
      <c r="V40" s="649"/>
      <c r="W40" s="107"/>
      <c r="X40" s="751" t="s">
        <v>216</v>
      </c>
      <c r="Y40" s="751"/>
      <c r="Z40" s="496"/>
      <c r="AA40" s="751" t="s">
        <v>216</v>
      </c>
      <c r="AB40" s="751"/>
      <c r="AC40" s="751"/>
      <c r="AD40" s="107"/>
      <c r="AE40" s="651" t="s">
        <v>133</v>
      </c>
      <c r="AF40" s="651"/>
      <c r="AG40" s="108"/>
      <c r="AH40" s="651" t="s">
        <v>151</v>
      </c>
      <c r="AI40" s="651"/>
      <c r="AJ40" s="80"/>
      <c r="AK40" s="27"/>
      <c r="AL40" s="28"/>
      <c r="AM40"/>
      <c r="AN40" s="29"/>
      <c r="AO40" s="1"/>
      <c r="AP40" s="1"/>
    </row>
    <row r="41" spans="1:42" s="73" customFormat="1">
      <c r="C41" s="77"/>
      <c r="D41" s="77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 t="s">
        <v>333</v>
      </c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109"/>
      <c r="AH41" s="110"/>
      <c r="AI41" s="79"/>
      <c r="AJ41" s="80"/>
      <c r="AK41" s="27"/>
      <c r="AL41" s="28"/>
      <c r="AM41"/>
      <c r="AN41" s="29"/>
      <c r="AO41" s="1"/>
      <c r="AP41" s="1"/>
    </row>
    <row r="42" spans="1:42" s="73" customFormat="1" ht="11.25" customHeight="1">
      <c r="C42" s="655" t="s">
        <v>123</v>
      </c>
      <c r="D42" s="655"/>
      <c r="E42" s="497"/>
      <c r="F42" s="657" t="s">
        <v>203</v>
      </c>
      <c r="G42" s="657"/>
      <c r="H42" s="657"/>
      <c r="I42" s="498"/>
      <c r="J42" s="499" t="s">
        <v>247</v>
      </c>
      <c r="K42" s="111"/>
      <c r="L42" s="112"/>
      <c r="M42" s="100"/>
      <c r="N42" s="657" t="s">
        <v>247</v>
      </c>
      <c r="O42" s="657"/>
      <c r="P42" s="100"/>
      <c r="Q42" s="499" t="s">
        <v>249</v>
      </c>
      <c r="R42" s="111"/>
      <c r="S42" s="112"/>
      <c r="T42" s="100"/>
      <c r="U42" s="657" t="s">
        <v>205</v>
      </c>
      <c r="V42" s="657"/>
      <c r="W42" s="100"/>
      <c r="X42" s="657" t="s">
        <v>248</v>
      </c>
      <c r="Y42" s="657"/>
      <c r="Z42" s="657"/>
      <c r="AA42" s="100"/>
      <c r="AB42" s="657" t="s">
        <v>248</v>
      </c>
      <c r="AC42" s="657"/>
      <c r="AD42" s="500"/>
      <c r="AE42" s="758" t="s">
        <v>203</v>
      </c>
      <c r="AF42" s="758"/>
      <c r="AG42" s="758"/>
      <c r="AH42" s="758"/>
      <c r="AI42" s="758"/>
      <c r="AJ42" s="80"/>
      <c r="AK42" s="27"/>
      <c r="AL42" s="28"/>
      <c r="AM42"/>
      <c r="AN42" s="29"/>
      <c r="AO42" s="1"/>
      <c r="AP42" s="1"/>
    </row>
    <row r="43" spans="1:42" s="73" customFormat="1" ht="11.25" customHeight="1">
      <c r="C43" s="655"/>
      <c r="D43" s="655"/>
      <c r="E43" s="501"/>
      <c r="F43" s="654" t="s">
        <v>207</v>
      </c>
      <c r="G43" s="654"/>
      <c r="H43" s="654"/>
      <c r="I43" s="502"/>
      <c r="J43" s="654" t="s">
        <v>250</v>
      </c>
      <c r="K43" s="654"/>
      <c r="L43" s="654"/>
      <c r="M43" s="103"/>
      <c r="N43" s="654" t="s">
        <v>206</v>
      </c>
      <c r="O43" s="654"/>
      <c r="P43" s="103"/>
      <c r="Q43" s="654" t="s">
        <v>211</v>
      </c>
      <c r="R43" s="654"/>
      <c r="S43" s="654"/>
      <c r="T43" s="103"/>
      <c r="U43" s="654" t="s">
        <v>249</v>
      </c>
      <c r="V43" s="654"/>
      <c r="W43" s="103"/>
      <c r="X43" s="654" t="s">
        <v>209</v>
      </c>
      <c r="Y43" s="654"/>
      <c r="Z43" s="654"/>
      <c r="AA43" s="103"/>
      <c r="AB43" s="654" t="s">
        <v>334</v>
      </c>
      <c r="AC43" s="654"/>
      <c r="AD43" s="503"/>
      <c r="AE43" s="683" t="s">
        <v>335</v>
      </c>
      <c r="AF43" s="683"/>
      <c r="AG43" s="683"/>
      <c r="AH43" s="683"/>
      <c r="AI43" s="683"/>
      <c r="AJ43" s="80"/>
      <c r="AK43" s="27"/>
      <c r="AL43" s="28"/>
      <c r="AM43"/>
      <c r="AN43" s="29"/>
      <c r="AO43" s="1"/>
      <c r="AP43" s="1"/>
    </row>
    <row r="44" spans="1:42" s="73" customFormat="1" ht="11.25" customHeight="1">
      <c r="C44" s="655"/>
      <c r="D44" s="655"/>
      <c r="E44" s="501"/>
      <c r="F44" s="654" t="s">
        <v>213</v>
      </c>
      <c r="G44" s="654"/>
      <c r="H44" s="654"/>
      <c r="I44" s="502"/>
      <c r="J44" s="654" t="s">
        <v>212</v>
      </c>
      <c r="K44" s="654"/>
      <c r="L44" s="654"/>
      <c r="M44" s="103"/>
      <c r="N44" s="654" t="s">
        <v>212</v>
      </c>
      <c r="O44" s="654"/>
      <c r="P44" s="103"/>
      <c r="Q44" s="654" t="s">
        <v>146</v>
      </c>
      <c r="R44" s="654"/>
      <c r="S44" s="654"/>
      <c r="T44" s="103"/>
      <c r="U44" s="654" t="s">
        <v>336</v>
      </c>
      <c r="V44" s="654"/>
      <c r="W44" s="103"/>
      <c r="X44" s="654" t="s">
        <v>252</v>
      </c>
      <c r="Y44" s="654"/>
      <c r="Z44" s="654"/>
      <c r="AA44" s="103"/>
      <c r="AB44" s="654" t="s">
        <v>252</v>
      </c>
      <c r="AC44" s="654"/>
      <c r="AD44" s="503"/>
      <c r="AE44" s="683" t="s">
        <v>253</v>
      </c>
      <c r="AF44" s="683"/>
      <c r="AG44" s="683"/>
      <c r="AH44" s="683"/>
      <c r="AI44" s="683"/>
      <c r="AJ44" s="80"/>
      <c r="AK44" s="27"/>
      <c r="AL44" s="28"/>
      <c r="AM44"/>
      <c r="AN44" s="29"/>
      <c r="AO44" s="1"/>
      <c r="AP44" s="1"/>
    </row>
    <row r="45" spans="1:42" s="73" customFormat="1" ht="11.25" customHeight="1">
      <c r="C45" s="655"/>
      <c r="D45" s="655"/>
      <c r="E45" s="504"/>
      <c r="F45" s="650" t="s">
        <v>324</v>
      </c>
      <c r="G45" s="650"/>
      <c r="H45" s="650"/>
      <c r="I45" s="505"/>
      <c r="J45" s="650" t="s">
        <v>214</v>
      </c>
      <c r="K45" s="650"/>
      <c r="L45" s="650"/>
      <c r="M45" s="107"/>
      <c r="N45" s="650" t="s">
        <v>214</v>
      </c>
      <c r="O45" s="650"/>
      <c r="P45" s="107"/>
      <c r="Q45" s="650" t="s">
        <v>175</v>
      </c>
      <c r="R45" s="650"/>
      <c r="S45" s="650"/>
      <c r="T45" s="107"/>
      <c r="U45" s="650" t="s">
        <v>215</v>
      </c>
      <c r="V45" s="650"/>
      <c r="W45" s="107"/>
      <c r="X45" s="650" t="s">
        <v>251</v>
      </c>
      <c r="Y45" s="650"/>
      <c r="Z45" s="650"/>
      <c r="AA45" s="107"/>
      <c r="AB45" s="650" t="s">
        <v>251</v>
      </c>
      <c r="AC45" s="650"/>
      <c r="AD45" s="506"/>
      <c r="AE45" s="684" t="s">
        <v>317</v>
      </c>
      <c r="AF45" s="684"/>
      <c r="AG45" s="684"/>
      <c r="AH45" s="684"/>
      <c r="AI45" s="684"/>
      <c r="AJ45" s="80"/>
      <c r="AK45" s="27"/>
      <c r="AL45" s="28"/>
      <c r="AM45"/>
      <c r="AN45" s="29"/>
      <c r="AO45" s="1"/>
      <c r="AP45" s="1"/>
    </row>
    <row r="46" spans="1:42" ht="15.9">
      <c r="C46" s="61"/>
      <c r="D46" s="81"/>
      <c r="AK46" s="27"/>
      <c r="AL46" s="28"/>
      <c r="AM46"/>
      <c r="AN46" s="29"/>
    </row>
    <row r="47" spans="1:42" ht="15.9">
      <c r="C47" s="61"/>
      <c r="D47" s="81"/>
      <c r="AK47" s="27"/>
      <c r="AL47" s="28"/>
      <c r="AM47"/>
      <c r="AN47" s="29"/>
    </row>
    <row r="48" spans="1:42" ht="43.3">
      <c r="A48" s="1" t="s">
        <v>52</v>
      </c>
      <c r="E48" s="11">
        <v>44378</v>
      </c>
      <c r="F48" s="11">
        <v>44379</v>
      </c>
      <c r="G48" s="378">
        <v>44380</v>
      </c>
      <c r="H48" s="378">
        <v>44381</v>
      </c>
      <c r="I48" s="11">
        <v>44382</v>
      </c>
      <c r="J48" s="11">
        <v>44383</v>
      </c>
      <c r="K48" s="11">
        <v>44384</v>
      </c>
      <c r="L48" s="11">
        <v>44385</v>
      </c>
      <c r="M48" s="11">
        <v>44386</v>
      </c>
      <c r="N48" s="378">
        <v>44387</v>
      </c>
      <c r="O48" s="378">
        <v>44388</v>
      </c>
      <c r="P48" s="11">
        <v>44389</v>
      </c>
      <c r="Q48" s="11">
        <v>44390</v>
      </c>
      <c r="R48" s="11">
        <v>44391</v>
      </c>
      <c r="S48" s="11">
        <v>44392</v>
      </c>
      <c r="T48" s="11">
        <v>44393</v>
      </c>
      <c r="U48" s="378">
        <v>44394</v>
      </c>
      <c r="V48" s="378">
        <v>44395</v>
      </c>
      <c r="W48" s="11">
        <v>44396</v>
      </c>
      <c r="X48" s="11">
        <v>44397</v>
      </c>
      <c r="Y48" s="11">
        <v>44398</v>
      </c>
      <c r="Z48" s="11">
        <v>44399</v>
      </c>
      <c r="AA48" s="11">
        <v>44400</v>
      </c>
      <c r="AB48" s="378">
        <v>44401</v>
      </c>
      <c r="AC48" s="378">
        <v>44402</v>
      </c>
      <c r="AD48" s="11">
        <v>44403</v>
      </c>
      <c r="AE48" s="11">
        <v>44404</v>
      </c>
      <c r="AF48" s="11">
        <v>44405</v>
      </c>
      <c r="AG48" s="11">
        <v>44406</v>
      </c>
      <c r="AH48" s="11">
        <v>44407</v>
      </c>
      <c r="AI48" s="378">
        <v>44408</v>
      </c>
      <c r="AJ48" s="288"/>
      <c r="AK48" s="15">
        <v>176</v>
      </c>
      <c r="AL48" s="16" t="s">
        <v>53</v>
      </c>
      <c r="AM48" s="17" t="s">
        <v>54</v>
      </c>
      <c r="AN48" s="18" t="s">
        <v>55</v>
      </c>
      <c r="AO48" s="1" t="s">
        <v>56</v>
      </c>
      <c r="AP48" s="1" t="s">
        <v>57</v>
      </c>
    </row>
    <row r="49" spans="1:41" ht="15.9">
      <c r="A49" s="1" t="s">
        <v>152</v>
      </c>
      <c r="B49" s="1" t="s">
        <v>93</v>
      </c>
      <c r="C49" s="289" t="s">
        <v>3</v>
      </c>
      <c r="D49" s="161">
        <v>0</v>
      </c>
      <c r="E49" s="200" t="s">
        <v>301</v>
      </c>
      <c r="F49" s="22"/>
      <c r="G49" s="23"/>
      <c r="H49" s="23"/>
      <c r="I49" s="22"/>
      <c r="J49" s="22" t="s">
        <v>103</v>
      </c>
      <c r="K49" s="22" t="s">
        <v>103</v>
      </c>
      <c r="L49" s="22" t="s">
        <v>103</v>
      </c>
      <c r="M49" s="22"/>
      <c r="N49" s="23"/>
      <c r="O49" s="23"/>
      <c r="P49" s="22" t="s">
        <v>75</v>
      </c>
      <c r="Q49" s="22" t="s">
        <v>75</v>
      </c>
      <c r="R49" s="22" t="s">
        <v>75</v>
      </c>
      <c r="S49" s="22" t="s">
        <v>75</v>
      </c>
      <c r="T49" s="22" t="s">
        <v>75</v>
      </c>
      <c r="U49" s="23"/>
      <c r="V49" s="23"/>
      <c r="W49" s="22" t="s">
        <v>75</v>
      </c>
      <c r="X49" s="22" t="s">
        <v>75</v>
      </c>
      <c r="Y49" s="22" t="s">
        <v>75</v>
      </c>
      <c r="Z49" s="22" t="s">
        <v>75</v>
      </c>
      <c r="AA49" s="22" t="s">
        <v>75</v>
      </c>
      <c r="AB49" s="23"/>
      <c r="AC49" s="23"/>
      <c r="AD49" s="22" t="s">
        <v>75</v>
      </c>
      <c r="AE49" s="22" t="s">
        <v>75</v>
      </c>
      <c r="AF49" s="22" t="s">
        <v>75</v>
      </c>
      <c r="AG49" s="22" t="s">
        <v>75</v>
      </c>
      <c r="AH49" s="22" t="s">
        <v>75</v>
      </c>
      <c r="AI49" s="492"/>
      <c r="AJ49" s="26" t="e">
        <f>_xlfn.CONCAT(#REF!,#REF!)</f>
        <v>#REF!</v>
      </c>
      <c r="AK49" s="27">
        <f t="shared" ref="AK49:AK63" si="9">D49+AL49+AM49+AN49-$AK$48+AO49+AP49</f>
        <v>-56</v>
      </c>
      <c r="AL49" s="28">
        <f t="shared" ref="AL49:AL80" si="10">COUNTIF(E49:AI49,"D")*24+COUNTIF(E49:AI49,"12g")*12</f>
        <v>0</v>
      </c>
      <c r="AM49">
        <f t="shared" ref="AM49:AM80" si="11">SUM(COUNTIF(E49:AI49,"k")+COUNTIF(E49:AI49,"s")+COUNTIF(E49:AI49,"wse"))*24+SUM(COUNTIF(E49:AI49,"Pk")+COUNTIF(E49:AI49,"Ps"))*12</f>
        <v>0</v>
      </c>
      <c r="AN49" s="29">
        <f t="shared" ref="AN49:AN80" si="12">SUM(E49:AI49)+COUNTIF(E49:AI49,"uw")*8+COUNTIF(E49:AI49,"us")*8+COUNTIF(E49:AI49,"uz")*8</f>
        <v>120</v>
      </c>
      <c r="AO49" s="1">
        <f t="shared" ref="AO49:AO80" si="13">COUNTIF(E49:AI49,"DT")*8</f>
        <v>0</v>
      </c>
    </row>
    <row r="50" spans="1:41" ht="15.9">
      <c r="A50" s="1" t="s">
        <v>155</v>
      </c>
      <c r="B50" s="1" t="s">
        <v>73</v>
      </c>
      <c r="C50" s="290" t="s">
        <v>4</v>
      </c>
      <c r="D50" s="161"/>
      <c r="E50" s="204">
        <v>17</v>
      </c>
      <c r="F50" s="32" t="s">
        <v>98</v>
      </c>
      <c r="G50" s="33">
        <v>20</v>
      </c>
      <c r="H50" s="33"/>
      <c r="I50" s="32"/>
      <c r="J50" s="32"/>
      <c r="K50" s="32"/>
      <c r="L50" s="32">
        <v>10</v>
      </c>
      <c r="M50" s="32" t="s">
        <v>98</v>
      </c>
      <c r="N50" s="33">
        <v>20</v>
      </c>
      <c r="O50" s="33"/>
      <c r="P50" s="32">
        <v>17</v>
      </c>
      <c r="Q50" s="32" t="s">
        <v>98</v>
      </c>
      <c r="R50" s="32">
        <v>20</v>
      </c>
      <c r="S50" s="32"/>
      <c r="T50" s="32"/>
      <c r="U50" s="33"/>
      <c r="V50" s="33"/>
      <c r="W50" s="32"/>
      <c r="X50" s="32"/>
      <c r="Y50" s="32"/>
      <c r="Z50" s="32"/>
      <c r="AA50" s="32"/>
      <c r="AB50" s="33"/>
      <c r="AC50" s="33"/>
      <c r="AD50" s="32"/>
      <c r="AE50" s="32"/>
      <c r="AF50" s="32"/>
      <c r="AG50" s="32"/>
      <c r="AH50" s="32"/>
      <c r="AI50" s="493"/>
      <c r="AJ50" s="26" t="e">
        <f>_xlfn.CONCAT(#REF!,#REF!)</f>
        <v>#REF!</v>
      </c>
      <c r="AK50" s="27">
        <f t="shared" si="9"/>
        <v>0</v>
      </c>
      <c r="AL50" s="28">
        <f t="shared" si="10"/>
        <v>0</v>
      </c>
      <c r="AM50">
        <f t="shared" si="11"/>
        <v>72</v>
      </c>
      <c r="AN50" s="29">
        <f t="shared" si="12"/>
        <v>104</v>
      </c>
      <c r="AO50" s="1">
        <f t="shared" si="13"/>
        <v>0</v>
      </c>
    </row>
    <row r="51" spans="1:41" ht="15.9">
      <c r="A51" s="1" t="s">
        <v>67</v>
      </c>
      <c r="B51" s="1" t="s">
        <v>73</v>
      </c>
      <c r="C51" s="290" t="s">
        <v>5</v>
      </c>
      <c r="D51" s="161"/>
      <c r="E51" s="204"/>
      <c r="F51" s="32"/>
      <c r="G51" s="33"/>
      <c r="H51" s="33" t="s">
        <v>113</v>
      </c>
      <c r="I51" s="32"/>
      <c r="J51" s="32"/>
      <c r="K51" s="32"/>
      <c r="L51" s="32"/>
      <c r="M51" s="32"/>
      <c r="N51" s="33"/>
      <c r="O51" s="33"/>
      <c r="P51" s="32"/>
      <c r="Q51" s="32" t="s">
        <v>92</v>
      </c>
      <c r="R51" s="32" t="s">
        <v>95</v>
      </c>
      <c r="S51" s="32" t="s">
        <v>95</v>
      </c>
      <c r="T51" s="32" t="s">
        <v>95</v>
      </c>
      <c r="U51" s="33" t="s">
        <v>95</v>
      </c>
      <c r="V51" s="33" t="s">
        <v>95</v>
      </c>
      <c r="W51" s="32" t="s">
        <v>95</v>
      </c>
      <c r="X51" s="32" t="s">
        <v>92</v>
      </c>
      <c r="Y51" s="32"/>
      <c r="Z51" s="32"/>
      <c r="AA51" s="32" t="s">
        <v>75</v>
      </c>
      <c r="AB51" s="33" t="s">
        <v>66</v>
      </c>
      <c r="AC51" s="33" t="s">
        <v>66</v>
      </c>
      <c r="AD51" s="32" t="s">
        <v>75</v>
      </c>
      <c r="AE51" s="32" t="s">
        <v>75</v>
      </c>
      <c r="AF51" s="32" t="s">
        <v>75</v>
      </c>
      <c r="AG51" s="32" t="s">
        <v>75</v>
      </c>
      <c r="AH51" s="32" t="s">
        <v>75</v>
      </c>
      <c r="AI51" s="493" t="s">
        <v>66</v>
      </c>
      <c r="AJ51" s="26" t="e">
        <f>_xlfn.CONCAT(#REF!,#REF!)</f>
        <v>#REF!</v>
      </c>
      <c r="AK51" s="27">
        <f t="shared" si="9"/>
        <v>64</v>
      </c>
      <c r="AL51" s="28">
        <f t="shared" si="10"/>
        <v>24</v>
      </c>
      <c r="AM51">
        <f t="shared" si="11"/>
        <v>168</v>
      </c>
      <c r="AN51" s="29">
        <f t="shared" si="12"/>
        <v>48</v>
      </c>
      <c r="AO51" s="1">
        <f t="shared" si="13"/>
        <v>0</v>
      </c>
    </row>
    <row r="52" spans="1:41" ht="15.9">
      <c r="A52" s="1" t="s">
        <v>152</v>
      </c>
      <c r="B52" s="1" t="s">
        <v>64</v>
      </c>
      <c r="C52" s="291" t="s">
        <v>6</v>
      </c>
      <c r="D52" s="161"/>
      <c r="E52" s="204"/>
      <c r="F52" s="32" t="s">
        <v>301</v>
      </c>
      <c r="G52" s="33"/>
      <c r="H52" s="33"/>
      <c r="I52" s="32" t="s">
        <v>301</v>
      </c>
      <c r="J52" s="32"/>
      <c r="K52" s="32"/>
      <c r="L52" s="32"/>
      <c r="M52" s="32"/>
      <c r="N52" s="33"/>
      <c r="O52" s="33"/>
      <c r="P52" s="32">
        <v>17</v>
      </c>
      <c r="Q52" s="32" t="s">
        <v>98</v>
      </c>
      <c r="R52" s="32">
        <v>20</v>
      </c>
      <c r="S52" s="32"/>
      <c r="T52" s="32"/>
      <c r="U52" s="33" t="s">
        <v>113</v>
      </c>
      <c r="V52" s="33"/>
      <c r="W52" s="32"/>
      <c r="X52" s="32"/>
      <c r="Y52" s="32" t="s">
        <v>113</v>
      </c>
      <c r="Z52" s="32"/>
      <c r="AA52" s="32"/>
      <c r="AB52" s="33" t="s">
        <v>59</v>
      </c>
      <c r="AC52" s="33"/>
      <c r="AD52" s="32"/>
      <c r="AE52" s="32"/>
      <c r="AF52" s="32"/>
      <c r="AG52" s="32"/>
      <c r="AH52" s="32"/>
      <c r="AI52" s="493"/>
      <c r="AJ52" s="26" t="e">
        <f>_xlfn.CONCAT(#REF!,#REF!)</f>
        <v>#REF!</v>
      </c>
      <c r="AK52" s="27">
        <f t="shared" si="9"/>
        <v>-43</v>
      </c>
      <c r="AL52" s="28">
        <f t="shared" si="10"/>
        <v>72</v>
      </c>
      <c r="AM52">
        <f t="shared" si="11"/>
        <v>24</v>
      </c>
      <c r="AN52" s="29">
        <f t="shared" si="12"/>
        <v>37</v>
      </c>
      <c r="AO52" s="1">
        <f t="shared" si="13"/>
        <v>0</v>
      </c>
    </row>
    <row r="53" spans="1:41" ht="15.9">
      <c r="A53" s="1" t="s">
        <v>156</v>
      </c>
      <c r="B53" s="1" t="s">
        <v>59</v>
      </c>
      <c r="C53" s="292" t="s">
        <v>7</v>
      </c>
      <c r="D53" s="161"/>
      <c r="E53" s="204"/>
      <c r="F53" s="32" t="s">
        <v>113</v>
      </c>
      <c r="G53" s="33"/>
      <c r="H53" s="33"/>
      <c r="I53" s="32"/>
      <c r="J53" s="32"/>
      <c r="K53" s="32"/>
      <c r="L53" s="32"/>
      <c r="M53" s="32"/>
      <c r="N53" s="33" t="s">
        <v>76</v>
      </c>
      <c r="O53" s="33"/>
      <c r="P53" s="32"/>
      <c r="Q53" s="32" t="s">
        <v>153</v>
      </c>
      <c r="R53" s="32" t="s">
        <v>154</v>
      </c>
      <c r="S53" s="32" t="s">
        <v>154</v>
      </c>
      <c r="T53" s="32" t="s">
        <v>154</v>
      </c>
      <c r="U53" s="33" t="s">
        <v>154</v>
      </c>
      <c r="V53" s="33" t="s">
        <v>154</v>
      </c>
      <c r="W53" s="32" t="s">
        <v>154</v>
      </c>
      <c r="X53" s="32" t="s">
        <v>153</v>
      </c>
      <c r="Y53" s="32"/>
      <c r="Z53" s="32"/>
      <c r="AA53" s="32"/>
      <c r="AB53" s="33" t="s">
        <v>66</v>
      </c>
      <c r="AC53" s="33" t="s">
        <v>66</v>
      </c>
      <c r="AD53" s="32"/>
      <c r="AE53" s="32"/>
      <c r="AF53" s="32"/>
      <c r="AG53" s="32"/>
      <c r="AH53" s="32"/>
      <c r="AI53" s="493"/>
      <c r="AJ53" s="26" t="e">
        <f>_xlfn.CONCAT(#REF!,#REF!)</f>
        <v>#REF!</v>
      </c>
      <c r="AK53" s="27">
        <f t="shared" si="9"/>
        <v>28</v>
      </c>
      <c r="AL53" s="28">
        <f t="shared" si="10"/>
        <v>36</v>
      </c>
      <c r="AM53">
        <f t="shared" si="11"/>
        <v>168</v>
      </c>
      <c r="AN53" s="29">
        <f t="shared" si="12"/>
        <v>0</v>
      </c>
      <c r="AO53" s="1">
        <f t="shared" si="13"/>
        <v>0</v>
      </c>
    </row>
    <row r="54" spans="1:41" ht="15.9">
      <c r="A54" s="1" t="s">
        <v>58</v>
      </c>
      <c r="B54" s="1" t="s">
        <v>73</v>
      </c>
      <c r="C54" s="290" t="s">
        <v>8</v>
      </c>
      <c r="D54" s="161"/>
      <c r="E54" s="204"/>
      <c r="F54" s="32"/>
      <c r="G54" s="33"/>
      <c r="H54" s="33"/>
      <c r="I54" s="32"/>
      <c r="J54" s="32"/>
      <c r="K54" s="32" t="s">
        <v>323</v>
      </c>
      <c r="L54" s="32">
        <v>10</v>
      </c>
      <c r="M54" s="32" t="s">
        <v>99</v>
      </c>
      <c r="N54" s="33">
        <v>20</v>
      </c>
      <c r="O54" s="33"/>
      <c r="P54" s="32">
        <v>17</v>
      </c>
      <c r="Q54" s="32" t="s">
        <v>98</v>
      </c>
      <c r="R54" s="32">
        <v>20</v>
      </c>
      <c r="S54" s="32"/>
      <c r="T54" s="32"/>
      <c r="U54" s="33"/>
      <c r="V54" s="33"/>
      <c r="W54" s="32" t="s">
        <v>301</v>
      </c>
      <c r="X54" s="32"/>
      <c r="Y54" s="32"/>
      <c r="Z54" s="32"/>
      <c r="AA54" s="32"/>
      <c r="AB54" s="33"/>
      <c r="AC54" s="33" t="s">
        <v>76</v>
      </c>
      <c r="AD54" s="32"/>
      <c r="AE54" s="32"/>
      <c r="AF54" s="32" t="s">
        <v>301</v>
      </c>
      <c r="AG54" s="32"/>
      <c r="AH54" s="32"/>
      <c r="AI54" s="493"/>
      <c r="AJ54" s="26" t="e">
        <f>_xlfn.CONCAT(#REF!,#REF!)</f>
        <v>#REF!</v>
      </c>
      <c r="AK54" s="27">
        <f t="shared" si="9"/>
        <v>-49</v>
      </c>
      <c r="AL54" s="28">
        <f t="shared" si="10"/>
        <v>12</v>
      </c>
      <c r="AM54">
        <f t="shared" si="11"/>
        <v>48</v>
      </c>
      <c r="AN54" s="29">
        <f t="shared" si="12"/>
        <v>67</v>
      </c>
      <c r="AO54" s="1">
        <f t="shared" si="13"/>
        <v>0</v>
      </c>
    </row>
    <row r="55" spans="1:41" ht="15.9">
      <c r="A55" s="1" t="s">
        <v>152</v>
      </c>
      <c r="B55" s="1" t="s">
        <v>59</v>
      </c>
      <c r="C55" s="291" t="s">
        <v>9</v>
      </c>
      <c r="D55" s="161"/>
      <c r="E55" s="204" t="s">
        <v>75</v>
      </c>
      <c r="F55" s="32" t="s">
        <v>75</v>
      </c>
      <c r="G55" s="33"/>
      <c r="H55" s="33"/>
      <c r="I55" s="32" t="s">
        <v>75</v>
      </c>
      <c r="J55" s="32" t="s">
        <v>75</v>
      </c>
      <c r="K55" s="32" t="s">
        <v>75</v>
      </c>
      <c r="L55" s="32" t="s">
        <v>75</v>
      </c>
      <c r="M55" s="32" t="s">
        <v>75</v>
      </c>
      <c r="N55" s="33"/>
      <c r="O55" s="33"/>
      <c r="P55" s="32">
        <v>8</v>
      </c>
      <c r="Q55" s="32" t="s">
        <v>98</v>
      </c>
      <c r="R55" s="32">
        <v>20</v>
      </c>
      <c r="S55" s="32"/>
      <c r="T55" s="32"/>
      <c r="U55" s="33"/>
      <c r="V55" s="33"/>
      <c r="W55" s="32"/>
      <c r="X55" s="32"/>
      <c r="Y55" s="32"/>
      <c r="Z55" s="32"/>
      <c r="AA55" s="32"/>
      <c r="AB55" s="33"/>
      <c r="AC55" s="33"/>
      <c r="AD55" s="32"/>
      <c r="AE55" s="32"/>
      <c r="AF55" s="32"/>
      <c r="AG55" s="32"/>
      <c r="AH55" s="32" t="s">
        <v>113</v>
      </c>
      <c r="AI55" s="493"/>
      <c r="AJ55" s="26" t="e">
        <f>_xlfn.CONCAT(#REF!,#REF!)</f>
        <v>#REF!</v>
      </c>
      <c r="AK55" s="27">
        <f t="shared" si="9"/>
        <v>-44</v>
      </c>
      <c r="AL55" s="28">
        <f t="shared" si="10"/>
        <v>24</v>
      </c>
      <c r="AM55">
        <f t="shared" si="11"/>
        <v>24</v>
      </c>
      <c r="AN55" s="29">
        <f t="shared" si="12"/>
        <v>84</v>
      </c>
      <c r="AO55" s="1">
        <f t="shared" si="13"/>
        <v>0</v>
      </c>
    </row>
    <row r="56" spans="1:41" ht="15.9">
      <c r="A56" s="1" t="s">
        <v>157</v>
      </c>
      <c r="B56" s="1" t="s">
        <v>59</v>
      </c>
      <c r="C56" s="292" t="s">
        <v>10</v>
      </c>
      <c r="D56" s="161"/>
      <c r="E56" s="204"/>
      <c r="F56" s="32"/>
      <c r="G56" s="33"/>
      <c r="H56" s="33" t="s">
        <v>76</v>
      </c>
      <c r="I56" s="32"/>
      <c r="J56" s="32"/>
      <c r="K56" s="32" t="s">
        <v>301</v>
      </c>
      <c r="L56" s="32"/>
      <c r="M56" s="32" t="s">
        <v>153</v>
      </c>
      <c r="N56" s="33" t="s">
        <v>154</v>
      </c>
      <c r="O56" s="33" t="s">
        <v>154</v>
      </c>
      <c r="P56" s="32" t="s">
        <v>154</v>
      </c>
      <c r="Q56" s="32" t="s">
        <v>153</v>
      </c>
      <c r="R56" s="32"/>
      <c r="S56" s="32"/>
      <c r="T56" s="32"/>
      <c r="U56" s="33"/>
      <c r="V56" s="33"/>
      <c r="W56" s="32"/>
      <c r="X56" s="32"/>
      <c r="Y56" s="32"/>
      <c r="Z56" s="32"/>
      <c r="AA56" s="32"/>
      <c r="AB56" s="33"/>
      <c r="AC56" s="33"/>
      <c r="AD56" s="32" t="s">
        <v>75</v>
      </c>
      <c r="AE56" s="32" t="s">
        <v>75</v>
      </c>
      <c r="AF56" s="32" t="s">
        <v>75</v>
      </c>
      <c r="AG56" s="32" t="s">
        <v>75</v>
      </c>
      <c r="AH56" s="32" t="s">
        <v>75</v>
      </c>
      <c r="AI56" s="493" t="s">
        <v>66</v>
      </c>
      <c r="AJ56" s="26" t="e">
        <f>_xlfn.CONCAT(#REF!,#REF!)</f>
        <v>#REF!</v>
      </c>
      <c r="AK56" s="27">
        <f t="shared" si="9"/>
        <v>-28</v>
      </c>
      <c r="AL56" s="28">
        <f t="shared" si="10"/>
        <v>12</v>
      </c>
      <c r="AM56">
        <f t="shared" si="11"/>
        <v>96</v>
      </c>
      <c r="AN56" s="29">
        <f t="shared" si="12"/>
        <v>40</v>
      </c>
      <c r="AO56" s="1">
        <f t="shared" si="13"/>
        <v>0</v>
      </c>
    </row>
    <row r="57" spans="1:41" ht="15.9">
      <c r="A57" s="1" t="s">
        <v>58</v>
      </c>
      <c r="B57" s="1" t="s">
        <v>59</v>
      </c>
      <c r="C57" s="290" t="s">
        <v>11</v>
      </c>
      <c r="D57" s="161"/>
      <c r="E57" s="204" t="s">
        <v>75</v>
      </c>
      <c r="F57" s="32" t="s">
        <v>75</v>
      </c>
      <c r="G57" s="33" t="s">
        <v>66</v>
      </c>
      <c r="H57" s="33" t="s">
        <v>66</v>
      </c>
      <c r="I57" s="32" t="s">
        <v>75</v>
      </c>
      <c r="J57" s="32" t="s">
        <v>75</v>
      </c>
      <c r="K57" s="32" t="s">
        <v>75</v>
      </c>
      <c r="L57" s="32" t="s">
        <v>75</v>
      </c>
      <c r="M57" s="32" t="s">
        <v>75</v>
      </c>
      <c r="N57" s="33" t="s">
        <v>66</v>
      </c>
      <c r="O57" s="33" t="s">
        <v>66</v>
      </c>
      <c r="P57" s="32" t="s">
        <v>75</v>
      </c>
      <c r="Q57" s="32" t="s">
        <v>75</v>
      </c>
      <c r="R57" s="32" t="s">
        <v>75</v>
      </c>
      <c r="S57" s="32" t="s">
        <v>75</v>
      </c>
      <c r="T57" s="32" t="s">
        <v>75</v>
      </c>
      <c r="U57" s="33" t="s">
        <v>66</v>
      </c>
      <c r="V57" s="33" t="s">
        <v>66</v>
      </c>
      <c r="W57" s="32" t="s">
        <v>75</v>
      </c>
      <c r="X57" s="32" t="s">
        <v>75</v>
      </c>
      <c r="Y57" s="32" t="s">
        <v>75</v>
      </c>
      <c r="Z57" s="32" t="s">
        <v>75</v>
      </c>
      <c r="AA57" s="32" t="s">
        <v>75</v>
      </c>
      <c r="AB57" s="33" t="s">
        <v>66</v>
      </c>
      <c r="AC57" s="33" t="s">
        <v>66</v>
      </c>
      <c r="AD57" s="32" t="s">
        <v>75</v>
      </c>
      <c r="AE57" s="32" t="s">
        <v>75</v>
      </c>
      <c r="AF57" s="32" t="s">
        <v>75</v>
      </c>
      <c r="AG57" s="32"/>
      <c r="AH57" s="32"/>
      <c r="AI57" s="493"/>
      <c r="AJ57" s="26" t="e">
        <f>_xlfn.CONCAT(#REF!,#REF!)</f>
        <v>#REF!</v>
      </c>
      <c r="AK57" s="27">
        <f t="shared" si="9"/>
        <v>-16</v>
      </c>
      <c r="AL57" s="28">
        <f t="shared" si="10"/>
        <v>0</v>
      </c>
      <c r="AM57">
        <f t="shared" si="11"/>
        <v>0</v>
      </c>
      <c r="AN57" s="29">
        <f t="shared" si="12"/>
        <v>160</v>
      </c>
      <c r="AO57" s="1">
        <f t="shared" si="13"/>
        <v>0</v>
      </c>
    </row>
    <row r="58" spans="1:41" ht="15.9">
      <c r="A58" s="1" t="s">
        <v>152</v>
      </c>
      <c r="B58" s="1" t="s">
        <v>64</v>
      </c>
      <c r="C58" s="291" t="s">
        <v>12</v>
      </c>
      <c r="D58" s="161"/>
      <c r="E58" s="204">
        <v>17</v>
      </c>
      <c r="F58" s="32" t="s">
        <v>98</v>
      </c>
      <c r="G58" s="33">
        <v>15</v>
      </c>
      <c r="H58" s="33"/>
      <c r="I58" s="32"/>
      <c r="J58" s="32"/>
      <c r="K58" s="32"/>
      <c r="L58" s="32"/>
      <c r="M58" s="32"/>
      <c r="N58" s="33"/>
      <c r="O58" s="33"/>
      <c r="P58" s="32">
        <v>17</v>
      </c>
      <c r="Q58" s="32" t="s">
        <v>98</v>
      </c>
      <c r="R58" s="32">
        <v>20</v>
      </c>
      <c r="S58" s="32"/>
      <c r="T58" s="32"/>
      <c r="U58" s="33"/>
      <c r="V58" s="33"/>
      <c r="W58" s="32"/>
      <c r="X58" s="32" t="s">
        <v>303</v>
      </c>
      <c r="Y58" s="32"/>
      <c r="Z58" s="32"/>
      <c r="AA58" s="32"/>
      <c r="AB58" s="33" t="s">
        <v>303</v>
      </c>
      <c r="AC58" s="33"/>
      <c r="AD58" s="32"/>
      <c r="AE58" s="32"/>
      <c r="AF58" s="32"/>
      <c r="AG58" s="32"/>
      <c r="AH58" s="32"/>
      <c r="AI58" s="493"/>
      <c r="AJ58" s="26" t="e">
        <f>_xlfn.CONCAT(#REF!,#REF!)</f>
        <v>#REF!</v>
      </c>
      <c r="AK58" s="27">
        <f t="shared" si="9"/>
        <v>-59</v>
      </c>
      <c r="AL58" s="28">
        <f t="shared" si="10"/>
        <v>0</v>
      </c>
      <c r="AM58">
        <f t="shared" si="11"/>
        <v>48</v>
      </c>
      <c r="AN58" s="29">
        <f t="shared" si="12"/>
        <v>69</v>
      </c>
      <c r="AO58" s="1">
        <f t="shared" si="13"/>
        <v>0</v>
      </c>
    </row>
    <row r="59" spans="1:41" ht="15.9">
      <c r="A59" s="1" t="s">
        <v>152</v>
      </c>
      <c r="B59" s="1" t="s">
        <v>93</v>
      </c>
      <c r="C59" s="291" t="s">
        <v>13</v>
      </c>
      <c r="D59" s="161"/>
      <c r="E59" s="204"/>
      <c r="F59" s="32"/>
      <c r="G59" s="33" t="s">
        <v>301</v>
      </c>
      <c r="H59" s="33"/>
      <c r="I59" s="32"/>
      <c r="J59" s="32"/>
      <c r="K59" s="32"/>
      <c r="L59" s="32">
        <v>10</v>
      </c>
      <c r="M59" s="32" t="s">
        <v>99</v>
      </c>
      <c r="N59" s="33">
        <v>20</v>
      </c>
      <c r="O59" s="33"/>
      <c r="P59" s="32">
        <v>8</v>
      </c>
      <c r="Q59" s="32" t="s">
        <v>98</v>
      </c>
      <c r="R59" s="32">
        <v>20</v>
      </c>
      <c r="S59" s="32"/>
      <c r="T59" s="32"/>
      <c r="U59" s="33"/>
      <c r="V59" s="33"/>
      <c r="W59" s="32"/>
      <c r="X59" s="32"/>
      <c r="Y59" s="32"/>
      <c r="Z59" s="32"/>
      <c r="AA59" s="32"/>
      <c r="AB59" s="33"/>
      <c r="AC59" s="33" t="s">
        <v>113</v>
      </c>
      <c r="AD59" s="32"/>
      <c r="AE59" s="32"/>
      <c r="AF59" s="32"/>
      <c r="AG59" s="32"/>
      <c r="AH59" s="32"/>
      <c r="AI59" s="493"/>
      <c r="AJ59" s="26" t="e">
        <f>_xlfn.CONCAT(#REF!,#REF!)</f>
        <v>#REF!</v>
      </c>
      <c r="AK59" s="27">
        <f t="shared" si="9"/>
        <v>-46</v>
      </c>
      <c r="AL59" s="28">
        <f t="shared" si="10"/>
        <v>24</v>
      </c>
      <c r="AM59">
        <f t="shared" si="11"/>
        <v>48</v>
      </c>
      <c r="AN59" s="29">
        <f t="shared" si="12"/>
        <v>58</v>
      </c>
      <c r="AO59" s="1">
        <f t="shared" si="13"/>
        <v>0</v>
      </c>
    </row>
    <row r="60" spans="1:41" ht="15.9">
      <c r="A60" s="1" t="s">
        <v>152</v>
      </c>
      <c r="B60" s="1" t="s">
        <v>73</v>
      </c>
      <c r="C60" s="291" t="s">
        <v>14</v>
      </c>
      <c r="D60" s="161"/>
      <c r="E60" s="204">
        <v>17</v>
      </c>
      <c r="F60" s="32" t="s">
        <v>98</v>
      </c>
      <c r="G60" s="33">
        <v>15</v>
      </c>
      <c r="H60" s="33"/>
      <c r="I60" s="32"/>
      <c r="J60" s="32"/>
      <c r="K60" s="32"/>
      <c r="L60" s="32"/>
      <c r="M60" s="32"/>
      <c r="N60" s="33"/>
      <c r="O60" s="33"/>
      <c r="P60" s="32">
        <v>17</v>
      </c>
      <c r="Q60" s="32" t="s">
        <v>98</v>
      </c>
      <c r="R60" s="32">
        <v>20</v>
      </c>
      <c r="S60" s="32"/>
      <c r="T60" s="32"/>
      <c r="U60" s="33"/>
      <c r="V60" s="33"/>
      <c r="W60" s="32"/>
      <c r="X60" s="32"/>
      <c r="Y60" s="32"/>
      <c r="Z60" s="32"/>
      <c r="AA60" s="32"/>
      <c r="AB60" s="33"/>
      <c r="AC60" s="33"/>
      <c r="AD60" s="32"/>
      <c r="AE60" s="32"/>
      <c r="AF60" s="32"/>
      <c r="AG60" s="32"/>
      <c r="AH60" s="32"/>
      <c r="AI60" s="493"/>
      <c r="AJ60" s="26" t="e">
        <f>_xlfn.CONCAT(#REF!,#REF!)</f>
        <v>#REF!</v>
      </c>
      <c r="AK60" s="27">
        <f t="shared" si="9"/>
        <v>-59</v>
      </c>
      <c r="AL60" s="28">
        <f t="shared" si="10"/>
        <v>0</v>
      </c>
      <c r="AM60">
        <f t="shared" si="11"/>
        <v>48</v>
      </c>
      <c r="AN60" s="29">
        <f t="shared" si="12"/>
        <v>69</v>
      </c>
      <c r="AO60" s="1">
        <f t="shared" si="13"/>
        <v>0</v>
      </c>
    </row>
    <row r="61" spans="1:41" ht="15.9">
      <c r="A61" s="1" t="s">
        <v>155</v>
      </c>
      <c r="B61" s="1" t="s">
        <v>64</v>
      </c>
      <c r="C61" s="290" t="s">
        <v>15</v>
      </c>
      <c r="D61" s="161"/>
      <c r="E61" s="204"/>
      <c r="F61" s="32"/>
      <c r="G61" s="33"/>
      <c r="H61" s="33"/>
      <c r="I61" s="32"/>
      <c r="J61" s="32"/>
      <c r="K61" s="32"/>
      <c r="L61" s="32"/>
      <c r="M61" s="32"/>
      <c r="N61" s="33"/>
      <c r="O61" s="33"/>
      <c r="P61" s="32"/>
      <c r="Q61" s="32"/>
      <c r="R61" s="32"/>
      <c r="S61" s="32"/>
      <c r="T61" s="32" t="s">
        <v>92</v>
      </c>
      <c r="U61" s="33" t="s">
        <v>95</v>
      </c>
      <c r="V61" s="33" t="s">
        <v>95</v>
      </c>
      <c r="W61" s="32" t="s">
        <v>95</v>
      </c>
      <c r="X61" s="32" t="s">
        <v>92</v>
      </c>
      <c r="Y61" s="32"/>
      <c r="Z61" s="32"/>
      <c r="AA61" s="32"/>
      <c r="AB61" s="33"/>
      <c r="AC61" s="33"/>
      <c r="AD61" s="32"/>
      <c r="AE61" s="32"/>
      <c r="AF61" s="32"/>
      <c r="AG61" s="32"/>
      <c r="AH61" s="32"/>
      <c r="AI61" s="493"/>
      <c r="AJ61" s="26" t="e">
        <f>_xlfn.CONCAT(#REF!,#REF!)</f>
        <v>#REF!</v>
      </c>
      <c r="AK61" s="27">
        <f t="shared" si="9"/>
        <v>-80</v>
      </c>
      <c r="AL61" s="28">
        <f t="shared" si="10"/>
        <v>0</v>
      </c>
      <c r="AM61">
        <f t="shared" si="11"/>
        <v>96</v>
      </c>
      <c r="AN61" s="29">
        <f t="shared" si="12"/>
        <v>0</v>
      </c>
      <c r="AO61" s="1">
        <f t="shared" si="13"/>
        <v>0</v>
      </c>
    </row>
    <row r="62" spans="1:41" ht="15.9">
      <c r="A62" s="1" t="s">
        <v>67</v>
      </c>
      <c r="B62" s="1" t="s">
        <v>64</v>
      </c>
      <c r="C62" s="290" t="s">
        <v>16</v>
      </c>
      <c r="D62" s="161"/>
      <c r="E62" s="204" t="s">
        <v>75</v>
      </c>
      <c r="F62" s="32" t="s">
        <v>75</v>
      </c>
      <c r="G62" s="33"/>
      <c r="H62" s="33"/>
      <c r="I62" s="32" t="s">
        <v>75</v>
      </c>
      <c r="J62" s="32" t="s">
        <v>75</v>
      </c>
      <c r="K62" s="32" t="s">
        <v>75</v>
      </c>
      <c r="L62" s="32" t="s">
        <v>75</v>
      </c>
      <c r="M62" s="32" t="s">
        <v>75</v>
      </c>
      <c r="N62" s="33"/>
      <c r="O62" s="33"/>
      <c r="P62" s="32"/>
      <c r="Q62" s="32"/>
      <c r="R62" s="32"/>
      <c r="S62" s="32" t="s">
        <v>301</v>
      </c>
      <c r="T62" s="32"/>
      <c r="U62" s="33"/>
      <c r="V62" s="33"/>
      <c r="W62" s="32"/>
      <c r="X62" s="32"/>
      <c r="Y62" s="32"/>
      <c r="Z62" s="32"/>
      <c r="AA62" s="32"/>
      <c r="AB62" s="33"/>
      <c r="AC62" s="33"/>
      <c r="AD62" s="32"/>
      <c r="AE62" s="32" t="s">
        <v>92</v>
      </c>
      <c r="AF62" s="32" t="s">
        <v>95</v>
      </c>
      <c r="AG62" s="32" t="s">
        <v>95</v>
      </c>
      <c r="AH62" s="32" t="s">
        <v>95</v>
      </c>
      <c r="AI62" s="493" t="s">
        <v>95</v>
      </c>
      <c r="AJ62" s="26" t="e">
        <f>_xlfn.CONCAT(#REF!,#REF!)</f>
        <v>#REF!</v>
      </c>
      <c r="AK62" s="27">
        <f t="shared" si="9"/>
        <v>-12</v>
      </c>
      <c r="AL62" s="28">
        <f t="shared" si="10"/>
        <v>0</v>
      </c>
      <c r="AM62">
        <f t="shared" si="11"/>
        <v>108</v>
      </c>
      <c r="AN62" s="29">
        <f t="shared" si="12"/>
        <v>56</v>
      </c>
      <c r="AO62" s="1">
        <f t="shared" si="13"/>
        <v>0</v>
      </c>
    </row>
    <row r="63" spans="1:41" ht="15.9">
      <c r="A63" s="1" t="s">
        <v>155</v>
      </c>
      <c r="B63" s="1" t="s">
        <v>93</v>
      </c>
      <c r="C63" s="290" t="s">
        <v>17</v>
      </c>
      <c r="D63" s="161"/>
      <c r="E63" s="204"/>
      <c r="F63" s="32" t="s">
        <v>75</v>
      </c>
      <c r="G63" s="33" t="s">
        <v>66</v>
      </c>
      <c r="H63" s="33" t="s">
        <v>66</v>
      </c>
      <c r="I63" s="32" t="s">
        <v>75</v>
      </c>
      <c r="J63" s="32" t="s">
        <v>75</v>
      </c>
      <c r="K63" s="32" t="s">
        <v>75</v>
      </c>
      <c r="L63" s="32" t="s">
        <v>75</v>
      </c>
      <c r="M63" s="32" t="s">
        <v>75</v>
      </c>
      <c r="N63" s="33" t="s">
        <v>66</v>
      </c>
      <c r="O63" s="33" t="s">
        <v>66</v>
      </c>
      <c r="P63" s="32" t="s">
        <v>75</v>
      </c>
      <c r="Q63" s="32" t="s">
        <v>75</v>
      </c>
      <c r="R63" s="32" t="s">
        <v>75</v>
      </c>
      <c r="S63" s="32"/>
      <c r="T63" s="32"/>
      <c r="U63" s="33"/>
      <c r="V63" s="33"/>
      <c r="W63" s="32"/>
      <c r="X63" s="32" t="s">
        <v>92</v>
      </c>
      <c r="Y63" s="32" t="s">
        <v>95</v>
      </c>
      <c r="Z63" s="32" t="s">
        <v>95</v>
      </c>
      <c r="AA63" s="32" t="s">
        <v>95</v>
      </c>
      <c r="AB63" s="33" t="s">
        <v>95</v>
      </c>
      <c r="AC63" s="33" t="s">
        <v>95</v>
      </c>
      <c r="AD63" s="32" t="s">
        <v>95</v>
      </c>
      <c r="AE63" s="32" t="s">
        <v>92</v>
      </c>
      <c r="AF63" s="32"/>
      <c r="AG63" s="32"/>
      <c r="AH63" s="32"/>
      <c r="AI63" s="493"/>
      <c r="AJ63" s="26" t="e">
        <f>_xlfn.CONCAT(#REF!,#REF!)</f>
        <v>#REF!</v>
      </c>
      <c r="AK63" s="27">
        <f t="shared" si="9"/>
        <v>64</v>
      </c>
      <c r="AL63" s="28">
        <f t="shared" si="10"/>
        <v>0</v>
      </c>
      <c r="AM63">
        <f t="shared" si="11"/>
        <v>168</v>
      </c>
      <c r="AN63" s="29">
        <f t="shared" si="12"/>
        <v>72</v>
      </c>
      <c r="AO63" s="1">
        <f t="shared" si="13"/>
        <v>0</v>
      </c>
    </row>
    <row r="64" spans="1:41" ht="15.9">
      <c r="A64" s="1" t="s">
        <v>155</v>
      </c>
      <c r="B64" s="1" t="s">
        <v>64</v>
      </c>
      <c r="C64" s="292" t="s">
        <v>18</v>
      </c>
      <c r="D64" s="161"/>
      <c r="E64" s="204" t="s">
        <v>101</v>
      </c>
      <c r="F64" s="32" t="s">
        <v>101</v>
      </c>
      <c r="G64" s="33" t="s">
        <v>101</v>
      </c>
      <c r="H64" s="33" t="s">
        <v>101</v>
      </c>
      <c r="I64" s="32" t="s">
        <v>101</v>
      </c>
      <c r="J64" s="32" t="s">
        <v>101</v>
      </c>
      <c r="K64" s="32" t="s">
        <v>101</v>
      </c>
      <c r="L64" s="32" t="s">
        <v>101</v>
      </c>
      <c r="M64" s="32" t="s">
        <v>101</v>
      </c>
      <c r="N64" s="33" t="s">
        <v>101</v>
      </c>
      <c r="O64" s="33" t="s">
        <v>101</v>
      </c>
      <c r="P64" s="32" t="s">
        <v>101</v>
      </c>
      <c r="Q64" s="32" t="s">
        <v>101</v>
      </c>
      <c r="R64" s="32" t="s">
        <v>101</v>
      </c>
      <c r="S64" s="32" t="s">
        <v>101</v>
      </c>
      <c r="T64" s="32" t="s">
        <v>101</v>
      </c>
      <c r="U64" s="33" t="s">
        <v>101</v>
      </c>
      <c r="V64" s="33" t="s">
        <v>101</v>
      </c>
      <c r="W64" s="32" t="s">
        <v>101</v>
      </c>
      <c r="X64" s="32" t="s">
        <v>101</v>
      </c>
      <c r="Y64" s="32" t="s">
        <v>101</v>
      </c>
      <c r="Z64" s="32" t="s">
        <v>101</v>
      </c>
      <c r="AA64" s="32" t="s">
        <v>101</v>
      </c>
      <c r="AB64" s="33" t="s">
        <v>101</v>
      </c>
      <c r="AC64" s="33" t="s">
        <v>101</v>
      </c>
      <c r="AD64" s="32" t="s">
        <v>101</v>
      </c>
      <c r="AE64" s="32" t="s">
        <v>101</v>
      </c>
      <c r="AF64" s="32" t="s">
        <v>101</v>
      </c>
      <c r="AG64" s="32" t="s">
        <v>101</v>
      </c>
      <c r="AH64" s="32" t="s">
        <v>101</v>
      </c>
      <c r="AI64" s="493" t="s">
        <v>101</v>
      </c>
      <c r="AJ64" s="26" t="e">
        <f>_xlfn.CONCAT(#REF!,#REF!)</f>
        <v>#REF!</v>
      </c>
      <c r="AK64" s="27">
        <v>0</v>
      </c>
      <c r="AL64" s="28">
        <f t="shared" si="10"/>
        <v>0</v>
      </c>
      <c r="AM64">
        <f t="shared" si="11"/>
        <v>0</v>
      </c>
      <c r="AN64" s="29">
        <f t="shared" si="12"/>
        <v>0</v>
      </c>
      <c r="AO64" s="1">
        <f t="shared" si="13"/>
        <v>0</v>
      </c>
    </row>
    <row r="65" spans="1:41" ht="15.9">
      <c r="A65" s="1" t="s">
        <v>157</v>
      </c>
      <c r="B65" s="1" t="s">
        <v>59</v>
      </c>
      <c r="C65" s="291" t="s">
        <v>19</v>
      </c>
      <c r="D65" s="161"/>
      <c r="E65" s="204"/>
      <c r="F65" s="32"/>
      <c r="G65" s="33"/>
      <c r="H65" s="33" t="s">
        <v>76</v>
      </c>
      <c r="I65" s="32"/>
      <c r="J65" s="32"/>
      <c r="K65" s="32"/>
      <c r="L65" s="32"/>
      <c r="M65" s="32"/>
      <c r="N65" s="33"/>
      <c r="O65" s="33"/>
      <c r="P65" s="32" t="s">
        <v>75</v>
      </c>
      <c r="Q65" s="32" t="s">
        <v>75</v>
      </c>
      <c r="R65" s="32" t="s">
        <v>75</v>
      </c>
      <c r="S65" s="32" t="s">
        <v>75</v>
      </c>
      <c r="T65" s="32" t="s">
        <v>75</v>
      </c>
      <c r="U65" s="33" t="s">
        <v>66</v>
      </c>
      <c r="V65" s="33" t="s">
        <v>66</v>
      </c>
      <c r="W65" s="32" t="s">
        <v>75</v>
      </c>
      <c r="X65" s="32" t="s">
        <v>75</v>
      </c>
      <c r="Y65" s="32" t="s">
        <v>75</v>
      </c>
      <c r="Z65" s="32" t="s">
        <v>75</v>
      </c>
      <c r="AA65" s="32" t="s">
        <v>75</v>
      </c>
      <c r="AB65" s="33" t="s">
        <v>66</v>
      </c>
      <c r="AC65" s="33" t="s">
        <v>66</v>
      </c>
      <c r="AD65" s="32" t="s">
        <v>75</v>
      </c>
      <c r="AE65" s="32" t="s">
        <v>75</v>
      </c>
      <c r="AF65" s="32" t="s">
        <v>75</v>
      </c>
      <c r="AG65" s="32" t="s">
        <v>75</v>
      </c>
      <c r="AH65" s="32" t="s">
        <v>75</v>
      </c>
      <c r="AI65" s="493"/>
      <c r="AJ65" s="26" t="e">
        <f>_xlfn.CONCAT(#REF!,#REF!)</f>
        <v>#REF!</v>
      </c>
      <c r="AK65" s="27">
        <f t="shared" ref="AK65:AK85" si="14">D65+AL65+AM65+AN65-$AK$48+AO65+AP65</f>
        <v>-44</v>
      </c>
      <c r="AL65" s="28">
        <f t="shared" si="10"/>
        <v>12</v>
      </c>
      <c r="AM65">
        <f t="shared" si="11"/>
        <v>0</v>
      </c>
      <c r="AN65" s="29">
        <f t="shared" si="12"/>
        <v>120</v>
      </c>
      <c r="AO65" s="1">
        <f t="shared" si="13"/>
        <v>0</v>
      </c>
    </row>
    <row r="66" spans="1:41" ht="15.9">
      <c r="A66" s="1" t="s">
        <v>152</v>
      </c>
      <c r="B66" s="1" t="s">
        <v>64</v>
      </c>
      <c r="C66" s="291" t="s">
        <v>20</v>
      </c>
      <c r="D66" s="161"/>
      <c r="E66" s="204"/>
      <c r="F66" s="32"/>
      <c r="G66" s="33"/>
      <c r="H66" s="33"/>
      <c r="I66" s="32" t="s">
        <v>66</v>
      </c>
      <c r="J66" s="32"/>
      <c r="K66" s="32"/>
      <c r="L66" s="32">
        <v>10</v>
      </c>
      <c r="M66" s="32" t="s">
        <v>98</v>
      </c>
      <c r="N66" s="33">
        <v>20</v>
      </c>
      <c r="O66" s="33"/>
      <c r="P66" s="32">
        <v>17</v>
      </c>
      <c r="Q66" s="32" t="s">
        <v>98</v>
      </c>
      <c r="R66" s="32">
        <v>20</v>
      </c>
      <c r="S66" s="32"/>
      <c r="T66" s="32"/>
      <c r="U66" s="33"/>
      <c r="V66" s="33"/>
      <c r="W66" s="32"/>
      <c r="X66" s="32" t="s">
        <v>113</v>
      </c>
      <c r="Y66" s="32"/>
      <c r="Z66" s="32"/>
      <c r="AA66" s="32"/>
      <c r="AB66" s="33"/>
      <c r="AC66" s="33" t="s">
        <v>301</v>
      </c>
      <c r="AD66" s="32"/>
      <c r="AE66" s="32"/>
      <c r="AF66" s="32"/>
      <c r="AG66" s="32"/>
      <c r="AH66" s="32"/>
      <c r="AI66" s="493" t="s">
        <v>303</v>
      </c>
      <c r="AJ66" s="26" t="e">
        <f>_xlfn.CONCAT(#REF!,#REF!)</f>
        <v>#REF!</v>
      </c>
      <c r="AK66" s="27">
        <f t="shared" si="14"/>
        <v>-37</v>
      </c>
      <c r="AL66" s="28">
        <f t="shared" si="10"/>
        <v>24</v>
      </c>
      <c r="AM66">
        <f t="shared" si="11"/>
        <v>48</v>
      </c>
      <c r="AN66" s="29">
        <f t="shared" si="12"/>
        <v>67</v>
      </c>
      <c r="AO66" s="1">
        <f t="shared" si="13"/>
        <v>0</v>
      </c>
    </row>
    <row r="67" spans="1:41" ht="15.9">
      <c r="A67" s="1" t="s">
        <v>152</v>
      </c>
      <c r="B67" s="1" t="s">
        <v>64</v>
      </c>
      <c r="C67" s="291" t="s">
        <v>21</v>
      </c>
      <c r="D67" s="161"/>
      <c r="E67" s="204"/>
      <c r="F67" s="32"/>
      <c r="G67" s="33" t="s">
        <v>113</v>
      </c>
      <c r="H67" s="33"/>
      <c r="I67" s="32"/>
      <c r="J67" s="32"/>
      <c r="K67" s="32"/>
      <c r="L67" s="32"/>
      <c r="M67" s="32"/>
      <c r="N67" s="33" t="s">
        <v>303</v>
      </c>
      <c r="O67" s="33"/>
      <c r="P67" s="32"/>
      <c r="Q67" s="32" t="s">
        <v>113</v>
      </c>
      <c r="R67" s="32"/>
      <c r="S67" s="32"/>
      <c r="T67" s="32" t="s">
        <v>303</v>
      </c>
      <c r="U67" s="33"/>
      <c r="V67" s="33"/>
      <c r="W67" s="32"/>
      <c r="X67" s="32"/>
      <c r="Y67" s="32"/>
      <c r="Z67" s="32"/>
      <c r="AA67" s="32" t="s">
        <v>66</v>
      </c>
      <c r="AB67" s="33" t="s">
        <v>66</v>
      </c>
      <c r="AC67" s="33" t="s">
        <v>66</v>
      </c>
      <c r="AD67" s="32" t="s">
        <v>66</v>
      </c>
      <c r="AE67" s="32" t="s">
        <v>66</v>
      </c>
      <c r="AF67" s="32" t="s">
        <v>59</v>
      </c>
      <c r="AG67" s="32"/>
      <c r="AH67" s="32"/>
      <c r="AI67" s="493" t="s">
        <v>113</v>
      </c>
      <c r="AJ67" s="26" t="e">
        <f>_xlfn.CONCAT(#REF!,#REF!)</f>
        <v>#REF!</v>
      </c>
      <c r="AK67" s="27">
        <f t="shared" si="14"/>
        <v>-80</v>
      </c>
      <c r="AL67" s="28">
        <f t="shared" si="10"/>
        <v>96</v>
      </c>
      <c r="AM67">
        <f t="shared" si="11"/>
        <v>0</v>
      </c>
      <c r="AN67" s="29">
        <f t="shared" si="12"/>
        <v>0</v>
      </c>
      <c r="AO67" s="1">
        <f t="shared" si="13"/>
        <v>0</v>
      </c>
    </row>
    <row r="68" spans="1:41" ht="15.9">
      <c r="A68" s="1" t="s">
        <v>155</v>
      </c>
      <c r="B68" s="1" t="s">
        <v>59</v>
      </c>
      <c r="C68" s="290" t="s">
        <v>22</v>
      </c>
      <c r="D68" s="161"/>
      <c r="E68" s="204" t="s">
        <v>95</v>
      </c>
      <c r="F68" s="32" t="s">
        <v>95</v>
      </c>
      <c r="G68" s="33" t="s">
        <v>95</v>
      </c>
      <c r="H68" s="33" t="s">
        <v>95</v>
      </c>
      <c r="I68" s="32" t="s">
        <v>95</v>
      </c>
      <c r="J68" s="32" t="s">
        <v>92</v>
      </c>
      <c r="K68" s="32"/>
      <c r="L68" s="32"/>
      <c r="M68" s="32"/>
      <c r="N68" s="33"/>
      <c r="O68" s="33"/>
      <c r="P68" s="32"/>
      <c r="Q68" s="32"/>
      <c r="R68" s="32"/>
      <c r="S68" s="32"/>
      <c r="T68" s="32"/>
      <c r="U68" s="33"/>
      <c r="V68" s="33"/>
      <c r="W68" s="32"/>
      <c r="X68" s="32"/>
      <c r="Y68" s="32"/>
      <c r="Z68" s="32"/>
      <c r="AA68" s="32"/>
      <c r="AB68" s="33"/>
      <c r="AC68" s="33"/>
      <c r="AD68" s="32"/>
      <c r="AE68" s="32" t="s">
        <v>92</v>
      </c>
      <c r="AF68" s="32" t="s">
        <v>95</v>
      </c>
      <c r="AG68" s="32" t="s">
        <v>95</v>
      </c>
      <c r="AH68" s="32" t="s">
        <v>95</v>
      </c>
      <c r="AI68" s="493" t="s">
        <v>95</v>
      </c>
      <c r="AJ68" s="26" t="e">
        <f>_xlfn.CONCAT(#REF!,#REF!)</f>
        <v>#REF!</v>
      </c>
      <c r="AK68" s="27">
        <f t="shared" si="14"/>
        <v>64</v>
      </c>
      <c r="AL68" s="28">
        <f t="shared" si="10"/>
        <v>0</v>
      </c>
      <c r="AM68">
        <f t="shared" si="11"/>
        <v>240</v>
      </c>
      <c r="AN68" s="29">
        <f t="shared" si="12"/>
        <v>0</v>
      </c>
      <c r="AO68" s="1">
        <f t="shared" si="13"/>
        <v>0</v>
      </c>
    </row>
    <row r="69" spans="1:41" ht="15.9">
      <c r="A69" s="1" t="s">
        <v>155</v>
      </c>
      <c r="B69" s="1" t="s">
        <v>59</v>
      </c>
      <c r="C69" s="290" t="s">
        <v>23</v>
      </c>
      <c r="D69" s="161"/>
      <c r="E69" s="204"/>
      <c r="F69" s="32"/>
      <c r="G69" s="33"/>
      <c r="H69" s="33"/>
      <c r="I69" s="32"/>
      <c r="J69" s="32"/>
      <c r="K69" s="32" t="s">
        <v>113</v>
      </c>
      <c r="L69" s="32"/>
      <c r="M69" s="32"/>
      <c r="N69" s="33"/>
      <c r="O69" s="33"/>
      <c r="P69" s="32" t="s">
        <v>75</v>
      </c>
      <c r="Q69" s="32" t="s">
        <v>75</v>
      </c>
      <c r="R69" s="32" t="s">
        <v>75</v>
      </c>
      <c r="S69" s="32" t="s">
        <v>75</v>
      </c>
      <c r="T69" s="32" t="s">
        <v>75</v>
      </c>
      <c r="U69" s="33"/>
      <c r="V69" s="33"/>
      <c r="W69" s="32"/>
      <c r="X69" s="32"/>
      <c r="Y69" s="32"/>
      <c r="Z69" s="32"/>
      <c r="AA69" s="32" t="s">
        <v>61</v>
      </c>
      <c r="AB69" s="33" t="s">
        <v>62</v>
      </c>
      <c r="AC69" s="33" t="s">
        <v>62</v>
      </c>
      <c r="AD69" s="32" t="s">
        <v>61</v>
      </c>
      <c r="AE69" s="32"/>
      <c r="AF69" s="32"/>
      <c r="AG69" s="32"/>
      <c r="AH69" s="32"/>
      <c r="AI69" s="493"/>
      <c r="AJ69" s="26" t="e">
        <f>_xlfn.CONCAT(#REF!,#REF!)</f>
        <v>#REF!</v>
      </c>
      <c r="AK69" s="27">
        <f t="shared" si="14"/>
        <v>-40</v>
      </c>
      <c r="AL69" s="28">
        <f t="shared" si="10"/>
        <v>24</v>
      </c>
      <c r="AM69">
        <f t="shared" si="11"/>
        <v>72</v>
      </c>
      <c r="AN69" s="29">
        <f t="shared" si="12"/>
        <v>40</v>
      </c>
      <c r="AO69" s="1">
        <f t="shared" si="13"/>
        <v>0</v>
      </c>
    </row>
    <row r="70" spans="1:41" ht="15.9">
      <c r="A70" s="1" t="s">
        <v>155</v>
      </c>
      <c r="B70" s="1" t="s">
        <v>64</v>
      </c>
      <c r="C70" s="290" t="s">
        <v>24</v>
      </c>
      <c r="D70" s="161"/>
      <c r="E70" s="204"/>
      <c r="F70" s="32"/>
      <c r="G70" s="33"/>
      <c r="H70" s="33"/>
      <c r="I70" s="32"/>
      <c r="J70" s="32"/>
      <c r="K70" s="32"/>
      <c r="L70" s="32" t="s">
        <v>301</v>
      </c>
      <c r="M70" s="32"/>
      <c r="N70" s="33"/>
      <c r="O70" s="33"/>
      <c r="P70" s="32" t="s">
        <v>301</v>
      </c>
      <c r="Q70" s="32"/>
      <c r="R70" s="32"/>
      <c r="S70" s="32"/>
      <c r="T70" s="32" t="s">
        <v>59</v>
      </c>
      <c r="U70" s="33"/>
      <c r="V70" s="33"/>
      <c r="W70" s="32" t="s">
        <v>69</v>
      </c>
      <c r="X70" s="32" t="s">
        <v>70</v>
      </c>
      <c r="Y70" s="32" t="s">
        <v>70</v>
      </c>
      <c r="Z70" s="32" t="s">
        <v>70</v>
      </c>
      <c r="AA70" s="32" t="s">
        <v>69</v>
      </c>
      <c r="AB70" s="33"/>
      <c r="AC70" s="33"/>
      <c r="AD70" s="32" t="s">
        <v>294</v>
      </c>
      <c r="AE70" s="32" t="s">
        <v>294</v>
      </c>
      <c r="AF70" s="32" t="s">
        <v>294</v>
      </c>
      <c r="AG70" s="32" t="s">
        <v>294</v>
      </c>
      <c r="AH70" s="32" t="s">
        <v>294</v>
      </c>
      <c r="AI70" s="493" t="s">
        <v>66</v>
      </c>
      <c r="AJ70" s="26" t="e">
        <f>_xlfn.CONCAT(#REF!,#REF!)</f>
        <v>#REF!</v>
      </c>
      <c r="AK70" s="27">
        <f t="shared" si="14"/>
        <v>-16</v>
      </c>
      <c r="AL70" s="28">
        <f t="shared" si="10"/>
        <v>24</v>
      </c>
      <c r="AM70">
        <f t="shared" si="11"/>
        <v>96</v>
      </c>
      <c r="AN70" s="29">
        <f t="shared" si="12"/>
        <v>40</v>
      </c>
      <c r="AO70" s="1">
        <f t="shared" si="13"/>
        <v>0</v>
      </c>
    </row>
    <row r="71" spans="1:41" ht="15.9">
      <c r="A71" s="1" t="s">
        <v>152</v>
      </c>
      <c r="B71" s="1" t="s">
        <v>73</v>
      </c>
      <c r="C71" s="291" t="s">
        <v>25</v>
      </c>
      <c r="D71" s="161"/>
      <c r="E71" s="204">
        <v>17</v>
      </c>
      <c r="F71" s="32" t="s">
        <v>98</v>
      </c>
      <c r="G71" s="33">
        <v>15</v>
      </c>
      <c r="H71" s="33"/>
      <c r="I71" s="32"/>
      <c r="J71" s="32"/>
      <c r="K71" s="32"/>
      <c r="L71" s="32"/>
      <c r="M71" s="32"/>
      <c r="N71" s="33"/>
      <c r="O71" s="33"/>
      <c r="P71" s="32">
        <v>17</v>
      </c>
      <c r="Q71" s="32" t="s">
        <v>98</v>
      </c>
      <c r="R71" s="32">
        <v>20</v>
      </c>
      <c r="S71" s="32"/>
      <c r="T71" s="32"/>
      <c r="U71" s="33"/>
      <c r="V71" s="33"/>
      <c r="W71" s="32"/>
      <c r="X71" s="32"/>
      <c r="Y71" s="32"/>
      <c r="Z71" s="32"/>
      <c r="AA71" s="32"/>
      <c r="AB71" s="33"/>
      <c r="AC71" s="33"/>
      <c r="AD71" s="32"/>
      <c r="AE71" s="32"/>
      <c r="AF71" s="32"/>
      <c r="AG71" s="32"/>
      <c r="AH71" s="32"/>
      <c r="AI71" s="493"/>
      <c r="AJ71" s="26" t="e">
        <f>_xlfn.CONCAT(#REF!,#REF!)</f>
        <v>#REF!</v>
      </c>
      <c r="AK71" s="27">
        <f t="shared" si="14"/>
        <v>-59</v>
      </c>
      <c r="AL71" s="28">
        <f t="shared" si="10"/>
        <v>0</v>
      </c>
      <c r="AM71">
        <f t="shared" si="11"/>
        <v>48</v>
      </c>
      <c r="AN71" s="29">
        <f t="shared" si="12"/>
        <v>69</v>
      </c>
      <c r="AO71" s="1">
        <f t="shared" si="13"/>
        <v>0</v>
      </c>
    </row>
    <row r="72" spans="1:41" ht="15.9">
      <c r="A72" s="1" t="s">
        <v>155</v>
      </c>
      <c r="B72" s="1" t="s">
        <v>59</v>
      </c>
      <c r="C72" s="290" t="s">
        <v>26</v>
      </c>
      <c r="D72" s="161"/>
      <c r="E72" s="204"/>
      <c r="F72" s="32"/>
      <c r="G72" s="33"/>
      <c r="H72" s="33"/>
      <c r="I72" s="32"/>
      <c r="J72" s="32" t="s">
        <v>92</v>
      </c>
      <c r="K72" s="32" t="s">
        <v>95</v>
      </c>
      <c r="L72" s="32" t="s">
        <v>95</v>
      </c>
      <c r="M72" s="32" t="s">
        <v>95</v>
      </c>
      <c r="N72" s="33" t="s">
        <v>95</v>
      </c>
      <c r="O72" s="33" t="s">
        <v>95</v>
      </c>
      <c r="P72" s="32" t="s">
        <v>95</v>
      </c>
      <c r="Q72" s="32" t="s">
        <v>92</v>
      </c>
      <c r="R72" s="32"/>
      <c r="S72" s="32"/>
      <c r="T72" s="32"/>
      <c r="U72" s="33"/>
      <c r="V72" s="33"/>
      <c r="W72" s="32"/>
      <c r="X72" s="32"/>
      <c r="Y72" s="32"/>
      <c r="Z72" s="32"/>
      <c r="AA72" s="32"/>
      <c r="AB72" s="33"/>
      <c r="AC72" s="33"/>
      <c r="AD72" s="32" t="s">
        <v>75</v>
      </c>
      <c r="AE72" s="32" t="s">
        <v>75</v>
      </c>
      <c r="AF72" s="32" t="s">
        <v>75</v>
      </c>
      <c r="AG72" s="32" t="s">
        <v>75</v>
      </c>
      <c r="AH72" s="32" t="s">
        <v>75</v>
      </c>
      <c r="AI72" s="493" t="s">
        <v>66</v>
      </c>
      <c r="AJ72" s="26" t="e">
        <f>_xlfn.CONCAT(#REF!,#REF!)</f>
        <v>#REF!</v>
      </c>
      <c r="AK72" s="27">
        <f t="shared" si="14"/>
        <v>32</v>
      </c>
      <c r="AL72" s="28">
        <f t="shared" si="10"/>
        <v>0</v>
      </c>
      <c r="AM72">
        <f t="shared" si="11"/>
        <v>168</v>
      </c>
      <c r="AN72" s="29">
        <f t="shared" si="12"/>
        <v>40</v>
      </c>
      <c r="AO72" s="1">
        <f t="shared" si="13"/>
        <v>0</v>
      </c>
    </row>
    <row r="73" spans="1:41" ht="15.9">
      <c r="A73" s="1" t="s">
        <v>152</v>
      </c>
      <c r="B73" s="1" t="s">
        <v>73</v>
      </c>
      <c r="C73" s="291" t="s">
        <v>27</v>
      </c>
      <c r="D73" s="161"/>
      <c r="E73" s="204"/>
      <c r="F73" s="32"/>
      <c r="G73" s="33"/>
      <c r="H73" s="33"/>
      <c r="I73" s="32"/>
      <c r="J73" s="32" t="s">
        <v>301</v>
      </c>
      <c r="K73" s="32"/>
      <c r="L73" s="32"/>
      <c r="M73" s="32"/>
      <c r="N73" s="33"/>
      <c r="O73" s="33"/>
      <c r="P73" s="32">
        <v>17</v>
      </c>
      <c r="Q73" s="32" t="s">
        <v>98</v>
      </c>
      <c r="R73" s="32">
        <v>20</v>
      </c>
      <c r="S73" s="32"/>
      <c r="T73" s="32"/>
      <c r="U73" s="33"/>
      <c r="V73" s="33"/>
      <c r="W73" s="32"/>
      <c r="X73" s="32"/>
      <c r="Y73" s="32"/>
      <c r="Z73" s="32"/>
      <c r="AA73" s="32"/>
      <c r="AB73" s="33"/>
      <c r="AC73" s="33" t="s">
        <v>76</v>
      </c>
      <c r="AD73" s="32"/>
      <c r="AE73" s="32" t="s">
        <v>301</v>
      </c>
      <c r="AF73" s="32"/>
      <c r="AG73" s="32"/>
      <c r="AH73" s="32"/>
      <c r="AI73" s="493"/>
      <c r="AJ73" s="26" t="e">
        <f>_xlfn.CONCAT(#REF!,#REF!)</f>
        <v>#REF!</v>
      </c>
      <c r="AK73" s="27">
        <f t="shared" si="14"/>
        <v>-103</v>
      </c>
      <c r="AL73" s="28">
        <f t="shared" si="10"/>
        <v>12</v>
      </c>
      <c r="AM73">
        <f t="shared" si="11"/>
        <v>24</v>
      </c>
      <c r="AN73" s="29">
        <f t="shared" si="12"/>
        <v>37</v>
      </c>
      <c r="AO73" s="1">
        <f t="shared" si="13"/>
        <v>0</v>
      </c>
    </row>
    <row r="74" spans="1:41" ht="15.9">
      <c r="A74" s="1" t="s">
        <v>155</v>
      </c>
      <c r="B74" s="1" t="s">
        <v>93</v>
      </c>
      <c r="C74" s="290" t="s">
        <v>28</v>
      </c>
      <c r="D74" s="161"/>
      <c r="E74" s="204"/>
      <c r="F74" s="32"/>
      <c r="G74" s="33"/>
      <c r="H74" s="33"/>
      <c r="I74" s="32"/>
      <c r="J74" s="32" t="s">
        <v>92</v>
      </c>
      <c r="K74" s="32" t="s">
        <v>95</v>
      </c>
      <c r="L74" s="32" t="s">
        <v>95</v>
      </c>
      <c r="M74" s="32" t="s">
        <v>95</v>
      </c>
      <c r="N74" s="33" t="s">
        <v>95</v>
      </c>
      <c r="O74" s="33" t="s">
        <v>95</v>
      </c>
      <c r="P74" s="32" t="s">
        <v>95</v>
      </c>
      <c r="Q74" s="32" t="s">
        <v>92</v>
      </c>
      <c r="R74" s="32"/>
      <c r="S74" s="32"/>
      <c r="T74" s="32"/>
      <c r="U74" s="33"/>
      <c r="V74" s="33"/>
      <c r="W74" s="32"/>
      <c r="X74" s="32"/>
      <c r="Y74" s="32"/>
      <c r="Z74" s="32"/>
      <c r="AA74" s="32"/>
      <c r="AB74" s="33"/>
      <c r="AC74" s="33"/>
      <c r="AD74" s="32" t="s">
        <v>75</v>
      </c>
      <c r="AE74" s="32" t="s">
        <v>75</v>
      </c>
      <c r="AF74" s="32" t="s">
        <v>75</v>
      </c>
      <c r="AG74" s="32" t="s">
        <v>75</v>
      </c>
      <c r="AH74" s="32" t="s">
        <v>75</v>
      </c>
      <c r="AI74" s="493" t="s">
        <v>66</v>
      </c>
      <c r="AJ74" s="26" t="e">
        <f>_xlfn.CONCAT(#REF!,#REF!)</f>
        <v>#REF!</v>
      </c>
      <c r="AK74" s="27">
        <f t="shared" si="14"/>
        <v>32</v>
      </c>
      <c r="AL74" s="28">
        <f t="shared" si="10"/>
        <v>0</v>
      </c>
      <c r="AM74">
        <f t="shared" si="11"/>
        <v>168</v>
      </c>
      <c r="AN74" s="29">
        <f t="shared" si="12"/>
        <v>40</v>
      </c>
      <c r="AO74" s="1">
        <f t="shared" si="13"/>
        <v>0</v>
      </c>
    </row>
    <row r="75" spans="1:41" ht="15.9">
      <c r="A75" s="1" t="s">
        <v>152</v>
      </c>
      <c r="B75" s="1" t="s">
        <v>59</v>
      </c>
      <c r="C75" s="291" t="s">
        <v>160</v>
      </c>
      <c r="D75" s="161"/>
      <c r="E75" s="204">
        <v>17</v>
      </c>
      <c r="F75" s="32" t="s">
        <v>98</v>
      </c>
      <c r="G75" s="33">
        <v>15</v>
      </c>
      <c r="H75" s="33"/>
      <c r="I75" s="32"/>
      <c r="J75" s="32"/>
      <c r="K75" s="32"/>
      <c r="L75" s="32"/>
      <c r="M75" s="32"/>
      <c r="N75" s="33"/>
      <c r="O75" s="33"/>
      <c r="P75" s="32" t="s">
        <v>75</v>
      </c>
      <c r="Q75" s="32" t="s">
        <v>75</v>
      </c>
      <c r="R75" s="32" t="s">
        <v>75</v>
      </c>
      <c r="S75" s="32" t="s">
        <v>75</v>
      </c>
      <c r="T75" s="32" t="s">
        <v>75</v>
      </c>
      <c r="U75" s="33" t="s">
        <v>66</v>
      </c>
      <c r="V75" s="33" t="s">
        <v>66</v>
      </c>
      <c r="W75" s="32" t="s">
        <v>75</v>
      </c>
      <c r="X75" s="32" t="s">
        <v>75</v>
      </c>
      <c r="Y75" s="32" t="s">
        <v>75</v>
      </c>
      <c r="Z75" s="32" t="s">
        <v>75</v>
      </c>
      <c r="AA75" s="32" t="s">
        <v>75</v>
      </c>
      <c r="AB75" s="33" t="s">
        <v>66</v>
      </c>
      <c r="AC75" s="33" t="s">
        <v>66</v>
      </c>
      <c r="AD75" s="32" t="s">
        <v>75</v>
      </c>
      <c r="AE75" s="32" t="s">
        <v>75</v>
      </c>
      <c r="AF75" s="32" t="s">
        <v>75</v>
      </c>
      <c r="AG75" s="32" t="s">
        <v>75</v>
      </c>
      <c r="AH75" s="32" t="s">
        <v>75</v>
      </c>
      <c r="AI75" s="493"/>
      <c r="AJ75" s="26" t="e">
        <f>_xlfn.CONCAT(#REF!,#REF!)</f>
        <v>#REF!</v>
      </c>
      <c r="AK75" s="27">
        <f t="shared" si="14"/>
        <v>0</v>
      </c>
      <c r="AL75" s="28">
        <f t="shared" si="10"/>
        <v>0</v>
      </c>
      <c r="AM75">
        <f t="shared" si="11"/>
        <v>24</v>
      </c>
      <c r="AN75" s="29">
        <f t="shared" si="12"/>
        <v>152</v>
      </c>
      <c r="AO75" s="1">
        <f t="shared" si="13"/>
        <v>0</v>
      </c>
    </row>
    <row r="76" spans="1:41" ht="15.9">
      <c r="A76" s="1" t="s">
        <v>155</v>
      </c>
      <c r="B76" s="1" t="s">
        <v>73</v>
      </c>
      <c r="C76" s="290" t="s">
        <v>29</v>
      </c>
      <c r="D76" s="161"/>
      <c r="E76" s="204" t="s">
        <v>95</v>
      </c>
      <c r="F76" s="32" t="s">
        <v>95</v>
      </c>
      <c r="G76" s="33" t="s">
        <v>95</v>
      </c>
      <c r="H76" s="33" t="s">
        <v>95</v>
      </c>
      <c r="I76" s="32" t="s">
        <v>95</v>
      </c>
      <c r="J76" s="32" t="s">
        <v>92</v>
      </c>
      <c r="K76" s="32"/>
      <c r="L76" s="32"/>
      <c r="M76" s="32"/>
      <c r="N76" s="33"/>
      <c r="O76" s="33"/>
      <c r="P76" s="32"/>
      <c r="Q76" s="32" t="s">
        <v>301</v>
      </c>
      <c r="R76" s="32"/>
      <c r="S76" s="32"/>
      <c r="T76" s="32"/>
      <c r="U76" s="33"/>
      <c r="V76" s="33"/>
      <c r="W76" s="32"/>
      <c r="X76" s="32"/>
      <c r="Y76" s="32"/>
      <c r="Z76" s="32"/>
      <c r="AA76" s="32"/>
      <c r="AB76" s="33"/>
      <c r="AC76" s="33"/>
      <c r="AD76" s="32"/>
      <c r="AE76" s="32"/>
      <c r="AF76" s="32"/>
      <c r="AG76" s="32"/>
      <c r="AH76" s="32"/>
      <c r="AI76" s="493"/>
      <c r="AJ76" s="26" t="e">
        <f>_xlfn.CONCAT(#REF!,#REF!)</f>
        <v>#REF!</v>
      </c>
      <c r="AK76" s="27">
        <f t="shared" si="14"/>
        <v>-44</v>
      </c>
      <c r="AL76" s="28">
        <f t="shared" si="10"/>
        <v>0</v>
      </c>
      <c r="AM76">
        <f t="shared" si="11"/>
        <v>132</v>
      </c>
      <c r="AN76" s="29">
        <f t="shared" si="12"/>
        <v>0</v>
      </c>
      <c r="AO76" s="1">
        <f t="shared" si="13"/>
        <v>0</v>
      </c>
    </row>
    <row r="77" spans="1:41" ht="15.9">
      <c r="A77" s="1" t="s">
        <v>155</v>
      </c>
      <c r="B77" s="1" t="s">
        <v>59</v>
      </c>
      <c r="C77" s="290" t="s">
        <v>30</v>
      </c>
      <c r="D77" s="161"/>
      <c r="E77" s="204"/>
      <c r="F77" s="32"/>
      <c r="G77" s="33"/>
      <c r="H77" s="33"/>
      <c r="I77" s="32" t="s">
        <v>75</v>
      </c>
      <c r="J77" s="32" t="s">
        <v>75</v>
      </c>
      <c r="K77" s="32" t="s">
        <v>75</v>
      </c>
      <c r="L77" s="32" t="s">
        <v>75</v>
      </c>
      <c r="M77" s="32" t="s">
        <v>75</v>
      </c>
      <c r="N77" s="33" t="s">
        <v>66</v>
      </c>
      <c r="O77" s="33" t="s">
        <v>66</v>
      </c>
      <c r="P77" s="32"/>
      <c r="Q77" s="32"/>
      <c r="R77" s="32"/>
      <c r="S77" s="32"/>
      <c r="T77" s="32" t="s">
        <v>153</v>
      </c>
      <c r="U77" s="33" t="s">
        <v>154</v>
      </c>
      <c r="V77" s="33" t="s">
        <v>154</v>
      </c>
      <c r="W77" s="32" t="s">
        <v>154</v>
      </c>
      <c r="X77" s="32" t="s">
        <v>153</v>
      </c>
      <c r="Y77" s="32"/>
      <c r="Z77" s="32"/>
      <c r="AA77" s="32"/>
      <c r="AB77" s="33"/>
      <c r="AC77" s="33"/>
      <c r="AD77" s="32"/>
      <c r="AE77" s="32"/>
      <c r="AF77" s="32"/>
      <c r="AG77" s="32"/>
      <c r="AH77" s="32"/>
      <c r="AI77" s="493"/>
      <c r="AJ77" s="26" t="e">
        <f>_xlfn.CONCAT(#REF!,#REF!)</f>
        <v>#REF!</v>
      </c>
      <c r="AK77" s="27">
        <f t="shared" si="14"/>
        <v>-40</v>
      </c>
      <c r="AL77" s="28">
        <f t="shared" si="10"/>
        <v>0</v>
      </c>
      <c r="AM77">
        <f t="shared" si="11"/>
        <v>96</v>
      </c>
      <c r="AN77" s="29">
        <f t="shared" si="12"/>
        <v>40</v>
      </c>
      <c r="AO77" s="1">
        <f t="shared" si="13"/>
        <v>0</v>
      </c>
    </row>
    <row r="78" spans="1:41" ht="15.9">
      <c r="A78" s="1" t="s">
        <v>155</v>
      </c>
      <c r="B78" s="1" t="s">
        <v>73</v>
      </c>
      <c r="C78" s="290" t="s">
        <v>31</v>
      </c>
      <c r="D78" s="161"/>
      <c r="E78" s="204" t="s">
        <v>75</v>
      </c>
      <c r="F78" s="32" t="s">
        <v>75</v>
      </c>
      <c r="G78" s="33" t="s">
        <v>75</v>
      </c>
      <c r="H78" s="33" t="s">
        <v>75</v>
      </c>
      <c r="I78" s="32" t="s">
        <v>75</v>
      </c>
      <c r="J78" s="32" t="s">
        <v>75</v>
      </c>
      <c r="K78" s="32" t="s">
        <v>75</v>
      </c>
      <c r="L78" s="32" t="s">
        <v>75</v>
      </c>
      <c r="M78" s="32" t="s">
        <v>75</v>
      </c>
      <c r="N78" s="33"/>
      <c r="O78" s="33"/>
      <c r="P78" s="32"/>
      <c r="Q78" s="32"/>
      <c r="R78" s="32"/>
      <c r="S78" s="32"/>
      <c r="T78" s="32"/>
      <c r="U78" s="33"/>
      <c r="V78" s="33"/>
      <c r="W78" s="32"/>
      <c r="X78" s="32" t="s">
        <v>92</v>
      </c>
      <c r="Y78" s="32" t="s">
        <v>95</v>
      </c>
      <c r="Z78" s="32" t="s">
        <v>95</v>
      </c>
      <c r="AA78" s="32" t="s">
        <v>95</v>
      </c>
      <c r="AB78" s="33" t="s">
        <v>95</v>
      </c>
      <c r="AC78" s="33" t="s">
        <v>95</v>
      </c>
      <c r="AD78" s="32" t="s">
        <v>95</v>
      </c>
      <c r="AE78" s="32" t="s">
        <v>92</v>
      </c>
      <c r="AF78" s="32"/>
      <c r="AG78" s="32"/>
      <c r="AH78" s="32"/>
      <c r="AI78" s="493"/>
      <c r="AJ78" s="26" t="e">
        <f>_xlfn.CONCAT(#REF!,#REF!)</f>
        <v>#REF!</v>
      </c>
      <c r="AK78" s="27">
        <f t="shared" si="14"/>
        <v>64</v>
      </c>
      <c r="AL78" s="28">
        <f t="shared" si="10"/>
        <v>0</v>
      </c>
      <c r="AM78">
        <f t="shared" si="11"/>
        <v>168</v>
      </c>
      <c r="AN78" s="29">
        <f t="shared" si="12"/>
        <v>72</v>
      </c>
      <c r="AO78" s="1">
        <f t="shared" si="13"/>
        <v>0</v>
      </c>
    </row>
    <row r="79" spans="1:41" ht="15.9">
      <c r="A79" s="1" t="s">
        <v>157</v>
      </c>
      <c r="B79" s="1" t="s">
        <v>64</v>
      </c>
      <c r="C79" s="292" t="s">
        <v>32</v>
      </c>
      <c r="D79" s="161"/>
      <c r="E79" s="204"/>
      <c r="F79" s="32"/>
      <c r="G79" s="33"/>
      <c r="H79" s="33" t="s">
        <v>76</v>
      </c>
      <c r="I79" s="32"/>
      <c r="J79" s="32" t="s">
        <v>92</v>
      </c>
      <c r="K79" s="32" t="s">
        <v>95</v>
      </c>
      <c r="L79" s="32" t="s">
        <v>95</v>
      </c>
      <c r="M79" s="32" t="s">
        <v>95</v>
      </c>
      <c r="N79" s="33" t="s">
        <v>95</v>
      </c>
      <c r="O79" s="33" t="s">
        <v>95</v>
      </c>
      <c r="P79" s="32" t="s">
        <v>95</v>
      </c>
      <c r="Q79" s="32" t="s">
        <v>92</v>
      </c>
      <c r="R79" s="32"/>
      <c r="S79" s="32"/>
      <c r="T79" s="32"/>
      <c r="U79" s="33"/>
      <c r="V79" s="33"/>
      <c r="W79" s="32"/>
      <c r="X79" s="32"/>
      <c r="Y79" s="32"/>
      <c r="Z79" s="32"/>
      <c r="AA79" s="32" t="s">
        <v>69</v>
      </c>
      <c r="AB79" s="33" t="s">
        <v>62</v>
      </c>
      <c r="AC79" s="33" t="s">
        <v>62</v>
      </c>
      <c r="AD79" s="32" t="s">
        <v>61</v>
      </c>
      <c r="AE79" s="32"/>
      <c r="AF79" s="32"/>
      <c r="AG79" s="32"/>
      <c r="AH79" s="32"/>
      <c r="AI79" s="493" t="s">
        <v>76</v>
      </c>
      <c r="AJ79" s="26" t="e">
        <f>_xlfn.CONCAT(#REF!,#REF!)</f>
        <v>#REF!</v>
      </c>
      <c r="AK79" s="27">
        <f t="shared" si="14"/>
        <v>88</v>
      </c>
      <c r="AL79" s="28">
        <f t="shared" si="10"/>
        <v>24</v>
      </c>
      <c r="AM79">
        <f t="shared" si="11"/>
        <v>240</v>
      </c>
      <c r="AN79" s="29">
        <f t="shared" si="12"/>
        <v>0</v>
      </c>
      <c r="AO79" s="1">
        <f t="shared" si="13"/>
        <v>0</v>
      </c>
    </row>
    <row r="80" spans="1:41" ht="15.9">
      <c r="A80" s="1" t="s">
        <v>155</v>
      </c>
      <c r="B80" s="1" t="s">
        <v>73</v>
      </c>
      <c r="C80" s="298" t="s">
        <v>33</v>
      </c>
      <c r="D80" s="161"/>
      <c r="E80" s="204"/>
      <c r="F80" s="32" t="s">
        <v>75</v>
      </c>
      <c r="G80" s="33" t="s">
        <v>66</v>
      </c>
      <c r="H80" s="33" t="s">
        <v>66</v>
      </c>
      <c r="I80" s="32" t="s">
        <v>75</v>
      </c>
      <c r="J80" s="32" t="s">
        <v>75</v>
      </c>
      <c r="K80" s="32" t="s">
        <v>75</v>
      </c>
      <c r="L80" s="32" t="s">
        <v>75</v>
      </c>
      <c r="M80" s="32" t="s">
        <v>75</v>
      </c>
      <c r="N80" s="33" t="s">
        <v>66</v>
      </c>
      <c r="O80" s="33" t="s">
        <v>66</v>
      </c>
      <c r="P80" s="32" t="s">
        <v>75</v>
      </c>
      <c r="Q80" s="32" t="s">
        <v>75</v>
      </c>
      <c r="R80" s="32" t="s">
        <v>75</v>
      </c>
      <c r="S80" s="32" t="s">
        <v>75</v>
      </c>
      <c r="T80" s="32" t="s">
        <v>75</v>
      </c>
      <c r="U80" s="33" t="s">
        <v>66</v>
      </c>
      <c r="V80" s="33" t="s">
        <v>66</v>
      </c>
      <c r="W80" s="32" t="s">
        <v>75</v>
      </c>
      <c r="X80" s="32" t="s">
        <v>75</v>
      </c>
      <c r="Y80" s="32" t="s">
        <v>75</v>
      </c>
      <c r="Z80" s="32" t="s">
        <v>75</v>
      </c>
      <c r="AA80" s="32" t="s">
        <v>75</v>
      </c>
      <c r="AB80" s="33" t="s">
        <v>66</v>
      </c>
      <c r="AC80" s="33" t="s">
        <v>66</v>
      </c>
      <c r="AD80" s="32" t="s">
        <v>75</v>
      </c>
      <c r="AE80" s="32" t="s">
        <v>75</v>
      </c>
      <c r="AF80" s="32" t="s">
        <v>75</v>
      </c>
      <c r="AG80" s="32" t="s">
        <v>75</v>
      </c>
      <c r="AH80" s="32" t="s">
        <v>75</v>
      </c>
      <c r="AI80" s="493"/>
      <c r="AJ80" s="26" t="e">
        <f>_xlfn.CONCAT(#REF!,#REF!)</f>
        <v>#REF!</v>
      </c>
      <c r="AK80" s="27">
        <f t="shared" si="14"/>
        <v>-8</v>
      </c>
      <c r="AL80" s="28">
        <f t="shared" si="10"/>
        <v>0</v>
      </c>
      <c r="AM80">
        <f t="shared" si="11"/>
        <v>0</v>
      </c>
      <c r="AN80" s="29">
        <f t="shared" si="12"/>
        <v>168</v>
      </c>
      <c r="AO80" s="1">
        <f t="shared" si="13"/>
        <v>0</v>
      </c>
    </row>
    <row r="81" spans="1:42" ht="15.9">
      <c r="A81" s="1" t="s">
        <v>152</v>
      </c>
      <c r="B81" s="1" t="s">
        <v>64</v>
      </c>
      <c r="C81" s="292" t="s">
        <v>34</v>
      </c>
      <c r="D81" s="161"/>
      <c r="E81" s="204" t="s">
        <v>75</v>
      </c>
      <c r="F81" s="32" t="s">
        <v>75</v>
      </c>
      <c r="G81" s="33" t="s">
        <v>66</v>
      </c>
      <c r="H81" s="33" t="s">
        <v>66</v>
      </c>
      <c r="I81" s="32" t="s">
        <v>75</v>
      </c>
      <c r="J81" s="32" t="s">
        <v>75</v>
      </c>
      <c r="K81" s="32" t="s">
        <v>75</v>
      </c>
      <c r="L81" s="32" t="s">
        <v>75</v>
      </c>
      <c r="M81" s="32" t="s">
        <v>75</v>
      </c>
      <c r="N81" s="33"/>
      <c r="O81" s="33" t="s">
        <v>301</v>
      </c>
      <c r="P81" s="32"/>
      <c r="Q81" s="32"/>
      <c r="R81" s="32" t="s">
        <v>301</v>
      </c>
      <c r="S81" s="32"/>
      <c r="T81" s="32"/>
      <c r="U81" s="33" t="s">
        <v>59</v>
      </c>
      <c r="V81" s="33"/>
      <c r="W81" s="32"/>
      <c r="X81" s="32"/>
      <c r="Y81" s="32"/>
      <c r="Z81" s="32"/>
      <c r="AA81" s="32"/>
      <c r="AB81" s="33"/>
      <c r="AC81" s="33"/>
      <c r="AD81" s="32"/>
      <c r="AE81" s="32" t="s">
        <v>153</v>
      </c>
      <c r="AF81" s="32" t="s">
        <v>154</v>
      </c>
      <c r="AG81" s="32" t="s">
        <v>154</v>
      </c>
      <c r="AH81" s="32" t="s">
        <v>154</v>
      </c>
      <c r="AI81" s="493" t="s">
        <v>154</v>
      </c>
      <c r="AJ81" s="26" t="e">
        <f>_xlfn.CONCAT(#REF!,#REF!)</f>
        <v>#REF!</v>
      </c>
      <c r="AK81" s="27">
        <f t="shared" si="14"/>
        <v>12</v>
      </c>
      <c r="AL81" s="28">
        <f t="shared" ref="AL81:AL100" si="15">COUNTIF(E81:AI81,"D")*24+COUNTIF(E81:AI81,"12g")*12</f>
        <v>24</v>
      </c>
      <c r="AM81">
        <f t="shared" ref="AM81:AM100" si="16">SUM(COUNTIF(E81:AI81,"k")+COUNTIF(E81:AI81,"s")+COUNTIF(E81:AI81,"wse"))*24+SUM(COUNTIF(E81:AI81,"Pk")+COUNTIF(E81:AI81,"Ps"))*12</f>
        <v>108</v>
      </c>
      <c r="AN81" s="29">
        <f t="shared" ref="AN81:AN100" si="17">SUM(E81:AI81)+COUNTIF(E81:AI81,"uw")*8+COUNTIF(E81:AI81,"us")*8+COUNTIF(E81:AI81,"uz")*8</f>
        <v>56</v>
      </c>
      <c r="AO81" s="1">
        <f t="shared" ref="AO81:AO100" si="18">COUNTIF(E81:AI81,"DT")*8</f>
        <v>0</v>
      </c>
    </row>
    <row r="82" spans="1:42" ht="15.9">
      <c r="A82" s="1" t="s">
        <v>156</v>
      </c>
      <c r="B82" s="1" t="s">
        <v>64</v>
      </c>
      <c r="C82" s="292" t="s">
        <v>35</v>
      </c>
      <c r="D82" s="161"/>
      <c r="E82" s="204"/>
      <c r="F82" s="32"/>
      <c r="G82" s="33"/>
      <c r="H82" s="33" t="s">
        <v>76</v>
      </c>
      <c r="I82" s="32" t="s">
        <v>113</v>
      </c>
      <c r="J82" s="32"/>
      <c r="K82" s="32"/>
      <c r="L82" s="32" t="s">
        <v>323</v>
      </c>
      <c r="M82" s="32"/>
      <c r="N82" s="33" t="s">
        <v>76</v>
      </c>
      <c r="O82" s="33"/>
      <c r="P82" s="32"/>
      <c r="Q82" s="32" t="s">
        <v>92</v>
      </c>
      <c r="R82" s="32" t="s">
        <v>95</v>
      </c>
      <c r="S82" s="32" t="s">
        <v>95</v>
      </c>
      <c r="T82" s="32" t="s">
        <v>92</v>
      </c>
      <c r="U82" s="33"/>
      <c r="V82" s="33"/>
      <c r="W82" s="32"/>
      <c r="X82" s="32"/>
      <c r="Y82" s="32"/>
      <c r="Z82" s="32" t="s">
        <v>113</v>
      </c>
      <c r="AA82" s="32"/>
      <c r="AB82" s="33" t="s">
        <v>66</v>
      </c>
      <c r="AC82" s="33" t="s">
        <v>66</v>
      </c>
      <c r="AD82" s="32"/>
      <c r="AE82" s="32"/>
      <c r="AF82" s="32"/>
      <c r="AG82" s="32"/>
      <c r="AH82" s="32"/>
      <c r="AI82" s="493" t="s">
        <v>76</v>
      </c>
      <c r="AJ82" s="26" t="e">
        <f>_xlfn.CONCAT(#REF!,#REF!)</f>
        <v>#REF!</v>
      </c>
      <c r="AK82" s="27">
        <f t="shared" si="14"/>
        <v>-20</v>
      </c>
      <c r="AL82" s="28">
        <f t="shared" si="15"/>
        <v>84</v>
      </c>
      <c r="AM82">
        <f t="shared" si="16"/>
        <v>72</v>
      </c>
      <c r="AN82" s="29">
        <f t="shared" si="17"/>
        <v>0</v>
      </c>
      <c r="AO82" s="1">
        <f t="shared" si="18"/>
        <v>0</v>
      </c>
    </row>
    <row r="83" spans="1:42" ht="15.9">
      <c r="A83" s="1" t="s">
        <v>156</v>
      </c>
      <c r="B83" s="1" t="s">
        <v>59</v>
      </c>
      <c r="C83" s="292" t="s">
        <v>36</v>
      </c>
      <c r="D83" s="161"/>
      <c r="E83" s="204"/>
      <c r="F83" s="32"/>
      <c r="G83" s="33"/>
      <c r="H83" s="33"/>
      <c r="I83" s="32"/>
      <c r="J83" s="32" t="s">
        <v>153</v>
      </c>
      <c r="K83" s="32" t="s">
        <v>154</v>
      </c>
      <c r="L83" s="32" t="s">
        <v>154</v>
      </c>
      <c r="M83" s="32" t="s">
        <v>153</v>
      </c>
      <c r="N83" s="33"/>
      <c r="O83" s="33"/>
      <c r="P83" s="32" t="s">
        <v>75</v>
      </c>
      <c r="Q83" s="32" t="s">
        <v>75</v>
      </c>
      <c r="R83" s="32" t="s">
        <v>75</v>
      </c>
      <c r="S83" s="32" t="s">
        <v>75</v>
      </c>
      <c r="T83" s="32" t="s">
        <v>75</v>
      </c>
      <c r="U83" s="33"/>
      <c r="V83" s="33"/>
      <c r="W83" s="32"/>
      <c r="X83" s="32"/>
      <c r="Y83" s="32"/>
      <c r="Z83" s="32"/>
      <c r="AA83" s="32"/>
      <c r="AB83" s="33"/>
      <c r="AC83" s="33" t="s">
        <v>76</v>
      </c>
      <c r="AD83" s="32"/>
      <c r="AE83" s="32"/>
      <c r="AF83" s="32"/>
      <c r="AG83" s="32"/>
      <c r="AH83" s="32"/>
      <c r="AI83" s="493" t="s">
        <v>66</v>
      </c>
      <c r="AJ83" s="26" t="e">
        <f>_xlfn.CONCAT(#REF!,#REF!)</f>
        <v>#REF!</v>
      </c>
      <c r="AK83" s="27">
        <f t="shared" si="14"/>
        <v>-52</v>
      </c>
      <c r="AL83" s="28">
        <f t="shared" si="15"/>
        <v>12</v>
      </c>
      <c r="AM83">
        <f t="shared" si="16"/>
        <v>72</v>
      </c>
      <c r="AN83" s="29">
        <f t="shared" si="17"/>
        <v>40</v>
      </c>
      <c r="AO83" s="1">
        <f t="shared" si="18"/>
        <v>0</v>
      </c>
    </row>
    <row r="84" spans="1:42" ht="15.9">
      <c r="A84" s="1" t="s">
        <v>152</v>
      </c>
      <c r="B84" s="1" t="s">
        <v>93</v>
      </c>
      <c r="C84" s="291" t="s">
        <v>37</v>
      </c>
      <c r="D84" s="161"/>
      <c r="E84" s="204"/>
      <c r="F84" s="32"/>
      <c r="G84" s="33"/>
      <c r="H84" s="33"/>
      <c r="I84" s="32"/>
      <c r="J84" s="32"/>
      <c r="K84" s="32"/>
      <c r="L84" s="32">
        <v>10</v>
      </c>
      <c r="M84" s="32" t="s">
        <v>98</v>
      </c>
      <c r="N84" s="33">
        <v>20</v>
      </c>
      <c r="O84" s="33"/>
      <c r="P84" s="32">
        <v>8</v>
      </c>
      <c r="Q84" s="32" t="s">
        <v>98</v>
      </c>
      <c r="R84" s="32">
        <v>20</v>
      </c>
      <c r="S84" s="32"/>
      <c r="T84" s="32"/>
      <c r="U84" s="33"/>
      <c r="V84" s="33" t="s">
        <v>303</v>
      </c>
      <c r="W84" s="32"/>
      <c r="X84" s="32"/>
      <c r="Y84" s="32"/>
      <c r="Z84" s="32"/>
      <c r="AA84" s="32"/>
      <c r="AB84" s="33"/>
      <c r="AC84" s="33"/>
      <c r="AD84" s="32"/>
      <c r="AE84" s="32"/>
      <c r="AF84" s="32"/>
      <c r="AG84" s="32"/>
      <c r="AH84" s="32"/>
      <c r="AI84" s="493"/>
      <c r="AJ84" s="26" t="e">
        <f>_xlfn.CONCAT(#REF!,#REF!)</f>
        <v>#REF!</v>
      </c>
      <c r="AK84" s="27">
        <f t="shared" si="14"/>
        <v>-70</v>
      </c>
      <c r="AL84" s="28">
        <f t="shared" si="15"/>
        <v>0</v>
      </c>
      <c r="AM84">
        <f t="shared" si="16"/>
        <v>48</v>
      </c>
      <c r="AN84" s="29">
        <f t="shared" si="17"/>
        <v>58</v>
      </c>
      <c r="AO84" s="1">
        <f t="shared" si="18"/>
        <v>0</v>
      </c>
    </row>
    <row r="85" spans="1:42" ht="15.9">
      <c r="A85" s="1" t="s">
        <v>152</v>
      </c>
      <c r="B85" s="1" t="s">
        <v>64</v>
      </c>
      <c r="C85" s="291" t="s">
        <v>38</v>
      </c>
      <c r="D85" s="161"/>
      <c r="E85" s="204" t="s">
        <v>75</v>
      </c>
      <c r="F85" s="32" t="s">
        <v>75</v>
      </c>
      <c r="G85" s="33" t="s">
        <v>66</v>
      </c>
      <c r="H85" s="33" t="s">
        <v>66</v>
      </c>
      <c r="I85" s="32" t="s">
        <v>75</v>
      </c>
      <c r="J85" s="32" t="s">
        <v>75</v>
      </c>
      <c r="K85" s="32" t="s">
        <v>75</v>
      </c>
      <c r="L85" s="32" t="s">
        <v>75</v>
      </c>
      <c r="M85" s="32" t="s">
        <v>75</v>
      </c>
      <c r="N85" s="38" t="s">
        <v>66</v>
      </c>
      <c r="O85" s="33" t="s">
        <v>66</v>
      </c>
      <c r="P85" s="32" t="s">
        <v>75</v>
      </c>
      <c r="Q85" s="32" t="s">
        <v>75</v>
      </c>
      <c r="R85" s="32" t="s">
        <v>75</v>
      </c>
      <c r="S85" s="32" t="s">
        <v>75</v>
      </c>
      <c r="T85" s="32" t="s">
        <v>75</v>
      </c>
      <c r="U85" s="33" t="s">
        <v>66</v>
      </c>
      <c r="V85" s="33" t="s">
        <v>66</v>
      </c>
      <c r="W85" s="32" t="s">
        <v>75</v>
      </c>
      <c r="X85" s="32"/>
      <c r="Y85" s="32"/>
      <c r="Z85" s="32" t="s">
        <v>301</v>
      </c>
      <c r="AA85" s="32"/>
      <c r="AB85" s="33"/>
      <c r="AC85" s="33"/>
      <c r="AD85" s="32"/>
      <c r="AE85" s="32"/>
      <c r="AF85" s="32"/>
      <c r="AG85" s="32"/>
      <c r="AH85" s="32" t="s">
        <v>301</v>
      </c>
      <c r="AI85" s="493"/>
      <c r="AJ85" s="26" t="e">
        <f>_xlfn.CONCAT(#REF!,#REF!)</f>
        <v>#REF!</v>
      </c>
      <c r="AK85" s="27">
        <f t="shared" si="14"/>
        <v>-72</v>
      </c>
      <c r="AL85" s="28">
        <f t="shared" si="15"/>
        <v>0</v>
      </c>
      <c r="AM85">
        <f t="shared" si="16"/>
        <v>0</v>
      </c>
      <c r="AN85" s="29">
        <f t="shared" si="17"/>
        <v>104</v>
      </c>
      <c r="AO85" s="1">
        <f t="shared" si="18"/>
        <v>0</v>
      </c>
    </row>
    <row r="86" spans="1:42" ht="15.9">
      <c r="A86" s="1" t="s">
        <v>103</v>
      </c>
      <c r="B86" s="1" t="s">
        <v>103</v>
      </c>
      <c r="C86" s="203" t="s">
        <v>161</v>
      </c>
      <c r="D86" s="491">
        <v>0</v>
      </c>
      <c r="E86" s="204" t="s">
        <v>75</v>
      </c>
      <c r="F86" s="32" t="s">
        <v>75</v>
      </c>
      <c r="G86" s="33" t="s">
        <v>66</v>
      </c>
      <c r="H86" s="33" t="s">
        <v>66</v>
      </c>
      <c r="I86" s="32" t="s">
        <v>103</v>
      </c>
      <c r="J86" s="32" t="s">
        <v>103</v>
      </c>
      <c r="K86" s="32"/>
      <c r="L86" s="32"/>
      <c r="M86" s="136"/>
      <c r="N86" s="507" t="s">
        <v>76</v>
      </c>
      <c r="O86" s="508"/>
      <c r="P86" s="32"/>
      <c r="Q86" s="32" t="s">
        <v>153</v>
      </c>
      <c r="R86" s="32" t="s">
        <v>154</v>
      </c>
      <c r="S86" s="32" t="s">
        <v>154</v>
      </c>
      <c r="T86" s="32" t="s">
        <v>153</v>
      </c>
      <c r="U86" s="33"/>
      <c r="V86" s="33"/>
      <c r="W86" s="32"/>
      <c r="X86" s="32"/>
      <c r="Y86" s="32"/>
      <c r="Z86" s="32"/>
      <c r="AA86" s="32"/>
      <c r="AB86" s="33"/>
      <c r="AC86" s="33" t="s">
        <v>76</v>
      </c>
      <c r="AD86" s="32"/>
      <c r="AE86" s="32"/>
      <c r="AF86" s="32"/>
      <c r="AG86" s="32"/>
      <c r="AH86" s="32"/>
      <c r="AI86" s="493" t="s">
        <v>76</v>
      </c>
      <c r="AJ86" s="26" t="e">
        <f>_xlfn.CONCAT(#REF!,Tabela13[[#This Row],[FUNKCJONARIUSZ]])</f>
        <v>#REF!</v>
      </c>
      <c r="AK86" s="27">
        <f>D86+SUM(AL86:AP86)-$AK$1</f>
        <v>-52</v>
      </c>
      <c r="AL86" s="28">
        <f t="shared" si="15"/>
        <v>36</v>
      </c>
      <c r="AM86">
        <f t="shared" si="16"/>
        <v>72</v>
      </c>
      <c r="AN86" s="29">
        <f t="shared" si="17"/>
        <v>16</v>
      </c>
      <c r="AO86" s="1">
        <f t="shared" si="18"/>
        <v>0</v>
      </c>
    </row>
    <row r="87" spans="1:42" ht="15.9">
      <c r="A87" s="1" t="s">
        <v>155</v>
      </c>
      <c r="B87" s="1" t="s">
        <v>93</v>
      </c>
      <c r="C87" s="290" t="s">
        <v>39</v>
      </c>
      <c r="D87" s="161"/>
      <c r="E87" s="204" t="s">
        <v>66</v>
      </c>
      <c r="F87" s="32" t="s">
        <v>66</v>
      </c>
      <c r="G87" s="33" t="s">
        <v>66</v>
      </c>
      <c r="H87" s="33" t="s">
        <v>66</v>
      </c>
      <c r="I87" s="32" t="s">
        <v>66</v>
      </c>
      <c r="J87" s="32" t="s">
        <v>59</v>
      </c>
      <c r="K87" s="32" t="s">
        <v>66</v>
      </c>
      <c r="L87" s="32" t="s">
        <v>66</v>
      </c>
      <c r="M87" s="32" t="s">
        <v>66</v>
      </c>
      <c r="N87" s="42" t="s">
        <v>59</v>
      </c>
      <c r="O87" s="33" t="s">
        <v>66</v>
      </c>
      <c r="P87" s="32" t="s">
        <v>66</v>
      </c>
      <c r="Q87" s="32" t="s">
        <v>66</v>
      </c>
      <c r="R87" s="32" t="s">
        <v>66</v>
      </c>
      <c r="S87" s="32" t="s">
        <v>59</v>
      </c>
      <c r="T87" s="32" t="s">
        <v>66</v>
      </c>
      <c r="U87" s="33" t="s">
        <v>66</v>
      </c>
      <c r="V87" s="33" t="s">
        <v>66</v>
      </c>
      <c r="W87" s="32" t="s">
        <v>59</v>
      </c>
      <c r="X87" s="32" t="s">
        <v>66</v>
      </c>
      <c r="Y87" s="32" t="s">
        <v>66</v>
      </c>
      <c r="Z87" s="32" t="s">
        <v>66</v>
      </c>
      <c r="AA87" s="32" t="s">
        <v>66</v>
      </c>
      <c r="AB87" s="33" t="s">
        <v>66</v>
      </c>
      <c r="AC87" s="33" t="s">
        <v>66</v>
      </c>
      <c r="AD87" s="32" t="s">
        <v>66</v>
      </c>
      <c r="AE87" s="32" t="s">
        <v>66</v>
      </c>
      <c r="AF87" s="32" t="s">
        <v>75</v>
      </c>
      <c r="AG87" s="32" t="s">
        <v>75</v>
      </c>
      <c r="AH87" s="32" t="s">
        <v>75</v>
      </c>
      <c r="AI87" s="493"/>
      <c r="AJ87" s="26" t="e">
        <f>_xlfn.CONCAT(#REF!,#REF!)</f>
        <v>#REF!</v>
      </c>
      <c r="AK87" s="27">
        <f>D87+AL87+AM87+AN87-$AK$48+AO87+AP87</f>
        <v>-56</v>
      </c>
      <c r="AL87" s="28">
        <f t="shared" si="15"/>
        <v>96</v>
      </c>
      <c r="AM87">
        <f t="shared" si="16"/>
        <v>0</v>
      </c>
      <c r="AN87" s="29">
        <f t="shared" si="17"/>
        <v>24</v>
      </c>
      <c r="AO87" s="1">
        <f t="shared" si="18"/>
        <v>0</v>
      </c>
    </row>
    <row r="88" spans="1:42" ht="15.9">
      <c r="A88" s="1" t="s">
        <v>155</v>
      </c>
      <c r="B88" s="1" t="s">
        <v>64</v>
      </c>
      <c r="C88" s="290" t="s">
        <v>40</v>
      </c>
      <c r="D88" s="161"/>
      <c r="E88" s="204"/>
      <c r="F88" s="32"/>
      <c r="G88" s="33"/>
      <c r="H88" s="33"/>
      <c r="I88" s="32"/>
      <c r="J88" s="32"/>
      <c r="K88" s="32"/>
      <c r="L88" s="32"/>
      <c r="M88" s="32"/>
      <c r="N88" s="33"/>
      <c r="O88" s="33"/>
      <c r="P88" s="32"/>
      <c r="Q88" s="32"/>
      <c r="R88" s="32"/>
      <c r="S88" s="32"/>
      <c r="T88" s="32"/>
      <c r="U88" s="33"/>
      <c r="V88" s="33"/>
      <c r="W88" s="32"/>
      <c r="X88" s="32" t="s">
        <v>92</v>
      </c>
      <c r="Y88" s="32" t="s">
        <v>95</v>
      </c>
      <c r="Z88" s="32" t="s">
        <v>95</v>
      </c>
      <c r="AA88" s="32" t="s">
        <v>95</v>
      </c>
      <c r="AB88" s="33" t="s">
        <v>95</v>
      </c>
      <c r="AC88" s="33" t="s">
        <v>95</v>
      </c>
      <c r="AD88" s="32" t="s">
        <v>95</v>
      </c>
      <c r="AE88" s="32" t="s">
        <v>92</v>
      </c>
      <c r="AF88" s="32"/>
      <c r="AG88" s="32"/>
      <c r="AH88" s="32"/>
      <c r="AI88" s="493"/>
      <c r="AJ88" s="26" t="e">
        <f>_xlfn.CONCAT(#REF!,#REF!)</f>
        <v>#REF!</v>
      </c>
      <c r="AK88" s="27">
        <f>D88+AL88+AM88+AN88-$AK$48+AO88+AP88</f>
        <v>-8</v>
      </c>
      <c r="AL88" s="28">
        <f t="shared" si="15"/>
        <v>0</v>
      </c>
      <c r="AM88">
        <f t="shared" si="16"/>
        <v>168</v>
      </c>
      <c r="AN88" s="29">
        <f t="shared" si="17"/>
        <v>0</v>
      </c>
      <c r="AO88" s="1">
        <f t="shared" si="18"/>
        <v>0</v>
      </c>
    </row>
    <row r="89" spans="1:42" ht="15.9">
      <c r="A89" s="1" t="s">
        <v>155</v>
      </c>
      <c r="B89" s="1" t="s">
        <v>93</v>
      </c>
      <c r="C89" s="290" t="s">
        <v>42</v>
      </c>
      <c r="D89" s="161"/>
      <c r="E89" s="204" t="s">
        <v>95</v>
      </c>
      <c r="F89" s="32" t="s">
        <v>95</v>
      </c>
      <c r="G89" s="33" t="s">
        <v>95</v>
      </c>
      <c r="H89" s="33" t="s">
        <v>95</v>
      </c>
      <c r="I89" s="32" t="s">
        <v>95</v>
      </c>
      <c r="J89" s="32" t="s">
        <v>92</v>
      </c>
      <c r="K89" s="32"/>
      <c r="L89" s="32"/>
      <c r="M89" s="32"/>
      <c r="N89" s="33"/>
      <c r="O89" s="33"/>
      <c r="P89" s="32"/>
      <c r="Q89" s="32"/>
      <c r="R89" s="32"/>
      <c r="S89" s="32"/>
      <c r="T89" s="32"/>
      <c r="U89" s="33"/>
      <c r="V89" s="33"/>
      <c r="W89" s="32"/>
      <c r="X89" s="32"/>
      <c r="Y89" s="32"/>
      <c r="Z89" s="32" t="s">
        <v>75</v>
      </c>
      <c r="AA89" s="32" t="s">
        <v>75</v>
      </c>
      <c r="AB89" s="33" t="s">
        <v>66</v>
      </c>
      <c r="AC89" s="33" t="s">
        <v>66</v>
      </c>
      <c r="AD89" s="32" t="s">
        <v>75</v>
      </c>
      <c r="AE89" s="32" t="s">
        <v>75</v>
      </c>
      <c r="AF89" s="32" t="s">
        <v>75</v>
      </c>
      <c r="AG89" s="32" t="s">
        <v>75</v>
      </c>
      <c r="AH89" s="32" t="s">
        <v>75</v>
      </c>
      <c r="AI89" s="493"/>
      <c r="AJ89" s="26" t="e">
        <f>_xlfn.CONCAT(#REF!,#REF!)</f>
        <v>#REF!</v>
      </c>
      <c r="AK89" s="27">
        <f>D89+AL89+AM89+AN89-$AK$48+AO89+AP89</f>
        <v>12</v>
      </c>
      <c r="AL89" s="28">
        <f t="shared" si="15"/>
        <v>0</v>
      </c>
      <c r="AM89">
        <f t="shared" si="16"/>
        <v>132</v>
      </c>
      <c r="AN89" s="29">
        <f t="shared" si="17"/>
        <v>56</v>
      </c>
      <c r="AO89" s="1">
        <f t="shared" si="18"/>
        <v>0</v>
      </c>
    </row>
    <row r="90" spans="1:42" ht="15.9">
      <c r="A90" s="1" t="s">
        <v>155</v>
      </c>
      <c r="B90" s="1" t="s">
        <v>73</v>
      </c>
      <c r="C90" s="290" t="s">
        <v>43</v>
      </c>
      <c r="D90" s="161"/>
      <c r="E90" s="204"/>
      <c r="F90" s="32"/>
      <c r="G90" s="33"/>
      <c r="H90" s="33" t="s">
        <v>76</v>
      </c>
      <c r="I90" s="32"/>
      <c r="J90" s="32"/>
      <c r="K90" s="32"/>
      <c r="L90" s="32"/>
      <c r="M90" s="32"/>
      <c r="N90" s="33" t="s">
        <v>76</v>
      </c>
      <c r="O90" s="33"/>
      <c r="P90" s="32" t="s">
        <v>75</v>
      </c>
      <c r="Q90" s="32" t="s">
        <v>75</v>
      </c>
      <c r="R90" s="32" t="s">
        <v>75</v>
      </c>
      <c r="S90" s="32" t="s">
        <v>75</v>
      </c>
      <c r="T90" s="32" t="s">
        <v>75</v>
      </c>
      <c r="U90" s="33" t="s">
        <v>66</v>
      </c>
      <c r="V90" s="33" t="s">
        <v>66</v>
      </c>
      <c r="W90" s="32" t="s">
        <v>75</v>
      </c>
      <c r="X90" s="32" t="s">
        <v>75</v>
      </c>
      <c r="Y90" s="32" t="s">
        <v>75</v>
      </c>
      <c r="Z90" s="32" t="s">
        <v>75</v>
      </c>
      <c r="AA90" s="32" t="s">
        <v>75</v>
      </c>
      <c r="AB90" s="33" t="s">
        <v>66</v>
      </c>
      <c r="AC90" s="33" t="s">
        <v>66</v>
      </c>
      <c r="AD90" s="32" t="s">
        <v>75</v>
      </c>
      <c r="AE90" s="32" t="s">
        <v>75</v>
      </c>
      <c r="AF90" s="32" t="s">
        <v>75</v>
      </c>
      <c r="AG90" s="32" t="s">
        <v>75</v>
      </c>
      <c r="AH90" s="32" t="s">
        <v>75</v>
      </c>
      <c r="AI90" s="493" t="s">
        <v>66</v>
      </c>
      <c r="AJ90" s="26" t="e">
        <f>_xlfn.CONCAT(#REF!,#REF!)</f>
        <v>#REF!</v>
      </c>
      <c r="AK90" s="27">
        <f>D90+AL90+AM90+AN90-$AK$48+AO90+AP90</f>
        <v>-32</v>
      </c>
      <c r="AL90" s="28">
        <f t="shared" si="15"/>
        <v>24</v>
      </c>
      <c r="AM90">
        <f t="shared" si="16"/>
        <v>0</v>
      </c>
      <c r="AN90" s="29">
        <f t="shared" si="17"/>
        <v>120</v>
      </c>
      <c r="AO90" s="1">
        <f t="shared" si="18"/>
        <v>0</v>
      </c>
    </row>
    <row r="91" spans="1:42" ht="15.9">
      <c r="A91" s="1" t="s">
        <v>152</v>
      </c>
      <c r="B91" s="1" t="s">
        <v>64</v>
      </c>
      <c r="C91" s="291" t="s">
        <v>44</v>
      </c>
      <c r="D91" s="161"/>
      <c r="E91" s="204"/>
      <c r="F91" s="32"/>
      <c r="G91" s="33"/>
      <c r="H91" s="33" t="s">
        <v>303</v>
      </c>
      <c r="I91" s="32"/>
      <c r="J91" s="32"/>
      <c r="K91" s="32"/>
      <c r="L91" s="32">
        <v>10</v>
      </c>
      <c r="M91" s="32" t="s">
        <v>98</v>
      </c>
      <c r="N91" s="33">
        <v>20</v>
      </c>
      <c r="O91" s="33"/>
      <c r="P91" s="32">
        <v>17</v>
      </c>
      <c r="Q91" s="32" t="s">
        <v>98</v>
      </c>
      <c r="R91" s="32">
        <v>20</v>
      </c>
      <c r="S91" s="32"/>
      <c r="T91" s="32"/>
      <c r="U91" s="33"/>
      <c r="V91" s="33"/>
      <c r="W91" s="32"/>
      <c r="X91" s="32"/>
      <c r="Y91" s="32"/>
      <c r="Z91" s="32"/>
      <c r="AA91" s="32"/>
      <c r="AB91" s="33"/>
      <c r="AC91" s="33" t="s">
        <v>103</v>
      </c>
      <c r="AD91" s="32" t="s">
        <v>103</v>
      </c>
      <c r="AE91" s="32" t="s">
        <v>103</v>
      </c>
      <c r="AF91" s="32" t="s">
        <v>103</v>
      </c>
      <c r="AG91" s="32" t="s">
        <v>301</v>
      </c>
      <c r="AH91" s="32" t="s">
        <v>103</v>
      </c>
      <c r="AI91" s="493"/>
      <c r="AJ91" s="26" t="e">
        <f>_xlfn.CONCAT(#REF!,#REF!)</f>
        <v>#REF!</v>
      </c>
      <c r="AK91" s="27">
        <f>D91+AL91+AM91+AN91-$AK$48+AO91+AP91</f>
        <v>-61</v>
      </c>
      <c r="AL91" s="28">
        <f t="shared" si="15"/>
        <v>0</v>
      </c>
      <c r="AM91">
        <f t="shared" si="16"/>
        <v>48</v>
      </c>
      <c r="AN91" s="29">
        <f t="shared" si="17"/>
        <v>67</v>
      </c>
      <c r="AO91" s="1">
        <f t="shared" si="18"/>
        <v>0</v>
      </c>
    </row>
    <row r="92" spans="1:42" ht="15.9">
      <c r="A92" s="1" t="s">
        <v>152</v>
      </c>
      <c r="C92" s="206" t="s">
        <v>162</v>
      </c>
      <c r="D92" s="491">
        <v>0</v>
      </c>
      <c r="E92" s="204">
        <v>15</v>
      </c>
      <c r="F92" s="32" t="s">
        <v>98</v>
      </c>
      <c r="G92" s="33">
        <v>20</v>
      </c>
      <c r="H92" s="33"/>
      <c r="I92" s="32"/>
      <c r="J92" s="32"/>
      <c r="K92" s="32"/>
      <c r="L92" s="32"/>
      <c r="M92" s="32"/>
      <c r="N92" s="33" t="s">
        <v>66</v>
      </c>
      <c r="O92" s="33" t="s">
        <v>66</v>
      </c>
      <c r="P92" s="32">
        <v>17</v>
      </c>
      <c r="Q92" s="32" t="s">
        <v>98</v>
      </c>
      <c r="R92" s="32">
        <v>20</v>
      </c>
      <c r="S92" s="32"/>
      <c r="T92" s="32"/>
      <c r="U92" s="33"/>
      <c r="V92" s="33"/>
      <c r="W92" s="32"/>
      <c r="X92" s="32"/>
      <c r="Y92" s="32"/>
      <c r="Z92" s="32"/>
      <c r="AA92" s="32"/>
      <c r="AB92" s="33"/>
      <c r="AC92" s="33"/>
      <c r="AD92" s="32">
        <v>24</v>
      </c>
      <c r="AE92" s="32"/>
      <c r="AF92" s="32"/>
      <c r="AG92" s="32"/>
      <c r="AH92" s="32"/>
      <c r="AI92" s="493"/>
      <c r="AJ92" s="26" t="e">
        <f>_xlfn.CONCAT(#REF!,Tabela13[[#This Row],[FUNKCJONARIUSZ]])</f>
        <v>#REF!</v>
      </c>
      <c r="AK92" s="27">
        <f>D92+SUM(AL92:AP92)-$AK$1</f>
        <v>-32</v>
      </c>
      <c r="AL92" s="28">
        <f t="shared" si="15"/>
        <v>0</v>
      </c>
      <c r="AM92">
        <f t="shared" si="16"/>
        <v>48</v>
      </c>
      <c r="AN92" s="29">
        <f t="shared" si="17"/>
        <v>96</v>
      </c>
      <c r="AO92" s="1">
        <f t="shared" si="18"/>
        <v>0</v>
      </c>
      <c r="AP92" s="1">
        <v>0</v>
      </c>
    </row>
    <row r="93" spans="1:42" ht="15.9">
      <c r="A93" s="1" t="s">
        <v>152</v>
      </c>
      <c r="B93" s="1" t="s">
        <v>73</v>
      </c>
      <c r="C93" s="291" t="s">
        <v>163</v>
      </c>
      <c r="D93" s="161"/>
      <c r="E93" s="204" t="s">
        <v>75</v>
      </c>
      <c r="F93" s="32" t="s">
        <v>75</v>
      </c>
      <c r="G93" s="33" t="s">
        <v>66</v>
      </c>
      <c r="H93" s="33" t="s">
        <v>66</v>
      </c>
      <c r="I93" s="32" t="s">
        <v>75</v>
      </c>
      <c r="J93" s="32" t="s">
        <v>75</v>
      </c>
      <c r="K93" s="32"/>
      <c r="L93" s="32"/>
      <c r="M93" s="32"/>
      <c r="N93" s="33"/>
      <c r="O93" s="33"/>
      <c r="P93" s="32">
        <v>17</v>
      </c>
      <c r="Q93" s="32" t="s">
        <v>98</v>
      </c>
      <c r="R93" s="32">
        <v>20</v>
      </c>
      <c r="S93" s="32"/>
      <c r="T93" s="32"/>
      <c r="U93" s="33"/>
      <c r="V93" s="33"/>
      <c r="W93" s="32"/>
      <c r="X93" s="32"/>
      <c r="Y93" s="32" t="s">
        <v>303</v>
      </c>
      <c r="Z93" s="32"/>
      <c r="AA93" s="32"/>
      <c r="AB93" s="33"/>
      <c r="AC93" s="33"/>
      <c r="AD93" s="32" t="s">
        <v>75</v>
      </c>
      <c r="AE93" s="32" t="s">
        <v>75</v>
      </c>
      <c r="AF93" s="32" t="s">
        <v>75</v>
      </c>
      <c r="AG93" s="32" t="s">
        <v>75</v>
      </c>
      <c r="AH93" s="32" t="s">
        <v>75</v>
      </c>
      <c r="AI93" s="493" t="s">
        <v>66</v>
      </c>
      <c r="AJ93" s="26" t="e">
        <f>_xlfn.CONCAT(#REF!,#REF!)</f>
        <v>#REF!</v>
      </c>
      <c r="AK93" s="27">
        <f t="shared" ref="AK93:AK100" si="19">D93+AL93+AM93+AN93-$AK$48+AO93+AP93</f>
        <v>-43</v>
      </c>
      <c r="AL93" s="28">
        <f t="shared" si="15"/>
        <v>0</v>
      </c>
      <c r="AM93">
        <f t="shared" si="16"/>
        <v>24</v>
      </c>
      <c r="AN93" s="29">
        <f t="shared" si="17"/>
        <v>109</v>
      </c>
      <c r="AO93" s="1">
        <f t="shared" si="18"/>
        <v>0</v>
      </c>
    </row>
    <row r="94" spans="1:42" ht="15.9">
      <c r="A94" s="1" t="s">
        <v>152</v>
      </c>
      <c r="B94" s="1" t="s">
        <v>64</v>
      </c>
      <c r="C94" s="291" t="s">
        <v>45</v>
      </c>
      <c r="D94" s="161"/>
      <c r="E94" s="204"/>
      <c r="F94" s="32"/>
      <c r="G94" s="33"/>
      <c r="H94" s="33"/>
      <c r="I94" s="32"/>
      <c r="J94" s="32"/>
      <c r="K94" s="32"/>
      <c r="L94" s="32"/>
      <c r="M94" s="32" t="s">
        <v>113</v>
      </c>
      <c r="N94" s="33"/>
      <c r="O94" s="33"/>
      <c r="P94" s="32">
        <v>17</v>
      </c>
      <c r="Q94" s="32" t="s">
        <v>98</v>
      </c>
      <c r="R94" s="32">
        <v>20</v>
      </c>
      <c r="S94" s="32"/>
      <c r="T94" s="32"/>
      <c r="U94" s="33"/>
      <c r="V94" s="33" t="s">
        <v>303</v>
      </c>
      <c r="W94" s="32"/>
      <c r="X94" s="32"/>
      <c r="Y94" s="32"/>
      <c r="Z94" s="32"/>
      <c r="AA94" s="32"/>
      <c r="AB94" s="33"/>
      <c r="AC94" s="33"/>
      <c r="AD94" s="32"/>
      <c r="AE94" s="32" t="s">
        <v>113</v>
      </c>
      <c r="AF94" s="32"/>
      <c r="AG94" s="32"/>
      <c r="AH94" s="32"/>
      <c r="AI94" s="493"/>
      <c r="AJ94" s="26" t="e">
        <f>_xlfn.CONCAT(#REF!,#REF!)</f>
        <v>#REF!</v>
      </c>
      <c r="AK94" s="27">
        <f t="shared" si="19"/>
        <v>-67</v>
      </c>
      <c r="AL94" s="28">
        <f t="shared" si="15"/>
        <v>48</v>
      </c>
      <c r="AM94">
        <f t="shared" si="16"/>
        <v>24</v>
      </c>
      <c r="AN94" s="29">
        <f t="shared" si="17"/>
        <v>37</v>
      </c>
      <c r="AO94" s="1">
        <f t="shared" si="18"/>
        <v>0</v>
      </c>
    </row>
    <row r="95" spans="1:42" ht="15.9">
      <c r="A95" s="1" t="s">
        <v>152</v>
      </c>
      <c r="B95" s="1" t="s">
        <v>93</v>
      </c>
      <c r="C95" s="291" t="s">
        <v>46</v>
      </c>
      <c r="D95" s="161"/>
      <c r="E95" s="204"/>
      <c r="F95" s="32"/>
      <c r="G95" s="33"/>
      <c r="H95" s="33"/>
      <c r="I95" s="32" t="s">
        <v>75</v>
      </c>
      <c r="J95" s="32" t="s">
        <v>75</v>
      </c>
      <c r="K95" s="32" t="s">
        <v>75</v>
      </c>
      <c r="L95" s="32" t="s">
        <v>75</v>
      </c>
      <c r="M95" s="32" t="s">
        <v>75</v>
      </c>
      <c r="N95" s="33" t="s">
        <v>66</v>
      </c>
      <c r="O95" s="33" t="s">
        <v>66</v>
      </c>
      <c r="P95" s="32" t="s">
        <v>75</v>
      </c>
      <c r="Q95" s="32" t="s">
        <v>75</v>
      </c>
      <c r="R95" s="32" t="s">
        <v>75</v>
      </c>
      <c r="S95" s="32" t="s">
        <v>75</v>
      </c>
      <c r="T95" s="32" t="s">
        <v>75</v>
      </c>
      <c r="U95" s="33" t="s">
        <v>66</v>
      </c>
      <c r="V95" s="33" t="s">
        <v>66</v>
      </c>
      <c r="W95" s="32" t="s">
        <v>75</v>
      </c>
      <c r="X95" s="32" t="s">
        <v>75</v>
      </c>
      <c r="Y95" s="32" t="s">
        <v>75</v>
      </c>
      <c r="Z95" s="32" t="s">
        <v>75</v>
      </c>
      <c r="AA95" s="32" t="s">
        <v>75</v>
      </c>
      <c r="AB95" s="33"/>
      <c r="AC95" s="33"/>
      <c r="AD95" s="32" t="s">
        <v>301</v>
      </c>
      <c r="AE95" s="32"/>
      <c r="AF95" s="32"/>
      <c r="AG95" s="32"/>
      <c r="AH95" s="32"/>
      <c r="AI95" s="493"/>
      <c r="AJ95" s="26" t="e">
        <f>_xlfn.CONCAT(#REF!,#REF!)</f>
        <v>#REF!</v>
      </c>
      <c r="AK95" s="27">
        <f t="shared" si="19"/>
        <v>-56</v>
      </c>
      <c r="AL95" s="28">
        <f t="shared" si="15"/>
        <v>0</v>
      </c>
      <c r="AM95">
        <f t="shared" si="16"/>
        <v>0</v>
      </c>
      <c r="AN95" s="29">
        <f t="shared" si="17"/>
        <v>120</v>
      </c>
      <c r="AO95" s="1">
        <f t="shared" si="18"/>
        <v>0</v>
      </c>
    </row>
    <row r="96" spans="1:42" ht="15.9">
      <c r="A96" s="1" t="s">
        <v>152</v>
      </c>
      <c r="B96" s="1" t="s">
        <v>64</v>
      </c>
      <c r="C96" s="291" t="s">
        <v>47</v>
      </c>
      <c r="D96" s="161"/>
      <c r="E96" s="204" t="s">
        <v>95</v>
      </c>
      <c r="F96" s="32" t="s">
        <v>95</v>
      </c>
      <c r="G96" s="33" t="s">
        <v>95</v>
      </c>
      <c r="H96" s="33" t="s">
        <v>95</v>
      </c>
      <c r="I96" s="32" t="s">
        <v>95</v>
      </c>
      <c r="J96" s="32" t="s">
        <v>92</v>
      </c>
      <c r="K96" s="32"/>
      <c r="L96" s="32"/>
      <c r="M96" s="32"/>
      <c r="N96" s="33"/>
      <c r="O96" s="33"/>
      <c r="P96" s="32">
        <v>17</v>
      </c>
      <c r="Q96" s="32" t="s">
        <v>98</v>
      </c>
      <c r="R96" s="32">
        <v>20</v>
      </c>
      <c r="S96" s="32"/>
      <c r="T96" s="32"/>
      <c r="U96" s="33"/>
      <c r="V96" s="33"/>
      <c r="W96" s="32"/>
      <c r="X96" s="32"/>
      <c r="Y96" s="32"/>
      <c r="Z96" s="32"/>
      <c r="AA96" s="32"/>
      <c r="AB96" s="33"/>
      <c r="AC96" s="33"/>
      <c r="AD96" s="32"/>
      <c r="AE96" s="32" t="s">
        <v>75</v>
      </c>
      <c r="AF96" s="32" t="s">
        <v>75</v>
      </c>
      <c r="AG96" s="32" t="s">
        <v>75</v>
      </c>
      <c r="AH96" s="32" t="s">
        <v>75</v>
      </c>
      <c r="AI96" s="493"/>
      <c r="AJ96" s="26" t="e">
        <f>_xlfn.CONCAT(#REF!,#REF!)</f>
        <v>#REF!</v>
      </c>
      <c r="AK96" s="27">
        <f t="shared" si="19"/>
        <v>49</v>
      </c>
      <c r="AL96" s="28">
        <f t="shared" si="15"/>
        <v>0</v>
      </c>
      <c r="AM96">
        <f t="shared" si="16"/>
        <v>156</v>
      </c>
      <c r="AN96" s="29">
        <f t="shared" si="17"/>
        <v>69</v>
      </c>
      <c r="AO96" s="1">
        <f t="shared" si="18"/>
        <v>0</v>
      </c>
    </row>
    <row r="97" spans="1:42" ht="15.9">
      <c r="A97" s="1" t="s">
        <v>152</v>
      </c>
      <c r="B97" s="1" t="s">
        <v>64</v>
      </c>
      <c r="C97" s="291" t="s">
        <v>48</v>
      </c>
      <c r="D97" s="161"/>
      <c r="E97" s="204">
        <v>17</v>
      </c>
      <c r="F97" s="32" t="s">
        <v>98</v>
      </c>
      <c r="G97" s="33">
        <v>15</v>
      </c>
      <c r="H97" s="33"/>
      <c r="I97" s="32"/>
      <c r="J97" s="32"/>
      <c r="K97" s="32"/>
      <c r="L97" s="32"/>
      <c r="M97" s="32" t="s">
        <v>303</v>
      </c>
      <c r="N97" s="33"/>
      <c r="O97" s="33"/>
      <c r="P97" s="32">
        <v>17</v>
      </c>
      <c r="Q97" s="32" t="s">
        <v>98</v>
      </c>
      <c r="R97" s="32">
        <v>20</v>
      </c>
      <c r="S97" s="32"/>
      <c r="T97" s="32"/>
      <c r="U97" s="33"/>
      <c r="V97" s="33"/>
      <c r="W97" s="32"/>
      <c r="X97" s="32"/>
      <c r="Y97" s="32"/>
      <c r="Z97" s="32"/>
      <c r="AA97" s="32" t="s">
        <v>303</v>
      </c>
      <c r="AB97" s="33"/>
      <c r="AC97" s="33"/>
      <c r="AD97" s="32"/>
      <c r="AE97" s="32"/>
      <c r="AF97" s="32"/>
      <c r="AG97" s="32"/>
      <c r="AH97" s="32"/>
      <c r="AI97" s="493"/>
      <c r="AJ97" s="26" t="e">
        <f>_xlfn.CONCAT(#REF!,#REF!)</f>
        <v>#REF!</v>
      </c>
      <c r="AK97" s="27">
        <f t="shared" si="19"/>
        <v>-59</v>
      </c>
      <c r="AL97" s="28">
        <f t="shared" si="15"/>
        <v>0</v>
      </c>
      <c r="AM97">
        <f t="shared" si="16"/>
        <v>48</v>
      </c>
      <c r="AN97" s="29">
        <f t="shared" si="17"/>
        <v>69</v>
      </c>
      <c r="AO97" s="1">
        <f t="shared" si="18"/>
        <v>0</v>
      </c>
    </row>
    <row r="98" spans="1:42" ht="15.9">
      <c r="A98" s="1" t="s">
        <v>58</v>
      </c>
      <c r="B98" s="1" t="s">
        <v>73</v>
      </c>
      <c r="C98" s="290" t="s">
        <v>49</v>
      </c>
      <c r="D98" s="161"/>
      <c r="E98" s="204"/>
      <c r="F98" s="32"/>
      <c r="G98" s="33"/>
      <c r="H98" s="33"/>
      <c r="I98" s="32" t="s">
        <v>69</v>
      </c>
      <c r="J98" s="32" t="s">
        <v>70</v>
      </c>
      <c r="K98" s="32" t="s">
        <v>70</v>
      </c>
      <c r="L98" s="32" t="s">
        <v>70</v>
      </c>
      <c r="M98" s="32" t="s">
        <v>70</v>
      </c>
      <c r="N98" s="33" t="s">
        <v>70</v>
      </c>
      <c r="O98" s="33" t="s">
        <v>70</v>
      </c>
      <c r="P98" s="32" t="s">
        <v>69</v>
      </c>
      <c r="Q98" s="32"/>
      <c r="R98" s="32"/>
      <c r="S98" s="32"/>
      <c r="T98" s="32"/>
      <c r="U98" s="33"/>
      <c r="V98" s="33"/>
      <c r="W98" s="32"/>
      <c r="X98" s="32"/>
      <c r="Y98" s="32"/>
      <c r="Z98" s="32"/>
      <c r="AA98" s="32"/>
      <c r="AB98" s="33"/>
      <c r="AC98" s="33"/>
      <c r="AD98" s="32"/>
      <c r="AE98" s="32"/>
      <c r="AF98" s="32" t="s">
        <v>75</v>
      </c>
      <c r="AG98" s="32" t="s">
        <v>75</v>
      </c>
      <c r="AH98" s="32" t="s">
        <v>75</v>
      </c>
      <c r="AI98" s="493"/>
      <c r="AJ98" s="26" t="e">
        <f>_xlfn.CONCAT(#REF!,#REF!)</f>
        <v>#REF!</v>
      </c>
      <c r="AK98" s="27">
        <f t="shared" si="19"/>
        <v>16</v>
      </c>
      <c r="AL98" s="28">
        <f t="shared" si="15"/>
        <v>0</v>
      </c>
      <c r="AM98">
        <f t="shared" si="16"/>
        <v>168</v>
      </c>
      <c r="AN98" s="29">
        <f t="shared" si="17"/>
        <v>24</v>
      </c>
      <c r="AO98" s="1">
        <f t="shared" si="18"/>
        <v>0</v>
      </c>
    </row>
    <row r="99" spans="1:42" ht="15.9">
      <c r="A99" s="1" t="s">
        <v>155</v>
      </c>
      <c r="B99" s="1" t="s">
        <v>73</v>
      </c>
      <c r="C99" s="290" t="s">
        <v>50</v>
      </c>
      <c r="D99" s="161"/>
      <c r="E99" s="204"/>
      <c r="F99" s="32"/>
      <c r="G99" s="33"/>
      <c r="H99" s="33"/>
      <c r="I99" s="32"/>
      <c r="J99" s="32"/>
      <c r="K99" s="32"/>
      <c r="L99" s="32">
        <v>10</v>
      </c>
      <c r="M99" s="32" t="s">
        <v>98</v>
      </c>
      <c r="N99" s="33">
        <v>20</v>
      </c>
      <c r="O99" s="33"/>
      <c r="P99" s="32"/>
      <c r="Q99" s="32"/>
      <c r="R99" s="32"/>
      <c r="S99" s="32"/>
      <c r="T99" s="32"/>
      <c r="U99" s="33" t="s">
        <v>303</v>
      </c>
      <c r="V99" s="33"/>
      <c r="W99" s="32"/>
      <c r="X99" s="32"/>
      <c r="Y99" s="32"/>
      <c r="Z99" s="32"/>
      <c r="AA99" s="32"/>
      <c r="AB99" s="33"/>
      <c r="AC99" s="33"/>
      <c r="AD99" s="32"/>
      <c r="AE99" s="32" t="s">
        <v>92</v>
      </c>
      <c r="AF99" s="32" t="s">
        <v>95</v>
      </c>
      <c r="AG99" s="32" t="s">
        <v>95</v>
      </c>
      <c r="AH99" s="32" t="s">
        <v>95</v>
      </c>
      <c r="AI99" s="493" t="s">
        <v>95</v>
      </c>
      <c r="AJ99" s="26" t="e">
        <f>_xlfn.CONCAT(#REF!,#REF!)</f>
        <v>#REF!</v>
      </c>
      <c r="AK99" s="27">
        <f t="shared" si="19"/>
        <v>-14</v>
      </c>
      <c r="AL99" s="28">
        <f t="shared" si="15"/>
        <v>0</v>
      </c>
      <c r="AM99">
        <f t="shared" si="16"/>
        <v>132</v>
      </c>
      <c r="AN99" s="29">
        <f t="shared" si="17"/>
        <v>30</v>
      </c>
      <c r="AO99" s="1">
        <f t="shared" si="18"/>
        <v>0</v>
      </c>
    </row>
    <row r="100" spans="1:42" ht="15.9">
      <c r="A100" s="1" t="s">
        <v>155</v>
      </c>
      <c r="B100" s="1" t="s">
        <v>59</v>
      </c>
      <c r="C100" s="304" t="s">
        <v>51</v>
      </c>
      <c r="D100" s="161"/>
      <c r="E100" s="96"/>
      <c r="F100" s="51" t="s">
        <v>75</v>
      </c>
      <c r="G100" s="52" t="s">
        <v>66</v>
      </c>
      <c r="H100" s="52" t="s">
        <v>66</v>
      </c>
      <c r="I100" s="51" t="s">
        <v>75</v>
      </c>
      <c r="J100" s="51"/>
      <c r="K100" s="51"/>
      <c r="L100" s="51" t="s">
        <v>75</v>
      </c>
      <c r="M100" s="51" t="s">
        <v>75</v>
      </c>
      <c r="N100" s="52" t="s">
        <v>66</v>
      </c>
      <c r="O100" s="52" t="s">
        <v>66</v>
      </c>
      <c r="P100" s="51" t="s">
        <v>75</v>
      </c>
      <c r="Q100" s="51" t="s">
        <v>75</v>
      </c>
      <c r="R100" s="51" t="s">
        <v>75</v>
      </c>
      <c r="S100" s="51"/>
      <c r="T100" s="51"/>
      <c r="U100" s="52"/>
      <c r="V100" s="52"/>
      <c r="W100" s="51"/>
      <c r="X100" s="51" t="s">
        <v>92</v>
      </c>
      <c r="Y100" s="51" t="s">
        <v>95</v>
      </c>
      <c r="Z100" s="51" t="s">
        <v>95</v>
      </c>
      <c r="AA100" s="51" t="s">
        <v>95</v>
      </c>
      <c r="AB100" s="52" t="s">
        <v>95</v>
      </c>
      <c r="AC100" s="52" t="s">
        <v>95</v>
      </c>
      <c r="AD100" s="51" t="s">
        <v>95</v>
      </c>
      <c r="AE100" s="51" t="s">
        <v>92</v>
      </c>
      <c r="AF100" s="51"/>
      <c r="AG100" s="51"/>
      <c r="AH100" s="51"/>
      <c r="AI100" s="494"/>
      <c r="AJ100" s="305" t="e">
        <f>_xlfn.CONCAT(#REF!,#REF!)</f>
        <v>#REF!</v>
      </c>
      <c r="AK100" s="27">
        <f t="shared" si="19"/>
        <v>48</v>
      </c>
      <c r="AL100" s="28">
        <f t="shared" si="15"/>
        <v>0</v>
      </c>
      <c r="AM100">
        <f t="shared" si="16"/>
        <v>168</v>
      </c>
      <c r="AN100" s="29">
        <f t="shared" si="17"/>
        <v>56</v>
      </c>
      <c r="AO100" s="1">
        <f t="shared" si="18"/>
        <v>0</v>
      </c>
    </row>
    <row r="101" spans="1:42" ht="15.9">
      <c r="C101" s="56" t="s">
        <v>321</v>
      </c>
      <c r="D101" s="57"/>
      <c r="E101" s="58" t="s">
        <v>113</v>
      </c>
      <c r="F101" s="58"/>
      <c r="G101" s="58"/>
      <c r="H101" s="58"/>
      <c r="I101" s="58"/>
      <c r="J101" s="58"/>
      <c r="K101" s="58"/>
      <c r="L101" s="58" t="s">
        <v>113</v>
      </c>
      <c r="M101" s="58"/>
      <c r="N101" s="58"/>
      <c r="O101" s="58" t="s">
        <v>59</v>
      </c>
      <c r="P101" s="58" t="s">
        <v>59</v>
      </c>
      <c r="Q101" s="58"/>
      <c r="R101" s="58" t="s">
        <v>113</v>
      </c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 t="s">
        <v>59</v>
      </c>
      <c r="AE101" s="58"/>
      <c r="AF101" s="58"/>
      <c r="AG101" s="59" t="s">
        <v>113</v>
      </c>
      <c r="AH101" s="27"/>
      <c r="AI101" s="27"/>
      <c r="AJ101" s="60"/>
      <c r="AK101" s="27"/>
      <c r="AL101" s="28"/>
      <c r="AM101"/>
      <c r="AN101" s="29"/>
    </row>
    <row r="102" spans="1:42" ht="15.9">
      <c r="B102" s="61"/>
      <c r="C102" s="62" t="s">
        <v>120</v>
      </c>
      <c r="D102" s="63"/>
      <c r="E102" s="64">
        <f t="shared" ref="E102:AI102" si="20">E32</f>
        <v>1</v>
      </c>
      <c r="F102" s="64">
        <f t="shared" si="20"/>
        <v>1</v>
      </c>
      <c r="G102" s="64">
        <f t="shared" si="20"/>
        <v>1</v>
      </c>
      <c r="H102" s="64">
        <f t="shared" si="20"/>
        <v>1</v>
      </c>
      <c r="I102" s="64">
        <f t="shared" si="20"/>
        <v>1</v>
      </c>
      <c r="J102" s="64">
        <f t="shared" si="20"/>
        <v>1</v>
      </c>
      <c r="K102" s="64">
        <f t="shared" si="20"/>
        <v>1</v>
      </c>
      <c r="L102" s="64">
        <f t="shared" si="20"/>
        <v>1</v>
      </c>
      <c r="M102" s="64">
        <f t="shared" si="20"/>
        <v>1</v>
      </c>
      <c r="N102" s="64">
        <f t="shared" si="20"/>
        <v>1</v>
      </c>
      <c r="O102" s="64">
        <f t="shared" si="20"/>
        <v>1</v>
      </c>
      <c r="P102" s="64">
        <f t="shared" si="20"/>
        <v>1</v>
      </c>
      <c r="Q102" s="64">
        <f t="shared" si="20"/>
        <v>1</v>
      </c>
      <c r="R102" s="64">
        <f t="shared" si="20"/>
        <v>1</v>
      </c>
      <c r="S102" s="64">
        <f t="shared" si="20"/>
        <v>1</v>
      </c>
      <c r="T102" s="64">
        <f t="shared" si="20"/>
        <v>1</v>
      </c>
      <c r="U102" s="64">
        <f t="shared" si="20"/>
        <v>1</v>
      </c>
      <c r="V102" s="64">
        <f t="shared" si="20"/>
        <v>1</v>
      </c>
      <c r="W102" s="64">
        <f t="shared" si="20"/>
        <v>1</v>
      </c>
      <c r="X102" s="64">
        <f t="shared" si="20"/>
        <v>1</v>
      </c>
      <c r="Y102" s="64">
        <f t="shared" si="20"/>
        <v>1</v>
      </c>
      <c r="Z102" s="64">
        <f t="shared" si="20"/>
        <v>1</v>
      </c>
      <c r="AA102" s="64">
        <f t="shared" si="20"/>
        <v>1</v>
      </c>
      <c r="AB102" s="64">
        <f t="shared" si="20"/>
        <v>1</v>
      </c>
      <c r="AC102" s="64">
        <f t="shared" si="20"/>
        <v>1</v>
      </c>
      <c r="AD102" s="64">
        <f t="shared" si="20"/>
        <v>1</v>
      </c>
      <c r="AE102" s="64">
        <f t="shared" si="20"/>
        <v>1</v>
      </c>
      <c r="AF102" s="64">
        <f t="shared" si="20"/>
        <v>1</v>
      </c>
      <c r="AG102" s="64">
        <f t="shared" si="20"/>
        <v>1</v>
      </c>
      <c r="AH102" s="64">
        <f t="shared" si="20"/>
        <v>1</v>
      </c>
      <c r="AI102" s="64">
        <f t="shared" si="20"/>
        <v>0</v>
      </c>
      <c r="AJ102"/>
      <c r="AK102" s="27"/>
      <c r="AL102" s="28"/>
      <c r="AM102"/>
      <c r="AN102" s="29"/>
    </row>
    <row r="103" spans="1:42" ht="15.9">
      <c r="B103" s="61"/>
      <c r="C103" s="65" t="s">
        <v>121</v>
      </c>
      <c r="D103" s="66"/>
      <c r="E103" s="64">
        <f t="shared" ref="E103:AI103" si="21">E33</f>
        <v>2</v>
      </c>
      <c r="F103" s="64">
        <f t="shared" si="21"/>
        <v>2</v>
      </c>
      <c r="G103" s="64">
        <f t="shared" si="21"/>
        <v>2</v>
      </c>
      <c r="H103" s="64">
        <f t="shared" si="21"/>
        <v>2</v>
      </c>
      <c r="I103" s="64">
        <f t="shared" si="21"/>
        <v>2</v>
      </c>
      <c r="J103" s="64">
        <f t="shared" si="21"/>
        <v>2</v>
      </c>
      <c r="K103" s="64">
        <f t="shared" si="21"/>
        <v>2</v>
      </c>
      <c r="L103" s="64">
        <f t="shared" si="21"/>
        <v>2</v>
      </c>
      <c r="M103" s="64">
        <f t="shared" si="21"/>
        <v>2</v>
      </c>
      <c r="N103" s="64">
        <f t="shared" si="21"/>
        <v>2</v>
      </c>
      <c r="O103" s="64">
        <f t="shared" si="21"/>
        <v>2</v>
      </c>
      <c r="P103" s="64">
        <f t="shared" si="21"/>
        <v>2</v>
      </c>
      <c r="Q103" s="64">
        <f t="shared" si="21"/>
        <v>2</v>
      </c>
      <c r="R103" s="64">
        <f t="shared" si="21"/>
        <v>2</v>
      </c>
      <c r="S103" s="64">
        <f t="shared" si="21"/>
        <v>2</v>
      </c>
      <c r="T103" s="64">
        <f t="shared" si="21"/>
        <v>2</v>
      </c>
      <c r="U103" s="64">
        <f t="shared" si="21"/>
        <v>3</v>
      </c>
      <c r="V103" s="64">
        <f t="shared" si="21"/>
        <v>2</v>
      </c>
      <c r="W103" s="64">
        <f t="shared" si="21"/>
        <v>2</v>
      </c>
      <c r="X103" s="64">
        <f t="shared" si="21"/>
        <v>2</v>
      </c>
      <c r="Y103" s="64">
        <f t="shared" si="21"/>
        <v>2</v>
      </c>
      <c r="Z103" s="64">
        <f t="shared" si="21"/>
        <v>2</v>
      </c>
      <c r="AA103" s="64">
        <f t="shared" si="21"/>
        <v>1</v>
      </c>
      <c r="AB103" s="64">
        <f t="shared" si="21"/>
        <v>2</v>
      </c>
      <c r="AC103" s="64">
        <f t="shared" si="21"/>
        <v>2</v>
      </c>
      <c r="AD103" s="64">
        <f t="shared" si="21"/>
        <v>2</v>
      </c>
      <c r="AE103" s="64">
        <f t="shared" si="21"/>
        <v>2</v>
      </c>
      <c r="AF103" s="64">
        <f t="shared" si="21"/>
        <v>2</v>
      </c>
      <c r="AG103" s="64">
        <f t="shared" si="21"/>
        <v>2</v>
      </c>
      <c r="AH103" s="64">
        <f t="shared" si="21"/>
        <v>2</v>
      </c>
      <c r="AI103" s="64">
        <f t="shared" si="21"/>
        <v>2</v>
      </c>
      <c r="AJ103"/>
      <c r="AK103" s="27"/>
      <c r="AL103" s="28"/>
      <c r="AM103"/>
      <c r="AN103" s="29"/>
    </row>
    <row r="104" spans="1:42">
      <c r="C104" s="67" t="s">
        <v>122</v>
      </c>
      <c r="D104" s="68"/>
      <c r="E104" s="64">
        <f t="shared" ref="E104:AI104" si="22">E34</f>
        <v>4</v>
      </c>
      <c r="F104" s="64">
        <f t="shared" si="22"/>
        <v>4</v>
      </c>
      <c r="G104" s="64">
        <f t="shared" si="22"/>
        <v>4</v>
      </c>
      <c r="H104" s="64">
        <f t="shared" si="22"/>
        <v>4</v>
      </c>
      <c r="I104" s="64">
        <f t="shared" si="22"/>
        <v>0</v>
      </c>
      <c r="J104" s="64">
        <f t="shared" si="22"/>
        <v>4</v>
      </c>
      <c r="K104" s="64">
        <f t="shared" si="22"/>
        <v>4</v>
      </c>
      <c r="L104" s="64">
        <f t="shared" si="22"/>
        <v>4</v>
      </c>
      <c r="M104" s="64">
        <f t="shared" si="22"/>
        <v>3</v>
      </c>
      <c r="N104" s="64">
        <f t="shared" si="22"/>
        <v>4</v>
      </c>
      <c r="O104" s="64">
        <f t="shared" si="22"/>
        <v>4</v>
      </c>
      <c r="P104" s="64">
        <f t="shared" si="22"/>
        <v>0</v>
      </c>
      <c r="Q104" s="64">
        <f t="shared" si="22"/>
        <v>4</v>
      </c>
      <c r="R104" s="64">
        <f t="shared" si="22"/>
        <v>4</v>
      </c>
      <c r="S104" s="64">
        <f t="shared" si="22"/>
        <v>4</v>
      </c>
      <c r="T104" s="64">
        <f t="shared" si="22"/>
        <v>3</v>
      </c>
      <c r="U104" s="64">
        <f t="shared" si="22"/>
        <v>7</v>
      </c>
      <c r="V104" s="64">
        <f t="shared" si="22"/>
        <v>7</v>
      </c>
      <c r="W104" s="64">
        <f t="shared" si="22"/>
        <v>0</v>
      </c>
      <c r="X104" s="64">
        <f t="shared" si="22"/>
        <v>4</v>
      </c>
      <c r="Y104" s="64">
        <f t="shared" si="22"/>
        <v>4</v>
      </c>
      <c r="Z104" s="64">
        <f t="shared" si="22"/>
        <v>4</v>
      </c>
      <c r="AA104" s="64">
        <f t="shared" si="22"/>
        <v>0</v>
      </c>
      <c r="AB104" s="64">
        <f t="shared" si="22"/>
        <v>4</v>
      </c>
      <c r="AC104" s="64">
        <f t="shared" si="22"/>
        <v>4</v>
      </c>
      <c r="AD104" s="64">
        <f t="shared" si="22"/>
        <v>1</v>
      </c>
      <c r="AE104" s="64">
        <f t="shared" si="22"/>
        <v>4</v>
      </c>
      <c r="AF104" s="64">
        <f t="shared" si="22"/>
        <v>4</v>
      </c>
      <c r="AG104" s="64">
        <f t="shared" si="22"/>
        <v>4</v>
      </c>
      <c r="AH104" s="64">
        <f t="shared" si="22"/>
        <v>3</v>
      </c>
      <c r="AI104" s="64">
        <f t="shared" si="22"/>
        <v>4</v>
      </c>
      <c r="AJ104"/>
      <c r="AK104" s="27"/>
      <c r="AL104" s="28"/>
      <c r="AM104"/>
      <c r="AN104" s="29"/>
    </row>
    <row r="105" spans="1:42">
      <c r="C105" s="69" t="s">
        <v>123</v>
      </c>
      <c r="D105" s="70"/>
      <c r="E105" s="64">
        <f t="shared" ref="E105:AI105" si="23">E35</f>
        <v>4</v>
      </c>
      <c r="F105" s="64">
        <f t="shared" si="23"/>
        <v>4</v>
      </c>
      <c r="G105" s="64">
        <f t="shared" si="23"/>
        <v>4</v>
      </c>
      <c r="H105" s="64">
        <f t="shared" si="23"/>
        <v>4</v>
      </c>
      <c r="I105" s="64">
        <f t="shared" si="23"/>
        <v>4</v>
      </c>
      <c r="J105" s="64">
        <f t="shared" si="23"/>
        <v>0</v>
      </c>
      <c r="K105" s="64">
        <f t="shared" si="23"/>
        <v>4</v>
      </c>
      <c r="L105" s="64">
        <f t="shared" si="23"/>
        <v>4</v>
      </c>
      <c r="M105" s="64">
        <f t="shared" si="23"/>
        <v>3</v>
      </c>
      <c r="N105" s="64">
        <f t="shared" si="23"/>
        <v>4</v>
      </c>
      <c r="O105" s="64">
        <f t="shared" si="23"/>
        <v>4</v>
      </c>
      <c r="P105" s="64">
        <f t="shared" si="23"/>
        <v>4</v>
      </c>
      <c r="Q105" s="64">
        <f t="shared" si="23"/>
        <v>0</v>
      </c>
      <c r="R105" s="64">
        <f t="shared" si="23"/>
        <v>4</v>
      </c>
      <c r="S105" s="64">
        <f t="shared" si="23"/>
        <v>4</v>
      </c>
      <c r="T105" s="64">
        <f t="shared" si="23"/>
        <v>2</v>
      </c>
      <c r="U105" s="64">
        <f t="shared" si="23"/>
        <v>4</v>
      </c>
      <c r="V105" s="64">
        <f t="shared" si="23"/>
        <v>4</v>
      </c>
      <c r="W105" s="64">
        <f t="shared" si="23"/>
        <v>4</v>
      </c>
      <c r="X105" s="64">
        <f t="shared" si="23"/>
        <v>0</v>
      </c>
      <c r="Y105" s="64">
        <f t="shared" si="23"/>
        <v>4</v>
      </c>
      <c r="Z105" s="64">
        <f t="shared" si="23"/>
        <v>4</v>
      </c>
      <c r="AA105" s="64">
        <f t="shared" si="23"/>
        <v>4</v>
      </c>
      <c r="AB105" s="64">
        <f t="shared" si="23"/>
        <v>4</v>
      </c>
      <c r="AC105" s="64">
        <f t="shared" si="23"/>
        <v>4</v>
      </c>
      <c r="AD105" s="64">
        <f t="shared" si="23"/>
        <v>4</v>
      </c>
      <c r="AE105" s="64">
        <f t="shared" si="23"/>
        <v>0</v>
      </c>
      <c r="AF105" s="64">
        <f t="shared" si="23"/>
        <v>4</v>
      </c>
      <c r="AG105" s="64">
        <f t="shared" si="23"/>
        <v>4</v>
      </c>
      <c r="AH105" s="64">
        <f t="shared" si="23"/>
        <v>4</v>
      </c>
      <c r="AI105" s="64">
        <f t="shared" si="23"/>
        <v>4</v>
      </c>
      <c r="AJ105"/>
      <c r="AK105" s="27"/>
      <c r="AL105" s="28"/>
      <c r="AM105"/>
      <c r="AN105" s="29"/>
    </row>
    <row r="106" spans="1:42" ht="15.9">
      <c r="C106" s="56"/>
      <c r="D106" s="57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97"/>
      <c r="AH106" s="98"/>
      <c r="AI106" s="27"/>
      <c r="AJ106"/>
      <c r="AK106" s="27"/>
      <c r="AL106" s="28"/>
      <c r="AM106"/>
      <c r="AN106" s="29"/>
    </row>
    <row r="107" spans="1:42" s="73" customFormat="1">
      <c r="C107" s="660" t="s">
        <v>122</v>
      </c>
      <c r="D107" s="660"/>
      <c r="E107" s="497"/>
      <c r="F107" s="757"/>
      <c r="G107" s="757"/>
      <c r="H107" s="757"/>
      <c r="I107" s="498"/>
      <c r="J107" s="509"/>
      <c r="K107" s="510"/>
      <c r="L107" s="511"/>
      <c r="M107" s="100"/>
      <c r="N107" s="509"/>
      <c r="O107" s="511"/>
      <c r="P107" s="100"/>
      <c r="Q107" s="509"/>
      <c r="R107" s="510"/>
      <c r="S107" s="511"/>
      <c r="T107" s="100"/>
      <c r="U107" s="509"/>
      <c r="V107" s="511"/>
      <c r="W107" s="100"/>
      <c r="X107" s="509"/>
      <c r="Y107" s="510"/>
      <c r="Z107" s="511"/>
      <c r="AA107" s="100"/>
      <c r="AB107" s="509"/>
      <c r="AC107" s="511"/>
      <c r="AD107" s="101"/>
      <c r="AE107" s="509"/>
      <c r="AF107" s="511"/>
      <c r="AJ107" s="80"/>
      <c r="AK107" s="27"/>
      <c r="AL107" s="28"/>
      <c r="AM107"/>
      <c r="AN107" s="29"/>
      <c r="AO107" s="1"/>
      <c r="AP107" s="1"/>
    </row>
    <row r="108" spans="1:42" s="73" customFormat="1">
      <c r="C108" s="660"/>
      <c r="D108" s="660"/>
      <c r="E108" s="501"/>
      <c r="F108" s="735"/>
      <c r="G108" s="735"/>
      <c r="H108" s="735"/>
      <c r="I108" s="502"/>
      <c r="J108" s="512"/>
      <c r="K108" s="513"/>
      <c r="L108" s="514"/>
      <c r="M108" s="103"/>
      <c r="N108" s="512"/>
      <c r="O108" s="514"/>
      <c r="P108" s="103"/>
      <c r="Q108" s="512"/>
      <c r="R108" s="513"/>
      <c r="S108" s="514"/>
      <c r="T108" s="103"/>
      <c r="U108" s="512"/>
      <c r="V108" s="514"/>
      <c r="W108" s="103"/>
      <c r="X108" s="512"/>
      <c r="Y108" s="513"/>
      <c r="Z108" s="514"/>
      <c r="AA108" s="103"/>
      <c r="AB108" s="512"/>
      <c r="AC108" s="514"/>
      <c r="AD108" s="104"/>
      <c r="AE108" s="512"/>
      <c r="AF108" s="514"/>
      <c r="AJ108" s="80"/>
      <c r="AK108" s="27"/>
      <c r="AL108" s="28"/>
      <c r="AM108"/>
      <c r="AN108" s="29"/>
      <c r="AO108" s="1"/>
      <c r="AP108" s="1"/>
    </row>
    <row r="109" spans="1:42" s="73" customFormat="1">
      <c r="C109" s="660"/>
      <c r="D109" s="660"/>
      <c r="E109" s="501"/>
      <c r="F109" s="735"/>
      <c r="G109" s="735"/>
      <c r="H109" s="735"/>
      <c r="I109" s="502"/>
      <c r="J109" s="512"/>
      <c r="K109" s="513"/>
      <c r="L109" s="514"/>
      <c r="M109" s="103"/>
      <c r="N109" s="512"/>
      <c r="O109" s="514"/>
      <c r="P109" s="103"/>
      <c r="Q109" s="512"/>
      <c r="R109" s="513"/>
      <c r="S109" s="514"/>
      <c r="T109" s="103"/>
      <c r="U109" s="512"/>
      <c r="V109" s="514"/>
      <c r="W109" s="103"/>
      <c r="X109" s="512"/>
      <c r="Y109" s="513"/>
      <c r="Z109" s="514"/>
      <c r="AA109" s="103"/>
      <c r="AB109" s="512"/>
      <c r="AC109" s="514"/>
      <c r="AD109" s="105"/>
      <c r="AE109" s="512"/>
      <c r="AF109" s="514"/>
      <c r="AJ109" s="80"/>
      <c r="AK109" s="27"/>
      <c r="AL109" s="28"/>
      <c r="AM109"/>
      <c r="AN109" s="29"/>
      <c r="AO109" s="1"/>
      <c r="AP109" s="1"/>
    </row>
    <row r="110" spans="1:42" s="73" customFormat="1">
      <c r="C110" s="660"/>
      <c r="D110" s="660"/>
      <c r="E110" s="504"/>
      <c r="F110" s="729"/>
      <c r="G110" s="729"/>
      <c r="H110" s="729"/>
      <c r="I110" s="505"/>
      <c r="J110" s="515"/>
      <c r="K110" s="516"/>
      <c r="L110" s="517"/>
      <c r="M110" s="107"/>
      <c r="N110" s="515"/>
      <c r="O110" s="517"/>
      <c r="P110" s="107"/>
      <c r="Q110" s="515"/>
      <c r="R110" s="516"/>
      <c r="S110" s="517"/>
      <c r="T110" s="107"/>
      <c r="U110" s="515"/>
      <c r="V110" s="517"/>
      <c r="W110" s="107"/>
      <c r="X110" s="515"/>
      <c r="Y110" s="516"/>
      <c r="Z110" s="517"/>
      <c r="AA110" s="107"/>
      <c r="AB110" s="515"/>
      <c r="AC110" s="517"/>
      <c r="AD110" s="108"/>
      <c r="AE110" s="515"/>
      <c r="AF110" s="517"/>
      <c r="AJ110" s="80"/>
      <c r="AK110" s="27"/>
      <c r="AL110" s="28"/>
      <c r="AM110"/>
      <c r="AN110" s="29"/>
      <c r="AO110" s="1"/>
      <c r="AP110" s="1"/>
    </row>
    <row r="111" spans="1:42" s="73" customFormat="1">
      <c r="C111" s="77"/>
      <c r="D111" s="77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109"/>
      <c r="AE111" s="110"/>
      <c r="AF111" s="79"/>
      <c r="AJ111" s="80"/>
      <c r="AK111" s="27"/>
      <c r="AL111" s="28"/>
      <c r="AM111"/>
      <c r="AN111" s="29"/>
      <c r="AO111" s="1"/>
      <c r="AP111" s="1"/>
    </row>
    <row r="112" spans="1:42" s="73" customFormat="1" ht="11.25" customHeight="1">
      <c r="C112" s="655" t="s">
        <v>123</v>
      </c>
      <c r="D112" s="655"/>
      <c r="E112" s="497"/>
      <c r="F112" s="518"/>
      <c r="G112" s="519" t="s">
        <v>203</v>
      </c>
      <c r="H112" s="520"/>
      <c r="I112" s="498"/>
      <c r="J112" s="521" t="s">
        <v>247</v>
      </c>
      <c r="K112" s="519"/>
      <c r="L112" s="520"/>
      <c r="M112" s="100"/>
      <c r="N112" s="756" t="s">
        <v>247</v>
      </c>
      <c r="O112" s="756"/>
      <c r="P112" s="100"/>
      <c r="Q112" s="521" t="s">
        <v>249</v>
      </c>
      <c r="R112" s="519"/>
      <c r="S112" s="520"/>
      <c r="T112" s="100"/>
      <c r="U112" s="756" t="s">
        <v>205</v>
      </c>
      <c r="V112" s="756"/>
      <c r="W112" s="100"/>
      <c r="X112" s="756" t="s">
        <v>248</v>
      </c>
      <c r="Y112" s="756"/>
      <c r="Z112" s="756"/>
      <c r="AA112" s="100"/>
      <c r="AB112" s="756" t="s">
        <v>248</v>
      </c>
      <c r="AC112" s="756"/>
      <c r="AD112" s="113"/>
      <c r="AE112" s="521" t="s">
        <v>203</v>
      </c>
      <c r="AF112" s="520"/>
      <c r="AJ112" s="80"/>
      <c r="AK112" s="27"/>
      <c r="AL112" s="28"/>
      <c r="AM112"/>
      <c r="AN112" s="29"/>
      <c r="AO112" s="1"/>
      <c r="AP112" s="1"/>
    </row>
    <row r="113" spans="3:42" s="73" customFormat="1" ht="11.25" customHeight="1">
      <c r="C113" s="655"/>
      <c r="D113" s="655"/>
      <c r="E113" s="501"/>
      <c r="F113" s="735" t="s">
        <v>207</v>
      </c>
      <c r="G113" s="735"/>
      <c r="H113" s="735"/>
      <c r="I113" s="502"/>
      <c r="J113" s="735" t="s">
        <v>250</v>
      </c>
      <c r="K113" s="735"/>
      <c r="L113" s="735"/>
      <c r="M113" s="103"/>
      <c r="N113" s="735" t="s">
        <v>206</v>
      </c>
      <c r="O113" s="735"/>
      <c r="P113" s="103"/>
      <c r="Q113" s="735" t="s">
        <v>211</v>
      </c>
      <c r="R113" s="735"/>
      <c r="S113" s="735"/>
      <c r="T113" s="103"/>
      <c r="U113" s="735" t="s">
        <v>249</v>
      </c>
      <c r="V113" s="735"/>
      <c r="W113" s="103"/>
      <c r="X113" s="735" t="s">
        <v>209</v>
      </c>
      <c r="Y113" s="735"/>
      <c r="Z113" s="735"/>
      <c r="AA113" s="103"/>
      <c r="AB113" s="735" t="s">
        <v>334</v>
      </c>
      <c r="AC113" s="735"/>
      <c r="AD113" s="104"/>
      <c r="AE113" s="512" t="s">
        <v>202</v>
      </c>
      <c r="AF113" s="514"/>
      <c r="AJ113" s="80"/>
      <c r="AK113" s="27"/>
      <c r="AL113" s="28"/>
      <c r="AM113"/>
      <c r="AN113" s="29"/>
      <c r="AO113" s="1"/>
      <c r="AP113" s="1"/>
    </row>
    <row r="114" spans="3:42" s="73" customFormat="1" ht="11.25" customHeight="1">
      <c r="C114" s="655"/>
      <c r="D114" s="655"/>
      <c r="E114" s="501"/>
      <c r="F114" s="735" t="s">
        <v>213</v>
      </c>
      <c r="G114" s="735"/>
      <c r="H114" s="735"/>
      <c r="I114" s="502"/>
      <c r="J114" s="735" t="s">
        <v>212</v>
      </c>
      <c r="K114" s="735"/>
      <c r="L114" s="735"/>
      <c r="M114" s="103"/>
      <c r="N114" s="735" t="s">
        <v>212</v>
      </c>
      <c r="O114" s="735"/>
      <c r="P114" s="103"/>
      <c r="Q114" s="735"/>
      <c r="R114" s="735"/>
      <c r="S114" s="735"/>
      <c r="T114" s="103"/>
      <c r="U114" s="735" t="s">
        <v>336</v>
      </c>
      <c r="V114" s="735"/>
      <c r="W114" s="103"/>
      <c r="X114" s="735" t="s">
        <v>252</v>
      </c>
      <c r="Y114" s="735"/>
      <c r="Z114" s="735"/>
      <c r="AA114" s="103"/>
      <c r="AB114" s="735" t="s">
        <v>252</v>
      </c>
      <c r="AC114" s="735"/>
      <c r="AD114" s="104"/>
      <c r="AE114" s="512" t="s">
        <v>253</v>
      </c>
      <c r="AF114" s="514"/>
      <c r="AJ114" s="80"/>
      <c r="AK114" s="27"/>
      <c r="AL114" s="28"/>
      <c r="AM114"/>
      <c r="AN114" s="29"/>
      <c r="AO114" s="1"/>
      <c r="AP114" s="1"/>
    </row>
    <row r="115" spans="3:42" s="73" customFormat="1" ht="11.25" customHeight="1">
      <c r="C115" s="655"/>
      <c r="D115" s="655"/>
      <c r="E115" s="504"/>
      <c r="F115" s="729" t="s">
        <v>324</v>
      </c>
      <c r="G115" s="729"/>
      <c r="H115" s="729"/>
      <c r="I115" s="505"/>
      <c r="J115" s="729" t="s">
        <v>214</v>
      </c>
      <c r="K115" s="729"/>
      <c r="L115" s="729"/>
      <c r="M115" s="107"/>
      <c r="N115" s="729" t="s">
        <v>214</v>
      </c>
      <c r="O115" s="729"/>
      <c r="P115" s="107"/>
      <c r="Q115" s="729" t="s">
        <v>175</v>
      </c>
      <c r="R115" s="729"/>
      <c r="S115" s="729"/>
      <c r="T115" s="107"/>
      <c r="U115" s="729" t="s">
        <v>215</v>
      </c>
      <c r="V115" s="729"/>
      <c r="W115" s="107"/>
      <c r="X115" s="729" t="s">
        <v>251</v>
      </c>
      <c r="Y115" s="729"/>
      <c r="Z115" s="729"/>
      <c r="AA115" s="107"/>
      <c r="AB115" s="729" t="s">
        <v>251</v>
      </c>
      <c r="AC115" s="729"/>
      <c r="AD115" s="108"/>
      <c r="AE115" s="515" t="s">
        <v>317</v>
      </c>
      <c r="AF115" s="517"/>
      <c r="AJ115" s="80"/>
      <c r="AK115" s="27"/>
      <c r="AL115" s="28"/>
      <c r="AM115"/>
      <c r="AN115" s="29"/>
      <c r="AO115" s="1"/>
      <c r="AP115" s="1"/>
    </row>
    <row r="116" spans="3:42" ht="15.9">
      <c r="C116" s="61"/>
      <c r="D116" s="81"/>
      <c r="AK116" s="27"/>
      <c r="AL116" s="28"/>
      <c r="AM116"/>
      <c r="AN116" s="29"/>
    </row>
  </sheetData>
  <autoFilter ref="A48:AO105" xr:uid="{00000000-0009-0000-0000-000011000000}"/>
  <mergeCells count="99">
    <mergeCell ref="C37:D40"/>
    <mergeCell ref="F37:H37"/>
    <mergeCell ref="J37:K37"/>
    <mergeCell ref="M37:O37"/>
    <mergeCell ref="Q37:R37"/>
    <mergeCell ref="F38:H38"/>
    <mergeCell ref="J38:K38"/>
    <mergeCell ref="M38:O38"/>
    <mergeCell ref="Q38:R38"/>
    <mergeCell ref="F39:H39"/>
    <mergeCell ref="J39:K39"/>
    <mergeCell ref="M39:O39"/>
    <mergeCell ref="Q39:R39"/>
    <mergeCell ref="F40:H40"/>
    <mergeCell ref="J40:K40"/>
    <mergeCell ref="M40:O40"/>
    <mergeCell ref="T37:V37"/>
    <mergeCell ref="X37:Y37"/>
    <mergeCell ref="AA37:AC37"/>
    <mergeCell ref="AE37:AF37"/>
    <mergeCell ref="AH37:AI37"/>
    <mergeCell ref="T38:V38"/>
    <mergeCell ref="X38:Y38"/>
    <mergeCell ref="AA38:AC38"/>
    <mergeCell ref="AE38:AF38"/>
    <mergeCell ref="AH38:AI38"/>
    <mergeCell ref="T39:V39"/>
    <mergeCell ref="X39:Y39"/>
    <mergeCell ref="AA39:AC39"/>
    <mergeCell ref="AE39:AF39"/>
    <mergeCell ref="AH39:AI39"/>
    <mergeCell ref="Q40:R40"/>
    <mergeCell ref="T40:V40"/>
    <mergeCell ref="X40:Y40"/>
    <mergeCell ref="AA40:AC40"/>
    <mergeCell ref="AE40:AF40"/>
    <mergeCell ref="AH40:AI40"/>
    <mergeCell ref="C42:D45"/>
    <mergeCell ref="F42:H42"/>
    <mergeCell ref="N42:O42"/>
    <mergeCell ref="U42:V42"/>
    <mergeCell ref="X42:Z42"/>
    <mergeCell ref="AB42:AC42"/>
    <mergeCell ref="AE42:AI42"/>
    <mergeCell ref="F43:H43"/>
    <mergeCell ref="J43:L43"/>
    <mergeCell ref="N43:O43"/>
    <mergeCell ref="Q43:S43"/>
    <mergeCell ref="U43:V43"/>
    <mergeCell ref="X43:Z43"/>
    <mergeCell ref="AB43:AC43"/>
    <mergeCell ref="AE43:AI43"/>
    <mergeCell ref="X44:Z44"/>
    <mergeCell ref="AB44:AC44"/>
    <mergeCell ref="AE44:AI44"/>
    <mergeCell ref="F45:H45"/>
    <mergeCell ref="J45:L45"/>
    <mergeCell ref="N45:O45"/>
    <mergeCell ref="Q45:S45"/>
    <mergeCell ref="U45:V45"/>
    <mergeCell ref="X45:Z45"/>
    <mergeCell ref="AB45:AC45"/>
    <mergeCell ref="AE45:AI45"/>
    <mergeCell ref="F44:H44"/>
    <mergeCell ref="J44:L44"/>
    <mergeCell ref="N44:O44"/>
    <mergeCell ref="Q44:S44"/>
    <mergeCell ref="U44:V44"/>
    <mergeCell ref="C107:D110"/>
    <mergeCell ref="F107:H107"/>
    <mergeCell ref="F108:H108"/>
    <mergeCell ref="F109:H109"/>
    <mergeCell ref="F110:H110"/>
    <mergeCell ref="C112:D115"/>
    <mergeCell ref="N112:O112"/>
    <mergeCell ref="U112:V112"/>
    <mergeCell ref="X112:Z112"/>
    <mergeCell ref="AB112:AC112"/>
    <mergeCell ref="F113:H113"/>
    <mergeCell ref="J113:L113"/>
    <mergeCell ref="N113:O113"/>
    <mergeCell ref="Q113:S113"/>
    <mergeCell ref="U113:V113"/>
    <mergeCell ref="X113:Z113"/>
    <mergeCell ref="AB113:AC113"/>
    <mergeCell ref="F114:H114"/>
    <mergeCell ref="J114:L114"/>
    <mergeCell ref="N114:O114"/>
    <mergeCell ref="Q114:S114"/>
    <mergeCell ref="U114:V114"/>
    <mergeCell ref="X114:Z114"/>
    <mergeCell ref="AB114:AC114"/>
    <mergeCell ref="F115:H115"/>
    <mergeCell ref="J115:L115"/>
    <mergeCell ref="N115:O115"/>
    <mergeCell ref="Q115:S115"/>
    <mergeCell ref="U115:V115"/>
    <mergeCell ref="X115:Z115"/>
    <mergeCell ref="AB115:AC115"/>
  </mergeCells>
  <conditionalFormatting sqref="A2:A31 A86 A92">
    <cfRule type="containsText" dxfId="438" priority="116" operator="containsText" text="SG212">
      <formula>NOT(ISERROR(SEARCH("SG212",A2)))</formula>
    </cfRule>
    <cfRule type="containsText" dxfId="437" priority="114" operator="containsText" text="SG068">
      <formula>NOT(ISERROR(SEARCH("SG068",A2)))</formula>
    </cfRule>
    <cfRule type="containsText" dxfId="436" priority="115" operator="containsText" text="SG214">
      <formula>NOT(ISERROR(SEARCH("SG214",A2)))</formula>
    </cfRule>
    <cfRule type="containsText" dxfId="435" priority="113" operator="containsText" text="SG007">
      <formula>NOT(ISERROR(SEARCH("SG007",A2)))</formula>
    </cfRule>
  </conditionalFormatting>
  <conditionalFormatting sqref="A5:A31 A86 A92">
    <cfRule type="containsText" dxfId="434" priority="117" operator="containsText" text="SG070">
      <formula>NOT(ISERROR(SEARCH("SG070",A5)))</formula>
    </cfRule>
  </conditionalFormatting>
  <conditionalFormatting sqref="A101">
    <cfRule type="containsText" dxfId="433" priority="127" operator="containsText" text="SG070">
      <formula>NOT(ISERROR(SEARCH("SG070",A101)))</formula>
    </cfRule>
    <cfRule type="containsText" dxfId="432" priority="126" operator="containsText" text="SG212">
      <formula>NOT(ISERROR(SEARCH("SG212",A101)))</formula>
    </cfRule>
    <cfRule type="containsText" dxfId="431" priority="125" operator="containsText" text="SG214">
      <formula>NOT(ISERROR(SEARCH("SG214",A101)))</formula>
    </cfRule>
    <cfRule type="containsText" dxfId="430" priority="123" operator="containsText" text="SG007">
      <formula>NOT(ISERROR(SEARCH("SG007",A101)))</formula>
    </cfRule>
    <cfRule type="containsText" dxfId="429" priority="124" operator="containsText" text="SG068">
      <formula>NOT(ISERROR(SEARCH("SG068",A101)))</formula>
    </cfRule>
  </conditionalFormatting>
  <conditionalFormatting sqref="E31:I31 L31:P31 S31:W31 Z31:AD31">
    <cfRule type="cellIs" dxfId="428" priority="58" operator="greaterThan">
      <formula>0</formula>
    </cfRule>
  </conditionalFormatting>
  <conditionalFormatting sqref="E101:K101">
    <cfRule type="containsText" dxfId="427" priority="72" operator="containsText" text="s">
      <formula>NOT(ISERROR(SEARCH("s",E101)))</formula>
    </cfRule>
    <cfRule type="containsText" dxfId="426" priority="71" operator="containsText" text="u">
      <formula>NOT(ISERROR(SEARCH("u",E101)))</formula>
    </cfRule>
    <cfRule type="containsText" dxfId="425" priority="70" operator="containsText" text="k">
      <formula>NOT(ISERROR(SEARCH("k",E101)))</formula>
    </cfRule>
    <cfRule type="containsText" dxfId="424" priority="69" operator="containsText" text="wse">
      <formula>NOT(ISERROR(SEARCH("wse",E101)))</formula>
    </cfRule>
    <cfRule type="containsText" dxfId="423" priority="73" operator="containsText" text="d">
      <formula>NOT(ISERROR(SEARCH("d",E101)))</formula>
    </cfRule>
  </conditionalFormatting>
  <conditionalFormatting sqref="E31:AF31">
    <cfRule type="containsText" dxfId="421" priority="19" operator="containsText" text="12g">
      <formula>NOT(ISERROR(SEARCH("12g",E31)))</formula>
    </cfRule>
    <cfRule type="containsText" dxfId="419" priority="21" operator="containsText" text="wse">
      <formula>NOT(ISERROR(SEARCH("wse",E31)))</formula>
    </cfRule>
    <cfRule type="containsText" dxfId="418" priority="22" operator="containsText" text="k">
      <formula>NOT(ISERROR(SEARCH("k",E31)))</formula>
    </cfRule>
    <cfRule type="containsText" dxfId="417" priority="23" operator="containsText" text="u">
      <formula>NOT(ISERROR(SEARCH("u",E31)))</formula>
    </cfRule>
    <cfRule type="containsText" dxfId="416" priority="24" operator="containsText" text="s">
      <formula>NOT(ISERROR(SEARCH("s",E31)))</formula>
    </cfRule>
    <cfRule type="containsText" dxfId="415" priority="25" operator="containsText" text="d">
      <formula>NOT(ISERROR(SEARCH("d",E31)))</formula>
    </cfRule>
    <cfRule type="containsText" dxfId="414" priority="18" operator="containsText" text="l4">
      <formula>NOT(ISERROR(SEARCH("l4",E31)))</formula>
    </cfRule>
  </conditionalFormatting>
  <conditionalFormatting sqref="E101:AF101">
    <cfRule type="containsText" dxfId="413" priority="67" operator="containsText" text="12g">
      <formula>NOT(ISERROR(SEARCH("12g",E101)))</formula>
    </cfRule>
    <cfRule type="containsText" dxfId="412" priority="66" operator="containsText" text="l4">
      <formula>NOT(ISERROR(SEARCH("l4",E101)))</formula>
    </cfRule>
  </conditionalFormatting>
  <conditionalFormatting sqref="E2:AI30">
    <cfRule type="cellIs" dxfId="411" priority="145" operator="greaterThan">
      <formula>0</formula>
    </cfRule>
    <cfRule type="containsText" dxfId="410" priority="137" operator="containsText" text="l4">
      <formula>NOT(ISERROR(SEARCH("l4",E2)))</formula>
    </cfRule>
    <cfRule type="containsText" dxfId="409" priority="138" operator="containsText" text="12g">
      <formula>NOT(ISERROR(SEARCH("12g",E2)))</formula>
    </cfRule>
    <cfRule type="containsText" dxfId="407" priority="140" operator="containsText" text="wse">
      <formula>NOT(ISERROR(SEARCH("wse",E2)))</formula>
    </cfRule>
    <cfRule type="containsText" dxfId="406" priority="141" operator="containsText" text="k">
      <formula>NOT(ISERROR(SEARCH("k",E2)))</formula>
    </cfRule>
    <cfRule type="containsText" dxfId="405" priority="142" operator="containsText" text="u">
      <formula>NOT(ISERROR(SEARCH("u",E2)))</formula>
    </cfRule>
    <cfRule type="containsText" dxfId="404" priority="143" operator="containsText" text="s">
      <formula>NOT(ISERROR(SEARCH("s",E2)))</formula>
    </cfRule>
    <cfRule type="containsText" dxfId="403" priority="144" operator="containsText" text="d">
      <formula>NOT(ISERROR(SEARCH("d",E2)))</formula>
    </cfRule>
  </conditionalFormatting>
  <conditionalFormatting sqref="E32:AI32 E33:AJ33">
    <cfRule type="cellIs" dxfId="402" priority="59" operator="between">
      <formula>0.5</formula>
      <formula>1.5</formula>
    </cfRule>
    <cfRule type="cellIs" dxfId="401" priority="60" operator="equal">
      <formula>0</formula>
    </cfRule>
  </conditionalFormatting>
  <conditionalFormatting sqref="E32:AI32">
    <cfRule type="cellIs" dxfId="400" priority="62" operator="greaterThan">
      <formula>1.5</formula>
    </cfRule>
  </conditionalFormatting>
  <conditionalFormatting sqref="E34:AI34">
    <cfRule type="cellIs" dxfId="399" priority="64" operator="greaterThan">
      <formula>3.5</formula>
    </cfRule>
  </conditionalFormatting>
  <conditionalFormatting sqref="E34:AI35">
    <cfRule type="cellIs" dxfId="398" priority="61" operator="equal">
      <formula>0</formula>
    </cfRule>
  </conditionalFormatting>
  <conditionalFormatting sqref="E35:AI35">
    <cfRule type="cellIs" dxfId="397" priority="17" operator="greaterThan">
      <formula>3.5</formula>
    </cfRule>
  </conditionalFormatting>
  <conditionalFormatting sqref="E49:AI100">
    <cfRule type="containsText" dxfId="396" priority="135" operator="containsText" text="d">
      <formula>NOT(ISERROR(SEARCH("d",E49)))</formula>
    </cfRule>
    <cfRule type="cellIs" dxfId="395" priority="136" operator="greaterThan">
      <formula>0</formula>
    </cfRule>
    <cfRule type="containsText" dxfId="394" priority="128" operator="containsText" text="l4">
      <formula>NOT(ISERROR(SEARCH("l4",E49)))</formula>
    </cfRule>
    <cfRule type="containsText" dxfId="393" priority="133" operator="containsText" text="u">
      <formula>NOT(ISERROR(SEARCH("u",E49)))</formula>
    </cfRule>
    <cfRule type="containsText" dxfId="392" priority="129" operator="containsText" text="12g">
      <formula>NOT(ISERROR(SEARCH("12g",E49)))</formula>
    </cfRule>
    <cfRule type="containsText" dxfId="390" priority="131" operator="containsText" text="wse">
      <formula>NOT(ISERROR(SEARCH("wse",E49)))</formula>
    </cfRule>
    <cfRule type="containsText" dxfId="389" priority="132" operator="containsText" text="k">
      <formula>NOT(ISERROR(SEARCH("k",E49)))</formula>
    </cfRule>
    <cfRule type="containsText" dxfId="388" priority="134" operator="containsText" text="s">
      <formula>NOT(ISERROR(SEARCH("s",E49)))</formula>
    </cfRule>
  </conditionalFormatting>
  <conditionalFormatting sqref="E102:AI102">
    <cfRule type="cellIs" dxfId="387" priority="110" operator="greaterThan">
      <formula>1.5</formula>
    </cfRule>
  </conditionalFormatting>
  <conditionalFormatting sqref="E102:AI103">
    <cfRule type="cellIs" dxfId="386" priority="107" operator="between">
      <formula>0.5</formula>
      <formula>1.5</formula>
    </cfRule>
  </conditionalFormatting>
  <conditionalFormatting sqref="E102:AI105">
    <cfRule type="cellIs" dxfId="385" priority="108" operator="equal">
      <formula>0</formula>
    </cfRule>
  </conditionalFormatting>
  <conditionalFormatting sqref="E103:AI103">
    <cfRule type="cellIs" dxfId="384" priority="111" operator="greaterThan">
      <formula>1.5</formula>
    </cfRule>
  </conditionalFormatting>
  <conditionalFormatting sqref="E104:AI104">
    <cfRule type="cellIs" dxfId="383" priority="112" operator="greaterThan">
      <formula>3.5</formula>
    </cfRule>
  </conditionalFormatting>
  <conditionalFormatting sqref="E105:AI105">
    <cfRule type="cellIs" dxfId="382" priority="65" operator="greaterThan">
      <formula>3.5</formula>
    </cfRule>
  </conditionalFormatting>
  <conditionalFormatting sqref="E33:AJ33">
    <cfRule type="cellIs" dxfId="381" priority="63" operator="greaterThan">
      <formula>1.5</formula>
    </cfRule>
  </conditionalFormatting>
  <conditionalFormatting sqref="L101:R101">
    <cfRule type="containsText" dxfId="380" priority="77" operator="containsText" text="wse">
      <formula>NOT(ISERROR(SEARCH("wse",L101)))</formula>
    </cfRule>
    <cfRule type="containsText" dxfId="379" priority="78" operator="containsText" text="k">
      <formula>NOT(ISERROR(SEARCH("k",L101)))</formula>
    </cfRule>
    <cfRule type="containsText" dxfId="378" priority="79" operator="containsText" text="u">
      <formula>NOT(ISERROR(SEARCH("u",L101)))</formula>
    </cfRule>
    <cfRule type="containsText" dxfId="377" priority="80" operator="containsText" text="s">
      <formula>NOT(ISERROR(SEARCH("s",L101)))</formula>
    </cfRule>
    <cfRule type="containsText" dxfId="376" priority="81" operator="containsText" text="d">
      <formula>NOT(ISERROR(SEARCH("d",L101)))</formula>
    </cfRule>
  </conditionalFormatting>
  <conditionalFormatting sqref="S101:W101 Z101:AD101 L101:P101 E101:I101">
    <cfRule type="cellIs" dxfId="374" priority="106" operator="greaterThan">
      <formula>0</formula>
    </cfRule>
  </conditionalFormatting>
  <conditionalFormatting sqref="S101:W101">
    <cfRule type="containsText" dxfId="373" priority="104" operator="containsText" text="s">
      <formula>NOT(ISERROR(SEARCH("s",S101)))</formula>
    </cfRule>
    <cfRule type="containsText" dxfId="372" priority="105" operator="containsText" text="d">
      <formula>NOT(ISERROR(SEARCH("d",S101)))</formula>
    </cfRule>
    <cfRule type="containsText" dxfId="371" priority="103" operator="containsText" text="u">
      <formula>NOT(ISERROR(SEARCH("u",S101)))</formula>
    </cfRule>
    <cfRule type="containsText" dxfId="369" priority="101" operator="containsText" text="wse">
      <formula>NOT(ISERROR(SEARCH("wse",S101)))</formula>
    </cfRule>
    <cfRule type="containsText" dxfId="368" priority="102" operator="containsText" text="k">
      <formula>NOT(ISERROR(SEARCH("k",S101)))</formula>
    </cfRule>
  </conditionalFormatting>
  <conditionalFormatting sqref="X101:Y101">
    <cfRule type="containsText" dxfId="367" priority="88" operator="containsText" text="s">
      <formula>NOT(ISERROR(SEARCH("s",X101)))</formula>
    </cfRule>
    <cfRule type="containsText" dxfId="366" priority="89" operator="containsText" text="d">
      <formula>NOT(ISERROR(SEARCH("d",X101)))</formula>
    </cfRule>
    <cfRule type="containsText" dxfId="365" priority="87" operator="containsText" text="u">
      <formula>NOT(ISERROR(SEARCH("u",X101)))</formula>
    </cfRule>
    <cfRule type="containsText" dxfId="364" priority="86" operator="containsText" text="k">
      <formula>NOT(ISERROR(SEARCH("k",X101)))</formula>
    </cfRule>
    <cfRule type="containsText" dxfId="363" priority="85" operator="containsText" text="wse">
      <formula>NOT(ISERROR(SEARCH("wse",X101)))</formula>
    </cfRule>
  </conditionalFormatting>
  <conditionalFormatting sqref="Z101:AF101">
    <cfRule type="containsText" dxfId="361" priority="95" operator="containsText" text="u">
      <formula>NOT(ISERROR(SEARCH("u",Z101)))</formula>
    </cfRule>
    <cfRule type="containsText" dxfId="360" priority="96" operator="containsText" text="s">
      <formula>NOT(ISERROR(SEARCH("s",Z101)))</formula>
    </cfRule>
    <cfRule type="containsText" dxfId="359" priority="97" operator="containsText" text="d">
      <formula>NOT(ISERROR(SEARCH("d",Z101)))</formula>
    </cfRule>
    <cfRule type="containsText" dxfId="357" priority="93" operator="containsText" text="wse">
      <formula>NOT(ISERROR(SEARCH("wse",Z101)))</formula>
    </cfRule>
    <cfRule type="containsText" dxfId="356" priority="94" operator="containsText" text="k">
      <formula>NOT(ISERROR(SEARCH("k",Z101)))</formula>
    </cfRule>
  </conditionalFormatting>
  <conditionalFormatting sqref="AQ5:AQ14">
    <cfRule type="containsText" dxfId="355" priority="8" operator="containsText" text="d">
      <formula>NOT(ISERROR(SEARCH("d",AQ5)))</formula>
    </cfRule>
    <cfRule type="containsText" dxfId="354" priority="7" operator="containsText" text="s">
      <formula>NOT(ISERROR(SEARCH("s",AQ5)))</formula>
    </cfRule>
    <cfRule type="containsText" dxfId="353" priority="6" operator="containsText" text="u">
      <formula>NOT(ISERROR(SEARCH("u",AQ5)))</formula>
    </cfRule>
    <cfRule type="containsText" dxfId="352" priority="5" operator="containsText" text="k">
      <formula>NOT(ISERROR(SEARCH("k",AQ5)))</formula>
    </cfRule>
    <cfRule type="containsText" dxfId="351" priority="4" operator="containsText" text="wse">
      <formula>NOT(ISERROR(SEARCH("wse",AQ5)))</formula>
    </cfRule>
    <cfRule type="containsText" dxfId="349" priority="2" operator="containsText" text="12g">
      <formula>NOT(ISERROR(SEARCH("12g",AQ5)))</formula>
    </cfRule>
  </conditionalFormatting>
  <conditionalFormatting sqref="AQ15">
    <cfRule type="containsText" dxfId="348" priority="12" operator="containsText" text="wse">
      <formula>NOT(ISERROR(SEARCH("wse",AQ15)))</formula>
    </cfRule>
    <cfRule type="containsText" dxfId="346" priority="10" operator="containsText" text="12g">
      <formula>NOT(ISERROR(SEARCH("12g",AQ15)))</formula>
    </cfRule>
    <cfRule type="containsText" dxfId="345" priority="9" operator="containsText" text="l4">
      <formula>NOT(ISERROR(SEARCH("l4",AQ15)))</formula>
    </cfRule>
    <cfRule type="containsText" dxfId="344" priority="14" operator="containsText" text="u">
      <formula>NOT(ISERROR(SEARCH("u",AQ15)))</formula>
    </cfRule>
    <cfRule type="containsText" dxfId="343" priority="16" operator="containsText" text="d">
      <formula>NOT(ISERROR(SEARCH("d",AQ15)))</formula>
    </cfRule>
    <cfRule type="containsText" dxfId="342" priority="15" operator="containsText" text="s">
      <formula>NOT(ISERROR(SEARCH("s",AQ15)))</formula>
    </cfRule>
    <cfRule type="containsText" dxfId="341" priority="13" operator="containsText" text="k">
      <formula>NOT(ISERROR(SEARCH("k",AQ15)))</formula>
    </cfRule>
  </conditionalFormatting>
  <pageMargins left="0" right="0" top="0" bottom="0" header="0.51180555555555496" footer="0.51180555555555496"/>
  <pageSetup paperSize="9" orientation="landscape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8" operator="containsText" id="{008B3AC0-CA3C-4BC8-82EC-7D4516176AAA}">
            <xm:f>NOT(ISERROR(SEARCH("-",E101)))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E101:P101</xm:sqref>
        </x14:conditionalFormatting>
        <x14:conditionalFormatting xmlns:xm="http://schemas.microsoft.com/office/excel/2006/main">
          <x14:cfRule type="containsText" priority="20" operator="containsText" id="{9FD88645-BE20-437D-B775-C0DA64B5F81F}">
            <xm:f>NOT(ISERROR(SEARCH("-",E31)))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E31:AF31</xm:sqref>
        </x14:conditionalFormatting>
        <x14:conditionalFormatting xmlns:xm="http://schemas.microsoft.com/office/excel/2006/main">
          <x14:cfRule type="containsText" priority="139" operator="containsText" id="{DEDF98DD-D07D-4D28-8CC2-4F54A9211ADD}">
            <xm:f>NOT(ISERROR(SEARCH("-",E2)))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E2:AI30</xm:sqref>
        </x14:conditionalFormatting>
        <x14:conditionalFormatting xmlns:xm="http://schemas.microsoft.com/office/excel/2006/main">
          <x14:cfRule type="containsText" priority="130" operator="containsText" id="{6C7B6FB5-94C4-4920-B7D6-202D00281AF4}">
            <xm:f>NOT(ISERROR(SEARCH("-",E49)))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E49:AI100</xm:sqref>
        </x14:conditionalFormatting>
        <x14:conditionalFormatting xmlns:xm="http://schemas.microsoft.com/office/excel/2006/main">
          <x14:cfRule type="containsText" priority="76" operator="containsText" id="{20FC15E9-97C4-41DB-BAF0-EE6B161642F9}">
            <xm:f>NOT(ISERROR(SEARCH("-",Q101)))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Q101:R101</xm:sqref>
        </x14:conditionalFormatting>
        <x14:conditionalFormatting xmlns:xm="http://schemas.microsoft.com/office/excel/2006/main">
          <x14:cfRule type="containsText" priority="100" operator="containsText" id="{4767342B-EFCC-42D5-A2D6-1CF3E7B05D6C}">
            <xm:f>NOT(ISERROR(SEARCH("-",S101)))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S101:W101</xm:sqref>
        </x14:conditionalFormatting>
        <x14:conditionalFormatting xmlns:xm="http://schemas.microsoft.com/office/excel/2006/main">
          <x14:cfRule type="containsText" priority="84" operator="containsText" id="{EF3B9B43-E8DA-4C7C-9BFB-4BB0D2562192}">
            <xm:f>NOT(ISERROR(SEARCH("-",X101)))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X101:Y101</xm:sqref>
        </x14:conditionalFormatting>
        <x14:conditionalFormatting xmlns:xm="http://schemas.microsoft.com/office/excel/2006/main">
          <x14:cfRule type="containsText" priority="92" operator="containsText" id="{D4655A3C-62A2-4656-AA49-2D26E317C348}">
            <xm:f>NOT(ISERROR(SEARCH("-",Z101)))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Z101:AF101</xm:sqref>
        </x14:conditionalFormatting>
        <x14:conditionalFormatting xmlns:xm="http://schemas.microsoft.com/office/excel/2006/main">
          <x14:cfRule type="containsText" priority="3" operator="containsText" id="{E97052F7-779F-463A-9565-B08B25BE50EF}">
            <xm:f>NOT(ISERROR(SEARCH("-",AQ5)))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AQ5:AQ14</xm:sqref>
        </x14:conditionalFormatting>
        <x14:conditionalFormatting xmlns:xm="http://schemas.microsoft.com/office/excel/2006/main">
          <x14:cfRule type="containsText" priority="11" operator="containsText" id="{2FDBDB4C-B7E6-4B4B-87ED-284FD07F335C}">
            <xm:f>NOT(ISERROR(SEARCH("-",AQ15)))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AQ15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4"/>
  <sheetViews>
    <sheetView zoomScaleNormal="100" workbookViewId="0">
      <selection activeCell="C4" sqref="C4"/>
    </sheetView>
  </sheetViews>
  <sheetFormatPr defaultColWidth="8.69140625" defaultRowHeight="14.6"/>
  <cols>
    <col min="1" max="1" width="3.84375" style="176" customWidth="1"/>
    <col min="2" max="2" width="6" style="177" customWidth="1"/>
    <col min="3" max="3" width="28.84375" style="178" customWidth="1"/>
    <col min="4" max="4" width="23.84375" customWidth="1"/>
    <col min="5" max="5" width="24.53515625" customWidth="1"/>
    <col min="7" max="7" width="20.3046875" customWidth="1"/>
    <col min="8" max="8" width="4" customWidth="1"/>
    <col min="9" max="9" width="20.3046875" customWidth="1"/>
    <col min="10" max="11" width="4" customWidth="1"/>
    <col min="12" max="12" width="20.3046875" customWidth="1"/>
    <col min="13" max="13" width="4" customWidth="1"/>
    <col min="14" max="14" width="20.3046875" customWidth="1"/>
  </cols>
  <sheetData>
    <row r="1" spans="1:14" ht="30.9">
      <c r="B1" s="686" t="s">
        <v>337</v>
      </c>
      <c r="C1" s="686"/>
      <c r="D1" s="686"/>
      <c r="E1" s="686"/>
      <c r="G1" s="694" t="s">
        <v>275</v>
      </c>
      <c r="H1" s="694"/>
      <c r="I1" s="694"/>
      <c r="J1" s="694"/>
      <c r="K1" s="694"/>
      <c r="L1" s="694"/>
      <c r="M1" s="694"/>
      <c r="N1" s="694"/>
    </row>
    <row r="2" spans="1:14" ht="28.3">
      <c r="A2" s="687" t="s">
        <v>178</v>
      </c>
      <c r="B2" s="687"/>
      <c r="C2" s="687"/>
      <c r="D2" s="687"/>
      <c r="E2" s="687"/>
      <c r="G2" s="695" t="s">
        <v>221</v>
      </c>
      <c r="H2" s="695"/>
      <c r="I2" s="695"/>
      <c r="J2" s="234"/>
      <c r="K2" s="235"/>
      <c r="L2" s="696" t="s">
        <v>222</v>
      </c>
      <c r="M2" s="696"/>
      <c r="N2" s="696"/>
    </row>
    <row r="3" spans="1:14" ht="23.15">
      <c r="A3" s="688">
        <v>44378</v>
      </c>
      <c r="B3" s="688"/>
      <c r="C3" s="180" t="s">
        <v>179</v>
      </c>
      <c r="D3" s="181" t="s">
        <v>180</v>
      </c>
      <c r="E3" s="181" t="s">
        <v>180</v>
      </c>
      <c r="G3" s="28"/>
      <c r="J3" s="29"/>
      <c r="K3" s="28"/>
      <c r="N3" s="29"/>
    </row>
    <row r="4" spans="1:14" ht="19.3">
      <c r="A4" s="374">
        <v>1</v>
      </c>
      <c r="B4" s="190" t="s">
        <v>338</v>
      </c>
      <c r="C4" s="191" t="e">
        <f>VLOOKUP("D",LIPIEC!$E$2:$AJ$32,32,0)</f>
        <v>#REF!</v>
      </c>
      <c r="D4" s="237"/>
      <c r="E4" s="237"/>
      <c r="G4" s="238"/>
      <c r="I4" s="238"/>
      <c r="J4" s="29"/>
      <c r="K4" s="28"/>
      <c r="L4" s="238"/>
      <c r="N4" s="238"/>
    </row>
    <row r="5" spans="1:14" ht="19.3">
      <c r="A5" s="189">
        <v>2</v>
      </c>
      <c r="B5" s="190" t="s">
        <v>339</v>
      </c>
      <c r="C5" s="191" t="e">
        <f>VLOOKUP("D",LIPIEC!F$2:$AJ$32,31,0)</f>
        <v>#REF!</v>
      </c>
      <c r="D5" s="240"/>
      <c r="E5" s="192"/>
      <c r="G5" s="307" t="str">
        <f>LIPIEC!F37</f>
        <v>JAKIMIAK</v>
      </c>
      <c r="I5" s="308" t="str">
        <f>LIPIEC!J37</f>
        <v>ŚWIREPO</v>
      </c>
      <c r="J5" s="29"/>
      <c r="K5" s="28"/>
      <c r="L5" s="309" t="str">
        <f>LIPIEC!F42</f>
        <v>KUKIEŁKA</v>
      </c>
      <c r="N5" s="310" t="str">
        <f>LIPIEC!J42</f>
        <v>MAJCHER</v>
      </c>
    </row>
    <row r="6" spans="1:14" ht="21.75" customHeight="1">
      <c r="A6" s="186">
        <v>3</v>
      </c>
      <c r="B6" s="183" t="s">
        <v>340</v>
      </c>
      <c r="C6" s="184" t="e">
        <f>VLOOKUP("D",LIPIEC!G$2:$AJ$30,30,0)</f>
        <v>#REF!</v>
      </c>
      <c r="D6" s="188"/>
      <c r="E6" s="188"/>
      <c r="G6" s="307" t="str">
        <f>LIPIEC!F38</f>
        <v>PALUCH</v>
      </c>
      <c r="I6" s="308" t="str">
        <f>LIPIEC!J38</f>
        <v>SZYMAŃSKI</v>
      </c>
      <c r="J6" s="29"/>
      <c r="K6" s="28"/>
      <c r="L6" s="309" t="str">
        <f>LIPIEC!F43</f>
        <v>STOPA</v>
      </c>
      <c r="N6" s="310" t="str">
        <f>LIPIEC!J43</f>
        <v>PIEŃKOWSKI</v>
      </c>
    </row>
    <row r="7" spans="1:14" ht="21.75" customHeight="1">
      <c r="A7" s="186">
        <v>4</v>
      </c>
      <c r="B7" s="183" t="s">
        <v>341</v>
      </c>
      <c r="C7" s="184" t="e">
        <f>VLOOKUP("D",LIPIEC!H$2:$AJ$30,29,0)</f>
        <v>#REF!</v>
      </c>
      <c r="D7" s="188"/>
      <c r="E7" s="188"/>
      <c r="G7" s="307" t="str">
        <f>LIPIEC!F39</f>
        <v>ZEMBRZUSKI</v>
      </c>
      <c r="I7" s="308" t="str">
        <f>LIPIEC!J39</f>
        <v>ZAWOLIK</v>
      </c>
      <c r="J7" s="29"/>
      <c r="K7" s="28"/>
      <c r="L7" s="309" t="str">
        <f>LIPIEC!F44</f>
        <v>ORZECHOWSKI</v>
      </c>
      <c r="N7" s="310" t="str">
        <f>LIPIEC!J44</f>
        <v>MATUK</v>
      </c>
    </row>
    <row r="8" spans="1:14" ht="21.75" customHeight="1">
      <c r="A8" s="189">
        <v>5</v>
      </c>
      <c r="B8" s="190" t="s">
        <v>342</v>
      </c>
      <c r="C8" s="191" t="e">
        <f>VLOOKUP("D",LIPIEC!I$2:$AJ$30,28,0)</f>
        <v>#REF!</v>
      </c>
      <c r="D8" s="192"/>
      <c r="E8" s="192"/>
      <c r="G8" s="307" t="str">
        <f>LIPIEC!F40</f>
        <v>DRGAS</v>
      </c>
      <c r="I8" s="308" t="str">
        <f>LIPIEC!J40</f>
        <v>ZATWARNICKA</v>
      </c>
      <c r="J8" s="29"/>
      <c r="K8" s="28"/>
      <c r="L8" s="309" t="str">
        <f>LIPIEC!F45</f>
        <v>WITCZAK</v>
      </c>
      <c r="N8" s="310" t="str">
        <f>LIPIEC!J45</f>
        <v>KOMOSA</v>
      </c>
    </row>
    <row r="9" spans="1:14" ht="21.75" customHeight="1">
      <c r="A9" s="189">
        <v>6</v>
      </c>
      <c r="B9" s="190" t="s">
        <v>343</v>
      </c>
      <c r="C9" s="191" t="e">
        <f>VLOOKUP("D",LIPIEC!J$2:$AJ$30,27,0)</f>
        <v>#REF!</v>
      </c>
      <c r="D9" s="192"/>
      <c r="E9" s="192"/>
      <c r="G9" s="28"/>
      <c r="J9" s="29"/>
      <c r="K9" s="28"/>
      <c r="N9" s="29"/>
    </row>
    <row r="10" spans="1:14" ht="21.75" customHeight="1">
      <c r="A10" s="189">
        <v>7</v>
      </c>
      <c r="B10" s="190" t="s">
        <v>344</v>
      </c>
      <c r="C10" s="191" t="e">
        <f>VLOOKUP("D",LIPIEC!K$2:$AJ$30,26,0)</f>
        <v>#REF!</v>
      </c>
      <c r="D10" s="192"/>
      <c r="E10" s="192"/>
      <c r="G10" s="249"/>
      <c r="I10" s="249"/>
      <c r="J10" s="29"/>
      <c r="K10" s="28"/>
      <c r="L10" s="249"/>
      <c r="N10" s="249"/>
    </row>
    <row r="11" spans="1:14" ht="21.75" customHeight="1">
      <c r="A11" s="189">
        <v>8</v>
      </c>
      <c r="B11" s="190" t="s">
        <v>338</v>
      </c>
      <c r="C11" s="191" t="e">
        <f>VLOOKUP("D",LIPIEC!L$2:$AJ$30,25,0)</f>
        <v>#REF!</v>
      </c>
      <c r="D11" s="193"/>
      <c r="E11" s="192"/>
      <c r="G11" s="307" t="str">
        <f>LIPIEC!M37</f>
        <v>JAKIMIAK</v>
      </c>
      <c r="I11" s="308" t="str">
        <f>LIPIEC!Q37</f>
        <v>MOSKALONEK</v>
      </c>
      <c r="J11" s="29"/>
      <c r="K11" s="28"/>
      <c r="L11" s="310" t="str">
        <f>LIPIEC!N42</f>
        <v>MAJCHER</v>
      </c>
      <c r="N11" s="310" t="str">
        <f>LIPIEC!Q42</f>
        <v>CHŁOPECKI</v>
      </c>
    </row>
    <row r="12" spans="1:14" ht="21.75" customHeight="1">
      <c r="A12" s="189">
        <v>9</v>
      </c>
      <c r="B12" s="190" t="s">
        <v>339</v>
      </c>
      <c r="C12" s="191" t="e">
        <f>VLOOKUP("D",LIPIEC!M$2:$AJ$30,24,0)</f>
        <v>#REF!</v>
      </c>
      <c r="D12" s="192"/>
      <c r="E12" s="192"/>
      <c r="G12" s="307" t="str">
        <f>LIPIEC!M38</f>
        <v>SZYMAŃSKI</v>
      </c>
      <c r="I12" s="308" t="str">
        <f>LIPIEC!Q38</f>
        <v>ZAJĄC</v>
      </c>
      <c r="J12" s="29"/>
      <c r="K12" s="28"/>
      <c r="L12" s="310" t="str">
        <f>LIPIEC!N43</f>
        <v>GĘBALA</v>
      </c>
      <c r="N12" s="310" t="str">
        <f>LIPIEC!Q43</f>
        <v>BUDZISŁAWSKI</v>
      </c>
    </row>
    <row r="13" spans="1:14" ht="21.75" customHeight="1">
      <c r="A13" s="186">
        <v>10</v>
      </c>
      <c r="B13" s="183" t="s">
        <v>340</v>
      </c>
      <c r="C13" s="184" t="e">
        <f>VLOOKUP("D",LIPIEC!N$2:$AJ$30,23,0)</f>
        <v>#REF!</v>
      </c>
      <c r="D13" s="188"/>
      <c r="E13" s="188"/>
      <c r="G13" s="307" t="str">
        <f>LIPIEC!M39</f>
        <v>ZAWOLIK</v>
      </c>
      <c r="I13" s="308" t="str">
        <f>LIPIEC!Q39</f>
        <v>SPRUTTA</v>
      </c>
      <c r="J13" s="29"/>
      <c r="K13" s="28"/>
      <c r="L13" s="310" t="str">
        <f>LIPIEC!N44</f>
        <v>MATUK</v>
      </c>
      <c r="N13" s="310" t="str">
        <f>LIPIEC!Q44</f>
        <v>PEZAŁA</v>
      </c>
    </row>
    <row r="14" spans="1:14" ht="21.75" customHeight="1">
      <c r="A14" s="186">
        <v>11</v>
      </c>
      <c r="B14" s="183" t="s">
        <v>341</v>
      </c>
      <c r="C14" s="184" t="e">
        <f>VLOOKUP("D",LIPIEC!O$2:$AJ$30,22,0)</f>
        <v>#REF!</v>
      </c>
      <c r="D14" s="188"/>
      <c r="E14" s="188"/>
      <c r="G14" s="307" t="str">
        <f>LIPIEC!M40</f>
        <v>ZATWARNICKA</v>
      </c>
      <c r="I14" s="308" t="str">
        <f>LIPIEC!Q40</f>
        <v>PRYCA</v>
      </c>
      <c r="J14" s="29"/>
      <c r="K14" s="28"/>
      <c r="L14" s="310" t="str">
        <f>LIPIEC!N45</f>
        <v>KOMOSA</v>
      </c>
      <c r="N14" s="310" t="str">
        <f>LIPIEC!Q45</f>
        <v>ROZMYTAŃSKA</v>
      </c>
    </row>
    <row r="15" spans="1:14" ht="21.75" customHeight="1">
      <c r="A15" s="189">
        <v>12</v>
      </c>
      <c r="B15" s="190" t="s">
        <v>342</v>
      </c>
      <c r="C15" s="191" t="e">
        <f>VLOOKUP("D",LIPIEC!P$2:$AJ$30,21,0)</f>
        <v>#REF!</v>
      </c>
      <c r="D15" s="192"/>
      <c r="E15" s="192"/>
      <c r="G15" s="28"/>
      <c r="J15" s="29"/>
      <c r="K15" s="28"/>
      <c r="N15" s="29"/>
    </row>
    <row r="16" spans="1:14" ht="21.75" customHeight="1">
      <c r="A16" s="189">
        <v>13</v>
      </c>
      <c r="B16" s="190" t="s">
        <v>343</v>
      </c>
      <c r="C16" s="191" t="e">
        <f>VLOOKUP("D",LIPIEC!Q$2:$AJ$30,20,0)</f>
        <v>#REF!</v>
      </c>
      <c r="D16" s="192"/>
      <c r="E16" s="192"/>
      <c r="G16" s="249"/>
      <c r="I16" s="249"/>
      <c r="J16" s="29"/>
      <c r="K16" s="28"/>
      <c r="L16" s="249"/>
      <c r="N16" s="249"/>
    </row>
    <row r="17" spans="1:14" ht="21.75" customHeight="1">
      <c r="A17" s="189">
        <v>14</v>
      </c>
      <c r="B17" s="190" t="s">
        <v>344</v>
      </c>
      <c r="C17" s="191" t="e">
        <f>VLOOKUP("D",LIPIEC!R$2:$AJ$30,19,0)</f>
        <v>#REF!</v>
      </c>
      <c r="D17" s="192"/>
      <c r="E17" s="192"/>
      <c r="G17" s="307" t="str">
        <f>LIPIEC!T37</f>
        <v>PALUCH</v>
      </c>
      <c r="I17" s="308" t="str">
        <f>LIPIEC!X37</f>
        <v>GRZESIAK</v>
      </c>
      <c r="J17" s="29"/>
      <c r="K17" s="28"/>
      <c r="L17" s="309" t="str">
        <f>LIPIEC!U42</f>
        <v>PADJAS</v>
      </c>
      <c r="N17" s="309" t="str">
        <f>LIPIEC!X42</f>
        <v>ZWOLIŃSKI</v>
      </c>
    </row>
    <row r="18" spans="1:14" ht="21.75" customHeight="1">
      <c r="A18" s="189">
        <v>15</v>
      </c>
      <c r="B18" s="190" t="s">
        <v>338</v>
      </c>
      <c r="C18" s="191" t="e">
        <f>VLOOKUP("D",LIPIEC!S$2:$AJ$30,18,0)</f>
        <v>#REF!</v>
      </c>
      <c r="D18" s="192"/>
      <c r="E18" s="192"/>
      <c r="G18" s="307" t="str">
        <f>LIPIEC!T38</f>
        <v>ZAJĄC</v>
      </c>
      <c r="I18" s="308" t="str">
        <f>LIPIEC!X38</f>
        <v>STRANC</v>
      </c>
      <c r="J18" s="29"/>
      <c r="K18" s="28"/>
      <c r="L18" s="309" t="str">
        <f>LIPIEC!U43</f>
        <v>CHŁOPECKI</v>
      </c>
      <c r="N18" s="309" t="str">
        <f>LIPIEC!X43</f>
        <v>KOSTRZEWSKI</v>
      </c>
    </row>
    <row r="19" spans="1:14" ht="21.75" customHeight="1">
      <c r="A19" s="189">
        <v>16</v>
      </c>
      <c r="B19" s="190" t="s">
        <v>339</v>
      </c>
      <c r="C19" s="191" t="e">
        <f>VLOOKUP("D",LIPIEC!T$2:$AJ$30,17,0)</f>
        <v>#REF!</v>
      </c>
      <c r="D19" s="192"/>
      <c r="E19" s="192"/>
      <c r="G19" s="307" t="str">
        <f>LIPIEC!T39</f>
        <v>SPRUTTA</v>
      </c>
      <c r="I19" s="308" t="str">
        <f>LIPIEC!X39</f>
        <v>ŁUKACZ</v>
      </c>
      <c r="J19" s="29"/>
      <c r="K19" s="28"/>
      <c r="L19" s="309" t="str">
        <f>LIPIEC!U44</f>
        <v>BUDZISŁ</v>
      </c>
      <c r="N19" s="309" t="str">
        <f>LIPIEC!X44</f>
        <v>PAWLAK</v>
      </c>
    </row>
    <row r="20" spans="1:14" ht="21.75" customHeight="1">
      <c r="A20" s="186">
        <v>17</v>
      </c>
      <c r="B20" s="183" t="s">
        <v>340</v>
      </c>
      <c r="C20" s="184" t="e">
        <f>VLOOKUP("D",LIPIEC!U$2:$AJ$30,16,0)</f>
        <v>#REF!</v>
      </c>
      <c r="D20" s="188"/>
      <c r="E20" s="188"/>
      <c r="G20" s="307" t="str">
        <f>LIPIEC!T40</f>
        <v>PRYCA</v>
      </c>
      <c r="I20" s="308" t="str">
        <f>LIPIEC!X40</f>
        <v>PAWŁOWSKA</v>
      </c>
      <c r="J20" s="29"/>
      <c r="K20" s="28"/>
      <c r="L20" s="309" t="str">
        <f>LIPIEC!U45</f>
        <v>LISEWSKI</v>
      </c>
      <c r="N20" s="309" t="str">
        <f>LIPIEC!X45</f>
        <v>SKALSKA</v>
      </c>
    </row>
    <row r="21" spans="1:14" ht="21.75" customHeight="1">
      <c r="A21" s="186">
        <v>18</v>
      </c>
      <c r="B21" s="183" t="s">
        <v>341</v>
      </c>
      <c r="C21" s="184" t="e">
        <f>VLOOKUP("D",LIPIEC!V$2:$AJ$30,15,0)</f>
        <v>#REF!</v>
      </c>
      <c r="D21" s="188"/>
      <c r="E21" s="188"/>
      <c r="G21" s="28"/>
      <c r="J21" s="29"/>
      <c r="K21" s="28"/>
      <c r="N21" s="29"/>
    </row>
    <row r="22" spans="1:14" ht="21.75" customHeight="1">
      <c r="A22" s="189">
        <v>19</v>
      </c>
      <c r="B22" s="190" t="s">
        <v>342</v>
      </c>
      <c r="C22" s="191" t="e">
        <f>VLOOKUP("D",LIPIEC!W$2:$AJ$30,14,0)</f>
        <v>#REF!</v>
      </c>
      <c r="D22" s="192"/>
      <c r="E22" s="192"/>
      <c r="G22" s="249"/>
      <c r="I22" s="249"/>
      <c r="J22" s="29"/>
      <c r="K22" s="28"/>
      <c r="L22" s="249"/>
      <c r="N22" s="249"/>
    </row>
    <row r="23" spans="1:14" ht="21.75" customHeight="1">
      <c r="A23" s="189">
        <v>20</v>
      </c>
      <c r="B23" s="190" t="s">
        <v>343</v>
      </c>
      <c r="C23" s="191" t="e">
        <f>VLOOKUP("D",LIPIEC!X$2:$AJ$30,13,0)</f>
        <v>#REF!</v>
      </c>
      <c r="D23" s="192"/>
      <c r="E23" s="192"/>
      <c r="G23" s="307" t="str">
        <f>LIPIEC!AA37</f>
        <v>SZCZEPANIAK</v>
      </c>
      <c r="I23" s="308" t="str">
        <f>LIPIEC!AE37</f>
        <v>KALITA</v>
      </c>
      <c r="J23" s="29"/>
      <c r="K23" s="28"/>
      <c r="L23" s="309" t="str">
        <f>LIPIEC!X42</f>
        <v>ZWOLIŃSKI</v>
      </c>
      <c r="N23" s="310" t="str">
        <f>LIPIEC!AE42</f>
        <v>KUKIEŁKA</v>
      </c>
    </row>
    <row r="24" spans="1:14" ht="21.75" customHeight="1">
      <c r="A24" s="189">
        <v>21</v>
      </c>
      <c r="B24" s="190" t="s">
        <v>344</v>
      </c>
      <c r="C24" s="191" t="e">
        <f>VLOOKUP("D",LIPIEC!Y$2:$AJ$30,12,0)</f>
        <v>#REF!</v>
      </c>
      <c r="D24" s="192"/>
      <c r="E24" s="192"/>
      <c r="G24" s="307" t="str">
        <f>LIPIEC!AA38</f>
        <v>KUSIAK</v>
      </c>
      <c r="I24" s="308" t="str">
        <f>LIPIEC!AE38</f>
        <v>WALKOWIAK</v>
      </c>
      <c r="J24" s="29"/>
      <c r="K24" s="28"/>
      <c r="L24" s="309" t="str">
        <f>LIPIEC!X43</f>
        <v>KOSTRZEWSKI</v>
      </c>
      <c r="N24" s="310" t="str">
        <f>LIPIEC!AE43</f>
        <v>PERKOWSKI</v>
      </c>
    </row>
    <row r="25" spans="1:14" ht="21.75" customHeight="1">
      <c r="A25" s="189">
        <v>22</v>
      </c>
      <c r="B25" s="190" t="s">
        <v>338</v>
      </c>
      <c r="C25" s="191" t="e">
        <f>VLOOKUP("D",LIPIEC!Z$2:$AJ$30,11,0)</f>
        <v>#REF!</v>
      </c>
      <c r="D25" s="192"/>
      <c r="E25" s="192"/>
      <c r="G25" s="307" t="str">
        <f>LIPIEC!AA39</f>
        <v>ŁUKACZ</v>
      </c>
      <c r="I25" s="308" t="str">
        <f>LIPIEC!AE39</f>
        <v>WITWICKI</v>
      </c>
      <c r="J25" s="29"/>
      <c r="K25" s="28"/>
      <c r="L25" s="309" t="str">
        <f>LIPIEC!X44</f>
        <v>PAWLAK</v>
      </c>
      <c r="N25" s="310" t="str">
        <f>LIPIEC!AE44</f>
        <v>ZIEMKOWSKI</v>
      </c>
    </row>
    <row r="26" spans="1:14" ht="21.75" customHeight="1">
      <c r="A26" s="189">
        <v>23</v>
      </c>
      <c r="B26" s="190" t="s">
        <v>339</v>
      </c>
      <c r="C26" s="191" t="e">
        <f>VLOOKUP("D",LIPIEC!AA$2:$AJ$30,10,0)</f>
        <v>#REF!</v>
      </c>
      <c r="D26" s="192"/>
      <c r="E26" s="192"/>
      <c r="G26" s="307" t="str">
        <f>LIPIEC!AA40</f>
        <v>PAWŁOWSKA</v>
      </c>
      <c r="H26" s="319"/>
      <c r="I26" s="308" t="str">
        <f>LIPIEC!AE40</f>
        <v>NOWICKI</v>
      </c>
      <c r="J26" s="320"/>
      <c r="K26" s="321"/>
      <c r="L26" s="309" t="str">
        <f>LIPIEC!X45</f>
        <v>SKALSKA</v>
      </c>
      <c r="M26" s="319"/>
      <c r="N26" s="310" t="str">
        <f>LIPIEC!AE45</f>
        <v>KOSIŃSKI</v>
      </c>
    </row>
    <row r="27" spans="1:14" ht="21.75" customHeight="1">
      <c r="A27" s="186">
        <v>24</v>
      </c>
      <c r="B27" s="183" t="s">
        <v>340</v>
      </c>
      <c r="C27" s="184" t="e">
        <f>VLOOKUP("D",LIPIEC!AB$2:$AJ$30,9,0)</f>
        <v>#REF!</v>
      </c>
      <c r="D27" s="188"/>
      <c r="E27" s="188"/>
      <c r="G27" s="322"/>
      <c r="H27" s="323"/>
      <c r="I27" s="323"/>
      <c r="J27" s="324"/>
      <c r="K27" s="322"/>
      <c r="L27" s="323"/>
      <c r="M27" s="323"/>
      <c r="N27" s="324"/>
    </row>
    <row r="28" spans="1:14" ht="21.75" customHeight="1">
      <c r="A28" s="186">
        <v>25</v>
      </c>
      <c r="B28" s="183" t="s">
        <v>341</v>
      </c>
      <c r="C28" s="184" t="e">
        <f>VLOOKUP("D",LIPIEC!AC$2:$AJ$30,8,0)</f>
        <v>#REF!</v>
      </c>
      <c r="D28" s="188"/>
      <c r="E28" s="188"/>
      <c r="G28" s="249"/>
      <c r="I28" s="325"/>
      <c r="J28" s="29"/>
      <c r="K28" s="28"/>
      <c r="L28" s="249"/>
      <c r="N28" s="326"/>
    </row>
    <row r="29" spans="1:14" ht="21.75" customHeight="1">
      <c r="A29" s="189">
        <v>26</v>
      </c>
      <c r="B29" s="190" t="s">
        <v>342</v>
      </c>
      <c r="C29" s="191" t="e">
        <f>VLOOKUP("D",LIPIEC!AD$2:$AJ$30,7,0)</f>
        <v>#REF!</v>
      </c>
      <c r="D29" s="192"/>
      <c r="E29" s="192"/>
      <c r="G29" s="309"/>
      <c r="I29" s="121"/>
      <c r="J29" s="29"/>
      <c r="K29" s="28"/>
      <c r="L29" s="309"/>
      <c r="N29" s="327"/>
    </row>
    <row r="30" spans="1:14" ht="21.75" customHeight="1">
      <c r="A30" s="189">
        <v>27</v>
      </c>
      <c r="B30" s="190" t="s">
        <v>343</v>
      </c>
      <c r="C30" s="191" t="e">
        <f>VLOOKUP("D",LIPIEC!AE$2:$AJ$30,6,0)</f>
        <v>#REF!</v>
      </c>
      <c r="D30" s="192"/>
      <c r="E30" s="192"/>
      <c r="G30" s="328"/>
      <c r="J30" s="29"/>
      <c r="K30" s="28"/>
      <c r="L30" s="328"/>
      <c r="N30" s="29"/>
    </row>
    <row r="31" spans="1:14" ht="21.75" customHeight="1">
      <c r="A31" s="189">
        <v>28</v>
      </c>
      <c r="B31" s="190" t="s">
        <v>344</v>
      </c>
      <c r="C31" s="191" t="e">
        <f>VLOOKUP("D",LIPIEC!AF$2:$AJ$30,5,0)</f>
        <v>#REF!</v>
      </c>
      <c r="D31" s="192"/>
      <c r="E31" s="192"/>
      <c r="G31" s="329"/>
      <c r="J31" s="29"/>
      <c r="K31" s="28"/>
      <c r="L31" s="329"/>
      <c r="N31" s="29"/>
    </row>
    <row r="32" spans="1:14" ht="21.75" customHeight="1">
      <c r="A32" s="189">
        <v>29</v>
      </c>
      <c r="B32" s="190" t="s">
        <v>338</v>
      </c>
      <c r="C32" s="191" t="e">
        <f>VLOOKUP("D",LIPIEC!AG$2:$AJ$30,4,0)</f>
        <v>#REF!</v>
      </c>
      <c r="D32" s="192"/>
      <c r="E32" s="192"/>
      <c r="G32" s="330"/>
      <c r="H32" s="319"/>
      <c r="I32" s="319"/>
      <c r="J32" s="320"/>
      <c r="K32" s="321"/>
      <c r="L32" s="330"/>
      <c r="M32" s="319"/>
      <c r="N32" s="320"/>
    </row>
    <row r="33" spans="1:5" ht="21.75" customHeight="1">
      <c r="A33" s="189">
        <v>30</v>
      </c>
      <c r="B33" s="190" t="s">
        <v>339</v>
      </c>
      <c r="C33" s="191" t="e">
        <f>VLOOKUP("D",LIPIEC!AH$2:$AJ$30,3,0)</f>
        <v>#REF!</v>
      </c>
      <c r="D33" s="192"/>
      <c r="E33" s="192"/>
    </row>
    <row r="34" spans="1:5" ht="19.5" customHeight="1">
      <c r="A34" s="186">
        <v>31</v>
      </c>
      <c r="B34" s="183" t="s">
        <v>340</v>
      </c>
      <c r="C34" s="331" t="e">
        <f>VLOOKUP("D",LIPIEC!AI$2:$AJ$30,2,0)</f>
        <v>#N/A</v>
      </c>
      <c r="D34" s="194"/>
      <c r="E34" s="194"/>
    </row>
  </sheetData>
  <mergeCells count="6">
    <mergeCell ref="A3:B3"/>
    <mergeCell ref="B1:E1"/>
    <mergeCell ref="G1:N1"/>
    <mergeCell ref="A2:E2"/>
    <mergeCell ref="G2:I2"/>
    <mergeCell ref="L2:N2"/>
  </mergeCells>
  <pageMargins left="0.23611111111111099" right="0.23611111111111099" top="0.15763888888888899" bottom="0.15763888888888899" header="0.51180555555555496" footer="0.51180555555555496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topLeftCell="A13" zoomScale="80" zoomScaleNormal="80" workbookViewId="0">
      <selection activeCell="C4" sqref="C4"/>
    </sheetView>
  </sheetViews>
  <sheetFormatPr defaultColWidth="8.69140625" defaultRowHeight="14.6"/>
  <cols>
    <col min="1" max="2" width="5.4609375" customWidth="1"/>
    <col min="3" max="3" width="34.4609375" customWidth="1"/>
    <col min="4" max="4" width="39.4609375" customWidth="1"/>
    <col min="5" max="5" width="24.15234375" customWidth="1"/>
  </cols>
  <sheetData>
    <row r="1" spans="1:5" ht="27.75" customHeight="1">
      <c r="A1" s="687" t="s">
        <v>178</v>
      </c>
      <c r="B1" s="687"/>
      <c r="C1" s="687"/>
      <c r="D1" s="687"/>
      <c r="E1" s="687"/>
    </row>
    <row r="2" spans="1:5" ht="21.75" customHeight="1">
      <c r="A2" s="755" t="s">
        <v>330</v>
      </c>
      <c r="B2" s="755"/>
      <c r="C2" s="180" t="s">
        <v>179</v>
      </c>
      <c r="D2" s="181" t="s">
        <v>180</v>
      </c>
      <c r="E2" s="181" t="s">
        <v>180</v>
      </c>
    </row>
    <row r="3" spans="1:5" ht="21.75" customHeight="1">
      <c r="A3" s="484">
        <v>1</v>
      </c>
      <c r="B3" s="485" t="s">
        <v>184</v>
      </c>
      <c r="C3" s="486" t="e">
        <f>VLOOKUP("D",LIPIEC!$E$30:$AJ$100,32,0)</f>
        <v>#N/A</v>
      </c>
      <c r="D3" s="486" t="e">
        <f>VLOOKUP("w",LIPIEC!$E$30:$AJ$100,32,0)</f>
        <v>#REF!</v>
      </c>
      <c r="E3" s="313"/>
    </row>
    <row r="4" spans="1:5" ht="21.75" customHeight="1">
      <c r="A4" s="487">
        <v>2</v>
      </c>
      <c r="B4" s="488" t="s">
        <v>185</v>
      </c>
      <c r="C4" s="486" t="e">
        <f>VLOOKUP("D",LIPIEC!$F$30:$AJ$100,31,0)</f>
        <v>#REF!</v>
      </c>
      <c r="D4" s="486" t="e">
        <f>VLOOKUP("w",LIPIEC!$F$30:$AJ$100,31,0)</f>
        <v>#REF!</v>
      </c>
      <c r="E4" s="315"/>
    </row>
    <row r="5" spans="1:5" ht="21.75" customHeight="1">
      <c r="A5" s="487">
        <v>3</v>
      </c>
      <c r="B5" s="488" t="s">
        <v>186</v>
      </c>
      <c r="C5" s="486" t="e">
        <f>VLOOKUP("D",LIPIEC!$G$30:$AJ$100,30,0)</f>
        <v>#REF!</v>
      </c>
      <c r="D5" s="486" t="e">
        <f>VLOOKUP("w",LIPIEC!$G$30:$AJ$100,30,0)</f>
        <v>#REF!</v>
      </c>
      <c r="E5" s="315"/>
    </row>
    <row r="6" spans="1:5" ht="21.75" customHeight="1">
      <c r="A6" s="487">
        <v>4</v>
      </c>
      <c r="B6" s="488" t="s">
        <v>187</v>
      </c>
      <c r="C6" s="486" t="e">
        <f>VLOOKUP("D",LIPIEC!$H$30:$AJ$100,29,0)</f>
        <v>#REF!</v>
      </c>
      <c r="D6" s="486" t="e">
        <f>VLOOKUP("w",LIPIEC!$H$30:$AJ$100,29,0)</f>
        <v>#REF!</v>
      </c>
      <c r="E6" s="315"/>
    </row>
    <row r="7" spans="1:5" ht="21.75" customHeight="1">
      <c r="A7" s="487">
        <v>5</v>
      </c>
      <c r="B7" s="488" t="s">
        <v>181</v>
      </c>
      <c r="C7" s="486" t="e">
        <f>VLOOKUP("D",LIPIEC!$I$30:$AJ$100,28,0)</f>
        <v>#REF!</v>
      </c>
      <c r="D7" s="486" t="e">
        <f>VLOOKUP("w",LIPIEC!$I$30:$AJ$100,28,0)</f>
        <v>#REF!</v>
      </c>
      <c r="E7" s="315"/>
    </row>
    <row r="8" spans="1:5" ht="21.75" customHeight="1">
      <c r="A8" s="487">
        <v>6</v>
      </c>
      <c r="B8" s="488" t="s">
        <v>182</v>
      </c>
      <c r="C8" s="486" t="e">
        <f>VLOOKUP("D",LIPIEC!$J$30:$AJ$100,27,0)</f>
        <v>#REF!</v>
      </c>
      <c r="D8" s="486" t="e">
        <f>VLOOKUP("w",LIPIEC!$J$30:$AJ$100,27,0)</f>
        <v>#REF!</v>
      </c>
      <c r="E8" s="315"/>
    </row>
    <row r="9" spans="1:5" ht="21.75" customHeight="1">
      <c r="A9" s="487">
        <v>7</v>
      </c>
      <c r="B9" s="488" t="s">
        <v>183</v>
      </c>
      <c r="C9" s="486" t="e">
        <f>VLOOKUP("D",LIPIEC!$K$30:$AJ$100,26,0)</f>
        <v>#REF!</v>
      </c>
      <c r="D9" s="486" t="e">
        <f>VLOOKUP("w",LIPIEC!$K$30:$AJ$100,26,0)</f>
        <v>#REF!</v>
      </c>
      <c r="E9" s="315"/>
    </row>
    <row r="10" spans="1:5" ht="21.75" customHeight="1">
      <c r="A10" s="487">
        <v>8</v>
      </c>
      <c r="B10" s="488" t="s">
        <v>184</v>
      </c>
      <c r="C10" s="486" t="e">
        <f>VLOOKUP("D",LIPIEC!$L$30:$AJ$100,25,0)</f>
        <v>#N/A</v>
      </c>
      <c r="D10" s="486" t="e">
        <f>VLOOKUP("w",LIPIEC!$L$30:$AJ$100,25,0)</f>
        <v>#REF!</v>
      </c>
      <c r="E10" s="315"/>
    </row>
    <row r="11" spans="1:5" ht="21.75" customHeight="1">
      <c r="A11" s="487">
        <v>9</v>
      </c>
      <c r="B11" s="488" t="s">
        <v>185</v>
      </c>
      <c r="C11" s="486" t="e">
        <f>VLOOKUP("D",LIPIEC!$M$30:$AJ$100,24,0)</f>
        <v>#REF!</v>
      </c>
      <c r="D11" s="486" t="e">
        <f>VLOOKUP("w",LIPIEC!$M$30:$AJ$100,24,0)</f>
        <v>#REF!</v>
      </c>
      <c r="E11" s="315"/>
    </row>
    <row r="12" spans="1:5" ht="21.75" customHeight="1">
      <c r="A12" s="487">
        <v>10</v>
      </c>
      <c r="B12" s="488" t="s">
        <v>186</v>
      </c>
      <c r="C12" s="486" t="e">
        <f>VLOOKUP("D",LIPIEC!$N$30:$AJ$100,23,0)</f>
        <v>#REF!</v>
      </c>
      <c r="D12" s="486" t="e">
        <f>VLOOKUP("w",LIPIEC!$N$30:$AJ$100,23,0)</f>
        <v>#REF!</v>
      </c>
      <c r="E12" s="315"/>
    </row>
    <row r="13" spans="1:5" ht="21.75" customHeight="1">
      <c r="A13" s="487">
        <v>11</v>
      </c>
      <c r="B13" s="488" t="s">
        <v>187</v>
      </c>
      <c r="C13" s="486" t="e">
        <f>VLOOKUP("D",LIPIEC!$O$30:$AJ$100,22,0)</f>
        <v>#N/A</v>
      </c>
      <c r="D13" s="486" t="e">
        <f>VLOOKUP("w",LIPIEC!$O$30:$AJ$100,22,0)</f>
        <v>#REF!</v>
      </c>
      <c r="E13" s="315"/>
    </row>
    <row r="14" spans="1:5" ht="21.75" customHeight="1">
      <c r="A14" s="487">
        <v>12</v>
      </c>
      <c r="B14" s="488" t="s">
        <v>181</v>
      </c>
      <c r="C14" s="486" t="e">
        <f>VLOOKUP("D",LIPIEC!$P$30:$AJ$100,21,0)</f>
        <v>#N/A</v>
      </c>
      <c r="D14" s="486" t="e">
        <f>VLOOKUP("w",LIPIEC!$P$30:$AJ$100,21,0)</f>
        <v>#REF!</v>
      </c>
      <c r="E14" s="315"/>
    </row>
    <row r="15" spans="1:5" ht="21.75" customHeight="1">
      <c r="A15" s="487">
        <v>13</v>
      </c>
      <c r="B15" s="488" t="s">
        <v>182</v>
      </c>
      <c r="C15" s="486" t="e">
        <f>VLOOKUP("D",LIPIEC!$Q$30:$AJ$100,20,0)</f>
        <v>#REF!</v>
      </c>
      <c r="D15" s="486" t="e">
        <f>VLOOKUP("w",LIPIEC!$Q$30:$AJ$100,20,0)</f>
        <v>#REF!</v>
      </c>
      <c r="E15" s="315"/>
    </row>
    <row r="16" spans="1:5" ht="21.75" customHeight="1">
      <c r="A16" s="487">
        <v>14</v>
      </c>
      <c r="B16" s="488" t="s">
        <v>183</v>
      </c>
      <c r="C16" s="486" t="e">
        <f>VLOOKUP("D",LIPIEC!$R$30:$AJ$100,19,0)</f>
        <v>#N/A</v>
      </c>
      <c r="D16" s="486" t="e">
        <f>VLOOKUP("w",LIPIEC!$R$30:$AJ$100,19,0)</f>
        <v>#REF!</v>
      </c>
      <c r="E16" s="315"/>
    </row>
    <row r="17" spans="1:5" ht="21.75" customHeight="1">
      <c r="A17" s="487">
        <v>15</v>
      </c>
      <c r="B17" s="488" t="s">
        <v>184</v>
      </c>
      <c r="C17" s="486" t="e">
        <f>VLOOKUP("D",LIPIEC!$S$30:$AJ$100,18,0)</f>
        <v>#REF!</v>
      </c>
      <c r="D17" s="486" t="e">
        <f>VLOOKUP("w",LIPIEC!$S$30:$AJ$100,18,0)</f>
        <v>#REF!</v>
      </c>
      <c r="E17" s="315"/>
    </row>
    <row r="18" spans="1:5" ht="21.75" customHeight="1">
      <c r="A18" s="487">
        <v>16</v>
      </c>
      <c r="B18" s="488" t="s">
        <v>185</v>
      </c>
      <c r="C18" s="486" t="e">
        <f>VLOOKUP("D",LIPIEC!$T$30:$AJ$100,17,0)</f>
        <v>#REF!</v>
      </c>
      <c r="D18" s="486" t="e">
        <f>VLOOKUP("w",LIPIEC!$T$30:$AJ$100,17,0)</f>
        <v>#REF!</v>
      </c>
      <c r="E18" s="315"/>
    </row>
    <row r="19" spans="1:5" ht="21.75" customHeight="1">
      <c r="A19" s="487">
        <v>17</v>
      </c>
      <c r="B19" s="488" t="s">
        <v>186</v>
      </c>
      <c r="C19" s="486" t="e">
        <f>VLOOKUP("D",LIPIEC!$U$30:$AJ$100,16,0)</f>
        <v>#REF!</v>
      </c>
      <c r="D19" s="486" t="e">
        <f>VLOOKUP("w",LIPIEC!$U$30:$AJ$100,16,0)</f>
        <v>#REF!</v>
      </c>
      <c r="E19" s="315"/>
    </row>
    <row r="20" spans="1:5" ht="21.75" customHeight="1">
      <c r="A20" s="487">
        <v>18</v>
      </c>
      <c r="B20" s="488" t="s">
        <v>187</v>
      </c>
      <c r="C20" s="486" t="e">
        <f>VLOOKUP("D",LIPIEC!$V$30:$AJ$100,15,0)</f>
        <v>#N/A</v>
      </c>
      <c r="D20" s="486" t="e">
        <f>VLOOKUP("w",LIPIEC!$V$30:$AJ$100,15,0)</f>
        <v>#REF!</v>
      </c>
      <c r="E20" s="315"/>
    </row>
    <row r="21" spans="1:5" ht="21.75" customHeight="1">
      <c r="A21" s="487">
        <v>19</v>
      </c>
      <c r="B21" s="488" t="s">
        <v>181</v>
      </c>
      <c r="C21" s="486" t="e">
        <f>VLOOKUP("D",LIPIEC!$W$30:$AJ$100,14,0)</f>
        <v>#REF!</v>
      </c>
      <c r="D21" s="486" t="e">
        <f>VLOOKUP("w",LIPIEC!$W$30:$AJ$100,14,0)</f>
        <v>#REF!</v>
      </c>
      <c r="E21" s="315"/>
    </row>
    <row r="22" spans="1:5" ht="21.75" customHeight="1">
      <c r="A22" s="487">
        <v>20</v>
      </c>
      <c r="B22" s="488" t="s">
        <v>182</v>
      </c>
      <c r="C22" s="486" t="e">
        <f>VLOOKUP("D",LIPIEC!$X$30:$AJ$100,13,0)</f>
        <v>#REF!</v>
      </c>
      <c r="D22" s="486" t="e">
        <f>VLOOKUP("w",LIPIEC!$X$30:$AJ$100,13,0)</f>
        <v>#REF!</v>
      </c>
      <c r="E22" s="315"/>
    </row>
    <row r="23" spans="1:5" ht="21.75" customHeight="1">
      <c r="A23" s="487">
        <v>21</v>
      </c>
      <c r="B23" s="488" t="s">
        <v>183</v>
      </c>
      <c r="C23" s="486" t="e">
        <f>VLOOKUP("D",LIPIEC!$Y$30:$AJ$100,12,0)</f>
        <v>#REF!</v>
      </c>
      <c r="D23" s="486" t="e">
        <f>VLOOKUP("w",LIPIEC!$Y$30:$AJ$100,12,0)</f>
        <v>#REF!</v>
      </c>
      <c r="E23" s="315"/>
    </row>
    <row r="24" spans="1:5" ht="21.75" customHeight="1">
      <c r="A24" s="487">
        <v>22</v>
      </c>
      <c r="B24" s="488" t="s">
        <v>184</v>
      </c>
      <c r="C24" s="486" t="e">
        <f>VLOOKUP("D",LIPIEC!$Z$30:$AJ$100,11,0)</f>
        <v>#REF!</v>
      </c>
      <c r="D24" s="486" t="e">
        <f>VLOOKUP("w",LIPIEC!$Z$30:$AJ$100,11,0)</f>
        <v>#REF!</v>
      </c>
      <c r="E24" s="315"/>
    </row>
    <row r="25" spans="1:5" ht="21.75" customHeight="1">
      <c r="A25" s="487">
        <v>23</v>
      </c>
      <c r="B25" s="488" t="s">
        <v>185</v>
      </c>
      <c r="C25" s="486" t="e">
        <f>VLOOKUP("D",LIPIEC!$AA$30:$AJ$100,10,0)</f>
        <v>#N/A</v>
      </c>
      <c r="D25" s="486" t="e">
        <f>VLOOKUP("w",LIPIEC!$AA$30:$AJ$100,10,0)</f>
        <v>#REF!</v>
      </c>
      <c r="E25" s="315"/>
    </row>
    <row r="26" spans="1:5" ht="21.75" customHeight="1">
      <c r="A26" s="487">
        <v>24</v>
      </c>
      <c r="B26" s="488" t="s">
        <v>186</v>
      </c>
      <c r="C26" s="486" t="e">
        <f>VLOOKUP("D",LIPIEC!$AB$30:$AJ$100,9,0)</f>
        <v>#REF!</v>
      </c>
      <c r="D26" s="486" t="e">
        <f>VLOOKUP("w",LIPIEC!$AB$30:$AJ$100,9,0)</f>
        <v>#REF!</v>
      </c>
      <c r="E26" s="315"/>
    </row>
    <row r="27" spans="1:5" ht="21.75" customHeight="1">
      <c r="A27" s="487">
        <v>25</v>
      </c>
      <c r="B27" s="488" t="s">
        <v>187</v>
      </c>
      <c r="C27" s="486" t="e">
        <f>VLOOKUP("D",LIPIEC!$AC$30:$AJ$100,8,0)</f>
        <v>#REF!</v>
      </c>
      <c r="D27" s="486" t="e">
        <f>VLOOKUP("w",LIPIEC!$AC$30:$AJ$100,8,0)</f>
        <v>#REF!</v>
      </c>
      <c r="E27" s="315"/>
    </row>
    <row r="28" spans="1:5" ht="21.75" customHeight="1">
      <c r="A28" s="487">
        <v>26</v>
      </c>
      <c r="B28" s="488" t="s">
        <v>181</v>
      </c>
      <c r="C28" s="486" t="e">
        <f>VLOOKUP("D",LIPIEC!$AD$30:$AJ$100,7,0)</f>
        <v>#N/A</v>
      </c>
      <c r="D28" s="486" t="e">
        <f>VLOOKUP("w",LIPIEC!$AD$30:$AJ$100,7,0)</f>
        <v>#REF!</v>
      </c>
      <c r="E28" s="315"/>
    </row>
    <row r="29" spans="1:5" ht="21.75" customHeight="1">
      <c r="A29" s="487">
        <v>27</v>
      </c>
      <c r="B29" s="488" t="s">
        <v>182</v>
      </c>
      <c r="C29" s="486" t="e">
        <f>VLOOKUP("D",LIPIEC!$AE$30:$AJ$100,6,0)</f>
        <v>#REF!</v>
      </c>
      <c r="D29" s="486" t="e">
        <f>VLOOKUP("w",LIPIEC!$AE$30:$AJ$100,6,0)</f>
        <v>#REF!</v>
      </c>
      <c r="E29" s="315"/>
    </row>
    <row r="30" spans="1:5" ht="21.75" customHeight="1">
      <c r="A30" s="487">
        <v>28</v>
      </c>
      <c r="B30" s="488" t="s">
        <v>183</v>
      </c>
      <c r="C30" s="486" t="e">
        <f>VLOOKUP("D",LIPIEC!$AF$30:$AJ$100,5,0)</f>
        <v>#REF!</v>
      </c>
      <c r="D30" s="486" t="e">
        <f>VLOOKUP("w",LIPIEC!$AF$30:$AJ$100,5,0)</f>
        <v>#REF!</v>
      </c>
      <c r="E30" s="315"/>
    </row>
    <row r="31" spans="1:5" ht="21.75" customHeight="1">
      <c r="A31" s="487">
        <v>29</v>
      </c>
      <c r="B31" s="488" t="s">
        <v>184</v>
      </c>
      <c r="C31" s="486" t="e">
        <f>VLOOKUP("D",LIPIEC!$AG$30:$AJ$100,4,0)</f>
        <v>#N/A</v>
      </c>
      <c r="D31" s="486" t="e">
        <f>VLOOKUP("w",LIPIEC!$AG$30:$AJ$100,4,0)</f>
        <v>#REF!</v>
      </c>
      <c r="E31" s="315"/>
    </row>
    <row r="32" spans="1:5" ht="21.75" customHeight="1">
      <c r="A32" s="487">
        <v>30</v>
      </c>
      <c r="B32" s="488" t="s">
        <v>185</v>
      </c>
      <c r="C32" s="486" t="e">
        <f>VLOOKUP("D",LIPIEC!$AH$30:$AJ$100,3,0)</f>
        <v>#REF!</v>
      </c>
      <c r="D32" s="486" t="e">
        <f>VLOOKUP("w",LIPIEC!$AH$30:$AJ$100,3,0)</f>
        <v>#REF!</v>
      </c>
      <c r="E32" s="315"/>
    </row>
    <row r="33" spans="1:5" ht="21.75" customHeight="1">
      <c r="A33" s="489">
        <v>31</v>
      </c>
      <c r="B33" s="490" t="s">
        <v>186</v>
      </c>
      <c r="C33" s="486" t="e">
        <f>VLOOKUP("D",LIPIEC!$AI$30:$AJ$100,2,0)</f>
        <v>#REF!</v>
      </c>
      <c r="D33" s="486" t="e">
        <f>VLOOKUP("w",CZERWIEC!$AI$32:$AJ$101,2,0)</f>
        <v>#N/A</v>
      </c>
      <c r="E33" s="317"/>
    </row>
  </sheetData>
  <mergeCells count="2">
    <mergeCell ref="A1:E1"/>
    <mergeCell ref="A2:B2"/>
  </mergeCells>
  <pageMargins left="0.25" right="0.25" top="0.75" bottom="0.75" header="0.51180555555555496" footer="0.51180555555555496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:AMJ118"/>
  <sheetViews>
    <sheetView zoomScale="90" zoomScaleNormal="90" workbookViewId="0">
      <pane ySplit="1" topLeftCell="A62" activePane="bottomLeft" state="frozen"/>
      <selection activeCell="A85" sqref="A85"/>
      <selection pane="bottomLeft" activeCell="A85" sqref="A85"/>
    </sheetView>
  </sheetViews>
  <sheetFormatPr defaultColWidth="8.84375" defaultRowHeight="14.6"/>
  <cols>
    <col min="1" max="1" width="6" style="1" customWidth="1"/>
    <col min="2" max="2" width="4.3046875" style="1" customWidth="1"/>
    <col min="3" max="3" width="20.4609375" style="7" customWidth="1"/>
    <col min="4" max="4" width="8.53515625" style="1" customWidth="1"/>
    <col min="5" max="35" width="3.53515625" style="1" customWidth="1"/>
    <col min="36" max="36" width="41.4609375" style="1" hidden="1" customWidth="1"/>
    <col min="37" max="37" width="8.84375" style="8"/>
    <col min="38" max="38" width="4.69140625" style="1" customWidth="1"/>
    <col min="39" max="39" width="5.69140625" style="1" customWidth="1"/>
    <col min="40" max="40" width="4.53515625" style="1" customWidth="1"/>
    <col min="41" max="43" width="8.84375" style="1"/>
    <col min="44" max="44" width="20.3046875" style="1" customWidth="1"/>
    <col min="45" max="1024" width="8.84375" style="1"/>
  </cols>
  <sheetData>
    <row r="1" spans="1:45" ht="43.3">
      <c r="A1" s="1" t="s">
        <v>52</v>
      </c>
      <c r="D1" s="9">
        <v>44409</v>
      </c>
      <c r="E1" s="378">
        <v>44409</v>
      </c>
      <c r="F1" s="433">
        <v>44410</v>
      </c>
      <c r="G1" s="433">
        <v>44411</v>
      </c>
      <c r="H1" s="433">
        <v>44412</v>
      </c>
      <c r="I1" s="433">
        <v>44413</v>
      </c>
      <c r="J1" s="433">
        <v>44414</v>
      </c>
      <c r="K1" s="378">
        <v>44415</v>
      </c>
      <c r="L1" s="378">
        <v>44416</v>
      </c>
      <c r="M1" s="433">
        <v>44417</v>
      </c>
      <c r="N1" s="433">
        <v>44418</v>
      </c>
      <c r="O1" s="433">
        <v>44419</v>
      </c>
      <c r="P1" s="433">
        <v>44420</v>
      </c>
      <c r="Q1" s="433">
        <v>44421</v>
      </c>
      <c r="R1" s="378">
        <v>44422</v>
      </c>
      <c r="S1" s="378">
        <v>44423</v>
      </c>
      <c r="T1" s="433">
        <v>44424</v>
      </c>
      <c r="U1" s="433">
        <v>44425</v>
      </c>
      <c r="V1" s="433">
        <v>44426</v>
      </c>
      <c r="W1" s="433">
        <v>44427</v>
      </c>
      <c r="X1" s="433">
        <v>44428</v>
      </c>
      <c r="Y1" s="378">
        <v>44429</v>
      </c>
      <c r="Z1" s="378">
        <v>44430</v>
      </c>
      <c r="AA1" s="433">
        <v>44431</v>
      </c>
      <c r="AB1" s="433">
        <v>44432</v>
      </c>
      <c r="AC1" s="433">
        <v>44433</v>
      </c>
      <c r="AD1" s="433">
        <v>44434</v>
      </c>
      <c r="AE1" s="433">
        <v>44435</v>
      </c>
      <c r="AF1" s="378">
        <v>44436</v>
      </c>
      <c r="AG1" s="378">
        <v>44437</v>
      </c>
      <c r="AH1" s="433">
        <v>44438</v>
      </c>
      <c r="AI1" s="433">
        <v>44439</v>
      </c>
      <c r="AJ1" s="128"/>
      <c r="AK1" s="15">
        <f>21*8</f>
        <v>168</v>
      </c>
      <c r="AL1" s="16" t="s">
        <v>53</v>
      </c>
      <c r="AM1" s="17" t="s">
        <v>54</v>
      </c>
      <c r="AN1" s="18" t="s">
        <v>55</v>
      </c>
      <c r="AO1" s="1" t="s">
        <v>56</v>
      </c>
      <c r="AP1" s="1" t="s">
        <v>57</v>
      </c>
    </row>
    <row r="2" spans="1:45" ht="15.9">
      <c r="A2" s="1" t="s">
        <v>58</v>
      </c>
      <c r="B2" s="1" t="s">
        <v>59</v>
      </c>
      <c r="C2" s="198" t="s">
        <v>60</v>
      </c>
      <c r="D2" s="491" t="e">
        <f>Zasoby!#REF!</f>
        <v>#REF!</v>
      </c>
      <c r="E2" s="21" t="s">
        <v>66</v>
      </c>
      <c r="F2" s="87" t="s">
        <v>75</v>
      </c>
      <c r="G2" s="87" t="s">
        <v>75</v>
      </c>
      <c r="H2" s="87" t="s">
        <v>75</v>
      </c>
      <c r="I2" s="87" t="s">
        <v>75</v>
      </c>
      <c r="J2" s="87" t="s">
        <v>75</v>
      </c>
      <c r="K2" s="23" t="s">
        <v>66</v>
      </c>
      <c r="L2" s="23" t="s">
        <v>66</v>
      </c>
      <c r="M2" s="87" t="s">
        <v>75</v>
      </c>
      <c r="N2" s="87" t="s">
        <v>75</v>
      </c>
      <c r="O2" s="87"/>
      <c r="P2" s="87"/>
      <c r="Q2" s="87"/>
      <c r="R2" s="23"/>
      <c r="S2" s="23"/>
      <c r="T2" s="87"/>
      <c r="U2" s="522"/>
      <c r="V2" s="522" t="s">
        <v>113</v>
      </c>
      <c r="W2" s="87"/>
      <c r="X2" s="87"/>
      <c r="Y2" s="23"/>
      <c r="Z2" s="23"/>
      <c r="AA2" s="87" t="s">
        <v>69</v>
      </c>
      <c r="AB2" s="87" t="s">
        <v>70</v>
      </c>
      <c r="AC2" s="87" t="s">
        <v>70</v>
      </c>
      <c r="AD2" s="87" t="s">
        <v>70</v>
      </c>
      <c r="AE2" s="87" t="s">
        <v>70</v>
      </c>
      <c r="AF2" s="23" t="s">
        <v>70</v>
      </c>
      <c r="AG2" s="23" t="s">
        <v>70</v>
      </c>
      <c r="AH2" s="87" t="s">
        <v>69</v>
      </c>
      <c r="AI2" s="523" t="s">
        <v>66</v>
      </c>
      <c r="AJ2" s="26" t="str">
        <f>Tabela13[[#This Row],[FUNKCJONARIUSZ]]</f>
        <v>F-sz 001</v>
      </c>
      <c r="AK2" s="27" t="e">
        <f t="shared" ref="AK2:AK18" si="0">D2+AL2+AM2+AN2-$AK$1+AO2+AP2</f>
        <v>#REF!</v>
      </c>
      <c r="AL2" s="28">
        <f t="shared" ref="AL2:AL29" si="1">COUNTIF(E2:AI2,"D")*24+COUNTIF(E2:AI2,"12g")*12</f>
        <v>24</v>
      </c>
      <c r="AM2">
        <f t="shared" ref="AM2:AM29" si="2">SUM(COUNTIF(E2:AI2,"k")+COUNTIF(E2:AI2,"s")+COUNTIF(E2:AI2,"wse"))*24+SUM(COUNTIF(E2:AI2,"Pk")+COUNTIF(E2:AI2,"Ps"))*12</f>
        <v>168</v>
      </c>
      <c r="AN2" s="29">
        <f t="shared" ref="AN2:AN29" si="3">SUM(E2:AI2)+COUNTIF(E2:AI2,"uw")*8+COUNTIF(E2:AI2,"us")*8+COUNTIF(E2:AI2,"uz")*8</f>
        <v>56</v>
      </c>
      <c r="AO2" s="1">
        <f t="shared" ref="AO2:AO29" si="4">COUNTIF(E2:AI2,"DT")*8</f>
        <v>0</v>
      </c>
      <c r="AP2" s="1">
        <v>0</v>
      </c>
    </row>
    <row r="3" spans="1:45" ht="15.9">
      <c r="A3" s="1" t="s">
        <v>63</v>
      </c>
      <c r="B3" s="1" t="s">
        <v>64</v>
      </c>
      <c r="C3" s="203" t="s">
        <v>65</v>
      </c>
      <c r="D3" s="491">
        <v>-51</v>
      </c>
      <c r="E3" s="31" t="s">
        <v>76</v>
      </c>
      <c r="F3" s="89" t="s">
        <v>345</v>
      </c>
      <c r="G3" s="89" t="s">
        <v>62</v>
      </c>
      <c r="H3" s="89" t="s">
        <v>62</v>
      </c>
      <c r="I3" s="89" t="s">
        <v>62</v>
      </c>
      <c r="J3" s="89" t="s">
        <v>61</v>
      </c>
      <c r="K3" s="33" t="s">
        <v>66</v>
      </c>
      <c r="L3" s="33" t="s">
        <v>66</v>
      </c>
      <c r="M3" s="89" t="s">
        <v>66</v>
      </c>
      <c r="N3" s="89" t="s">
        <v>66</v>
      </c>
      <c r="O3" s="89" t="s">
        <v>66</v>
      </c>
      <c r="P3" s="89" t="s">
        <v>66</v>
      </c>
      <c r="Q3" s="89"/>
      <c r="R3" s="33"/>
      <c r="S3" s="33" t="s">
        <v>331</v>
      </c>
      <c r="T3" s="89" t="s">
        <v>69</v>
      </c>
      <c r="U3" s="524" t="s">
        <v>70</v>
      </c>
      <c r="V3" s="524" t="s">
        <v>70</v>
      </c>
      <c r="W3" s="89" t="s">
        <v>70</v>
      </c>
      <c r="X3" s="89" t="s">
        <v>69</v>
      </c>
      <c r="Y3" s="33" t="s">
        <v>66</v>
      </c>
      <c r="Z3" s="33" t="s">
        <v>66</v>
      </c>
      <c r="AA3" s="89" t="s">
        <v>66</v>
      </c>
      <c r="AB3" s="89" t="s">
        <v>66</v>
      </c>
      <c r="AC3" s="89"/>
      <c r="AD3" s="89"/>
      <c r="AE3" s="89"/>
      <c r="AF3" s="33"/>
      <c r="AG3" s="33"/>
      <c r="AH3" s="89"/>
      <c r="AI3" s="525"/>
      <c r="AJ3" s="26" t="str">
        <f>Tabela13[[#This Row],[FUNKCJONARIUSZ]]</f>
        <v>F-sz 002</v>
      </c>
      <c r="AK3" s="27">
        <f t="shared" si="0"/>
        <v>-3</v>
      </c>
      <c r="AL3" s="28">
        <f t="shared" si="1"/>
        <v>24</v>
      </c>
      <c r="AM3">
        <f t="shared" si="2"/>
        <v>192</v>
      </c>
      <c r="AN3" s="29">
        <f t="shared" si="3"/>
        <v>0</v>
      </c>
      <c r="AO3" s="1">
        <f t="shared" si="4"/>
        <v>0</v>
      </c>
      <c r="AP3" s="1">
        <v>0</v>
      </c>
    </row>
    <row r="4" spans="1:45" ht="15.9">
      <c r="A4" s="1" t="s">
        <v>67</v>
      </c>
      <c r="B4" s="1" t="s">
        <v>64</v>
      </c>
      <c r="C4" s="203" t="s">
        <v>68</v>
      </c>
      <c r="D4" s="491" t="e">
        <f>Zasoby!#REF!</f>
        <v>#REF!</v>
      </c>
      <c r="E4" s="31"/>
      <c r="F4" s="89"/>
      <c r="G4" s="89"/>
      <c r="H4" s="89"/>
      <c r="I4" s="89"/>
      <c r="J4" s="89"/>
      <c r="K4" s="33"/>
      <c r="L4" s="33"/>
      <c r="M4" s="89" t="s">
        <v>61</v>
      </c>
      <c r="N4" s="89" t="s">
        <v>62</v>
      </c>
      <c r="O4" s="89" t="s">
        <v>62</v>
      </c>
      <c r="P4" s="89" t="s">
        <v>62</v>
      </c>
      <c r="Q4" s="89" t="s">
        <v>62</v>
      </c>
      <c r="R4" s="33" t="s">
        <v>62</v>
      </c>
      <c r="S4" s="33" t="s">
        <v>62</v>
      </c>
      <c r="T4" s="89" t="s">
        <v>61</v>
      </c>
      <c r="U4" s="524" t="s">
        <v>66</v>
      </c>
      <c r="V4" s="524" t="s">
        <v>66</v>
      </c>
      <c r="W4" s="89" t="s">
        <v>66</v>
      </c>
      <c r="X4" s="89" t="s">
        <v>66</v>
      </c>
      <c r="Y4" s="33" t="s">
        <v>66</v>
      </c>
      <c r="Z4" s="33" t="s">
        <v>66</v>
      </c>
      <c r="AA4" s="89" t="s">
        <v>66</v>
      </c>
      <c r="AB4" s="89"/>
      <c r="AC4" s="89"/>
      <c r="AD4" s="89"/>
      <c r="AE4" s="89"/>
      <c r="AF4" s="33" t="s">
        <v>76</v>
      </c>
      <c r="AG4" s="33"/>
      <c r="AH4" s="89" t="s">
        <v>61</v>
      </c>
      <c r="AI4" s="525" t="s">
        <v>70</v>
      </c>
      <c r="AJ4" s="26" t="str">
        <f>Tabela13[[#This Row],[FUNKCJONARIUSZ]]</f>
        <v>F-sz 003</v>
      </c>
      <c r="AK4" s="27" t="e">
        <f t="shared" si="0"/>
        <v>#REF!</v>
      </c>
      <c r="AL4" s="28">
        <f t="shared" si="1"/>
        <v>12</v>
      </c>
      <c r="AM4">
        <f t="shared" si="2"/>
        <v>204</v>
      </c>
      <c r="AN4" s="29">
        <f t="shared" si="3"/>
        <v>0</v>
      </c>
      <c r="AO4" s="1">
        <f t="shared" si="4"/>
        <v>0</v>
      </c>
      <c r="AP4" s="1">
        <v>0</v>
      </c>
    </row>
    <row r="5" spans="1:45" ht="15.9">
      <c r="A5" s="1" t="s">
        <v>63</v>
      </c>
      <c r="B5" s="1" t="s">
        <v>64</v>
      </c>
      <c r="C5" s="206" t="s">
        <v>71</v>
      </c>
      <c r="D5" s="491" t="e">
        <f>Zasoby!#REF!</f>
        <v>#REF!</v>
      </c>
      <c r="E5" s="31" t="s">
        <v>101</v>
      </c>
      <c r="F5" s="89"/>
      <c r="G5" s="89"/>
      <c r="H5" s="89" t="s">
        <v>113</v>
      </c>
      <c r="I5" s="89"/>
      <c r="J5" s="89"/>
      <c r="K5" s="33"/>
      <c r="L5" s="33" t="s">
        <v>76</v>
      </c>
      <c r="M5" s="89"/>
      <c r="N5" s="89"/>
      <c r="O5" s="89"/>
      <c r="P5" s="89" t="s">
        <v>113</v>
      </c>
      <c r="Q5" s="89"/>
      <c r="R5" s="33"/>
      <c r="S5" s="33" t="s">
        <v>76</v>
      </c>
      <c r="T5" s="89"/>
      <c r="U5" s="524"/>
      <c r="V5" s="524"/>
      <c r="W5" s="89" t="s">
        <v>75</v>
      </c>
      <c r="X5" s="89" t="s">
        <v>75</v>
      </c>
      <c r="Y5" s="33" t="s">
        <v>66</v>
      </c>
      <c r="Z5" s="33" t="s">
        <v>66</v>
      </c>
      <c r="AA5" s="89" t="s">
        <v>75</v>
      </c>
      <c r="AB5" s="89" t="s">
        <v>75</v>
      </c>
      <c r="AC5" s="89" t="s">
        <v>75</v>
      </c>
      <c r="AD5" s="89" t="s">
        <v>75</v>
      </c>
      <c r="AE5" s="89" t="s">
        <v>75</v>
      </c>
      <c r="AF5" s="33" t="s">
        <v>66</v>
      </c>
      <c r="AG5" s="33" t="s">
        <v>66</v>
      </c>
      <c r="AH5" s="89" t="s">
        <v>75</v>
      </c>
      <c r="AI5" s="525" t="s">
        <v>75</v>
      </c>
      <c r="AJ5" s="26" t="str">
        <f>Tabela13[[#This Row],[FUNKCJONARIUSZ]]</f>
        <v>F-sz 004</v>
      </c>
      <c r="AK5" s="27" t="e">
        <f t="shared" si="0"/>
        <v>#REF!</v>
      </c>
      <c r="AL5" s="28">
        <f t="shared" si="1"/>
        <v>72</v>
      </c>
      <c r="AM5">
        <f t="shared" si="2"/>
        <v>0</v>
      </c>
      <c r="AN5" s="29">
        <f t="shared" si="3"/>
        <v>72</v>
      </c>
      <c r="AO5" s="1">
        <f t="shared" si="4"/>
        <v>0</v>
      </c>
      <c r="AP5" s="1">
        <v>0</v>
      </c>
      <c r="AQ5" s="36" t="s">
        <v>59</v>
      </c>
      <c r="AR5" s="1" t="s">
        <v>72</v>
      </c>
      <c r="AS5" s="1">
        <v>24</v>
      </c>
    </row>
    <row r="6" spans="1:45" ht="15.9">
      <c r="A6" s="1" t="s">
        <v>67</v>
      </c>
      <c r="B6" s="1" t="s">
        <v>73</v>
      </c>
      <c r="C6" s="203" t="s">
        <v>74</v>
      </c>
      <c r="D6" s="491" t="e">
        <f>Zasoby!#REF!</f>
        <v>#REF!</v>
      </c>
      <c r="E6" s="31"/>
      <c r="F6" s="89" t="s">
        <v>113</v>
      </c>
      <c r="G6" s="89"/>
      <c r="H6" s="89"/>
      <c r="I6" s="89"/>
      <c r="J6" s="89"/>
      <c r="K6" s="33"/>
      <c r="L6" s="33" t="s">
        <v>113</v>
      </c>
      <c r="M6" s="89"/>
      <c r="N6" s="89"/>
      <c r="O6" s="89"/>
      <c r="P6" s="89"/>
      <c r="Q6" s="89"/>
      <c r="R6" s="33"/>
      <c r="S6" s="33"/>
      <c r="T6" s="89" t="s">
        <v>61</v>
      </c>
      <c r="U6" s="524" t="s">
        <v>62</v>
      </c>
      <c r="V6" s="524" t="s">
        <v>62</v>
      </c>
      <c r="W6" s="89" t="s">
        <v>62</v>
      </c>
      <c r="X6" s="89" t="s">
        <v>62</v>
      </c>
      <c r="Y6" s="33" t="s">
        <v>62</v>
      </c>
      <c r="Z6" s="33" t="s">
        <v>62</v>
      </c>
      <c r="AA6" s="89" t="s">
        <v>61</v>
      </c>
      <c r="AB6" s="89" t="s">
        <v>66</v>
      </c>
      <c r="AC6" s="89" t="s">
        <v>66</v>
      </c>
      <c r="AD6" s="89" t="s">
        <v>66</v>
      </c>
      <c r="AE6" s="89" t="s">
        <v>66</v>
      </c>
      <c r="AF6" s="33" t="s">
        <v>66</v>
      </c>
      <c r="AG6" s="33" t="s">
        <v>66</v>
      </c>
      <c r="AH6" s="89" t="s">
        <v>59</v>
      </c>
      <c r="AI6" s="525"/>
      <c r="AJ6" s="26" t="str">
        <f>Tabela13[[#This Row],[FUNKCJONARIUSZ]]</f>
        <v>F-sz 005</v>
      </c>
      <c r="AK6" s="27" t="e">
        <f t="shared" si="0"/>
        <v>#REF!</v>
      </c>
      <c r="AL6" s="28">
        <f t="shared" si="1"/>
        <v>72</v>
      </c>
      <c r="AM6">
        <f t="shared" si="2"/>
        <v>168</v>
      </c>
      <c r="AN6" s="29">
        <f t="shared" si="3"/>
        <v>0</v>
      </c>
      <c r="AO6" s="1">
        <f t="shared" si="4"/>
        <v>0</v>
      </c>
      <c r="AP6" s="1">
        <v>0</v>
      </c>
      <c r="AQ6" s="36" t="s">
        <v>76</v>
      </c>
      <c r="AR6" s="1" t="s">
        <v>77</v>
      </c>
      <c r="AS6" s="1">
        <v>12</v>
      </c>
    </row>
    <row r="7" spans="1:45" ht="15.9">
      <c r="A7" s="1" t="s">
        <v>67</v>
      </c>
      <c r="B7" s="1" t="s">
        <v>59</v>
      </c>
      <c r="C7" s="30" t="s">
        <v>78</v>
      </c>
      <c r="D7" s="491">
        <v>-10.5</v>
      </c>
      <c r="E7" s="31"/>
      <c r="F7" s="89" t="s">
        <v>66</v>
      </c>
      <c r="G7" s="89" t="s">
        <v>66</v>
      </c>
      <c r="H7" s="89" t="s">
        <v>66</v>
      </c>
      <c r="I7" s="89" t="s">
        <v>66</v>
      </c>
      <c r="J7" s="89" t="s">
        <v>66</v>
      </c>
      <c r="K7" s="33"/>
      <c r="L7" s="33"/>
      <c r="M7" s="89" t="s">
        <v>83</v>
      </c>
      <c r="N7" s="89" t="s">
        <v>83</v>
      </c>
      <c r="O7" s="89" t="s">
        <v>83</v>
      </c>
      <c r="P7" s="89" t="s">
        <v>83</v>
      </c>
      <c r="Q7" s="89" t="s">
        <v>83</v>
      </c>
      <c r="R7" s="33"/>
      <c r="S7" s="33"/>
      <c r="T7" s="89"/>
      <c r="U7" s="524"/>
      <c r="V7" s="524"/>
      <c r="W7" s="89">
        <v>17</v>
      </c>
      <c r="X7" s="89" t="s">
        <v>98</v>
      </c>
      <c r="Y7" s="33">
        <v>15</v>
      </c>
      <c r="Z7" s="33"/>
      <c r="AA7" s="89" t="s">
        <v>113</v>
      </c>
      <c r="AB7" s="89"/>
      <c r="AC7" s="89" t="s">
        <v>66</v>
      </c>
      <c r="AD7" s="89"/>
      <c r="AE7" s="89" t="s">
        <v>59</v>
      </c>
      <c r="AF7" s="33"/>
      <c r="AG7" s="33"/>
      <c r="AH7" s="89"/>
      <c r="AI7" s="525" t="s">
        <v>66</v>
      </c>
      <c r="AJ7" s="26" t="str">
        <f>Tabela13[[#This Row],[FUNKCJONARIUSZ]]</f>
        <v>F-sz 006</v>
      </c>
      <c r="AK7" s="27">
        <f t="shared" si="0"/>
        <v>-34.5</v>
      </c>
      <c r="AL7" s="28">
        <f t="shared" si="1"/>
        <v>48</v>
      </c>
      <c r="AM7">
        <f t="shared" si="2"/>
        <v>24</v>
      </c>
      <c r="AN7" s="29">
        <f t="shared" si="3"/>
        <v>72</v>
      </c>
      <c r="AO7" s="1">
        <f t="shared" si="4"/>
        <v>0</v>
      </c>
      <c r="AP7" s="1">
        <v>0</v>
      </c>
      <c r="AQ7" s="36" t="s">
        <v>69</v>
      </c>
      <c r="AR7" s="1" t="s">
        <v>79</v>
      </c>
      <c r="AS7" s="1">
        <v>12</v>
      </c>
    </row>
    <row r="8" spans="1:45" ht="15.9">
      <c r="A8" s="1" t="s">
        <v>67</v>
      </c>
      <c r="B8" s="1" t="s">
        <v>59</v>
      </c>
      <c r="C8" s="203" t="s">
        <v>80</v>
      </c>
      <c r="D8" s="491" t="e">
        <f>Zasoby!#REF!</f>
        <v>#REF!</v>
      </c>
      <c r="E8" s="31" t="s">
        <v>113</v>
      </c>
      <c r="F8" s="89"/>
      <c r="G8" s="89"/>
      <c r="H8" s="89"/>
      <c r="I8" s="89"/>
      <c r="J8" s="89"/>
      <c r="K8" s="33"/>
      <c r="L8" s="33"/>
      <c r="M8" s="89" t="s">
        <v>69</v>
      </c>
      <c r="N8" s="89" t="s">
        <v>70</v>
      </c>
      <c r="O8" s="89" t="s">
        <v>70</v>
      </c>
      <c r="P8" s="89" t="s">
        <v>70</v>
      </c>
      <c r="Q8" s="89" t="s">
        <v>70</v>
      </c>
      <c r="R8" s="33" t="s">
        <v>70</v>
      </c>
      <c r="S8" s="33" t="s">
        <v>70</v>
      </c>
      <c r="T8" s="89" t="s">
        <v>69</v>
      </c>
      <c r="U8" s="524" t="s">
        <v>66</v>
      </c>
      <c r="V8" s="524" t="s">
        <v>66</v>
      </c>
      <c r="W8" s="89" t="s">
        <v>75</v>
      </c>
      <c r="X8" s="89" t="s">
        <v>75</v>
      </c>
      <c r="Y8" s="33" t="s">
        <v>66</v>
      </c>
      <c r="Z8" s="33" t="s">
        <v>66</v>
      </c>
      <c r="AA8" s="89" t="s">
        <v>75</v>
      </c>
      <c r="AB8" s="89" t="s">
        <v>75</v>
      </c>
      <c r="AC8" s="89" t="s">
        <v>75</v>
      </c>
      <c r="AD8" s="89" t="s">
        <v>75</v>
      </c>
      <c r="AE8" s="89" t="s">
        <v>75</v>
      </c>
      <c r="AF8" s="33" t="s">
        <v>66</v>
      </c>
      <c r="AG8" s="33" t="s">
        <v>66</v>
      </c>
      <c r="AH8" s="89" t="s">
        <v>75</v>
      </c>
      <c r="AI8" s="525" t="s">
        <v>294</v>
      </c>
      <c r="AJ8" s="26" t="str">
        <f>Tabela13[[#This Row],[FUNKCJONARIUSZ]]</f>
        <v>F-sz 007</v>
      </c>
      <c r="AK8" s="27" t="e">
        <f t="shared" si="0"/>
        <v>#REF!</v>
      </c>
      <c r="AL8" s="28">
        <f t="shared" si="1"/>
        <v>24</v>
      </c>
      <c r="AM8">
        <f t="shared" si="2"/>
        <v>168</v>
      </c>
      <c r="AN8" s="29">
        <f t="shared" si="3"/>
        <v>72</v>
      </c>
      <c r="AO8" s="1">
        <f t="shared" si="4"/>
        <v>0</v>
      </c>
      <c r="AP8" s="1">
        <v>0</v>
      </c>
      <c r="AQ8" s="36" t="s">
        <v>70</v>
      </c>
      <c r="AR8" s="1" t="s">
        <v>81</v>
      </c>
      <c r="AS8" s="1">
        <v>24</v>
      </c>
    </row>
    <row r="9" spans="1:45" ht="15.9">
      <c r="A9" s="1" t="s">
        <v>67</v>
      </c>
      <c r="B9" s="1" t="s">
        <v>59</v>
      </c>
      <c r="C9" s="203" t="s">
        <v>82</v>
      </c>
      <c r="D9" s="491" t="e">
        <f>Zasoby!#REF!</f>
        <v>#REF!</v>
      </c>
      <c r="E9" s="31" t="s">
        <v>62</v>
      </c>
      <c r="F9" s="89" t="s">
        <v>61</v>
      </c>
      <c r="G9" s="89" t="s">
        <v>66</v>
      </c>
      <c r="H9" s="89" t="s">
        <v>66</v>
      </c>
      <c r="I9" s="89" t="s">
        <v>66</v>
      </c>
      <c r="J9" s="89" t="s">
        <v>66</v>
      </c>
      <c r="K9" s="33" t="s">
        <v>66</v>
      </c>
      <c r="L9" s="33" t="s">
        <v>66</v>
      </c>
      <c r="M9" s="89" t="s">
        <v>66</v>
      </c>
      <c r="N9" s="89"/>
      <c r="O9" s="89"/>
      <c r="P9" s="89"/>
      <c r="Q9" s="89"/>
      <c r="R9" s="33"/>
      <c r="S9" s="33"/>
      <c r="T9" s="89" t="s">
        <v>66</v>
      </c>
      <c r="U9" s="524"/>
      <c r="V9" s="524"/>
      <c r="W9" s="89"/>
      <c r="X9" s="89"/>
      <c r="Y9" s="33"/>
      <c r="Z9" s="33"/>
      <c r="AA9" s="89"/>
      <c r="AB9" s="89"/>
      <c r="AC9" s="89"/>
      <c r="AD9" s="89"/>
      <c r="AE9" s="89"/>
      <c r="AF9" s="33"/>
      <c r="AG9" s="33"/>
      <c r="AH9" s="89" t="s">
        <v>61</v>
      </c>
      <c r="AI9" s="525" t="s">
        <v>62</v>
      </c>
      <c r="AJ9" s="26" t="str">
        <f>Tabela13[[#This Row],[FUNKCJONARIUSZ]]</f>
        <v>F-sz 008</v>
      </c>
      <c r="AK9" s="27" t="e">
        <f t="shared" si="0"/>
        <v>#REF!</v>
      </c>
      <c r="AL9" s="28">
        <f t="shared" si="1"/>
        <v>0</v>
      </c>
      <c r="AM9">
        <f t="shared" si="2"/>
        <v>72</v>
      </c>
      <c r="AN9" s="29">
        <f t="shared" si="3"/>
        <v>0</v>
      </c>
      <c r="AO9" s="1">
        <f t="shared" si="4"/>
        <v>0</v>
      </c>
      <c r="AP9" s="1">
        <v>0</v>
      </c>
      <c r="AQ9" s="36" t="s">
        <v>83</v>
      </c>
      <c r="AR9" s="1" t="s">
        <v>84</v>
      </c>
      <c r="AS9" s="1">
        <v>8</v>
      </c>
    </row>
    <row r="10" spans="1:45" ht="15.9">
      <c r="A10" s="1" t="s">
        <v>58</v>
      </c>
      <c r="B10" s="1" t="s">
        <v>73</v>
      </c>
      <c r="C10" s="203" t="s">
        <v>85</v>
      </c>
      <c r="D10" s="491">
        <v>49</v>
      </c>
      <c r="E10" s="31" t="s">
        <v>70</v>
      </c>
      <c r="F10" s="89" t="s">
        <v>69</v>
      </c>
      <c r="G10" s="89" t="s">
        <v>66</v>
      </c>
      <c r="H10" s="89" t="s">
        <v>66</v>
      </c>
      <c r="I10" s="89" t="s">
        <v>66</v>
      </c>
      <c r="J10" s="89" t="s">
        <v>66</v>
      </c>
      <c r="K10" s="33" t="s">
        <v>113</v>
      </c>
      <c r="L10" s="33"/>
      <c r="M10" s="89"/>
      <c r="N10" s="89"/>
      <c r="O10" s="89"/>
      <c r="P10" s="89" t="s">
        <v>257</v>
      </c>
      <c r="Q10" s="89" t="s">
        <v>257</v>
      </c>
      <c r="R10" s="33"/>
      <c r="S10" s="33"/>
      <c r="T10" s="89"/>
      <c r="U10" s="524"/>
      <c r="V10" s="524"/>
      <c r="W10" s="89"/>
      <c r="X10" s="89"/>
      <c r="Y10" s="33"/>
      <c r="Z10" s="33"/>
      <c r="AA10" s="89" t="s">
        <v>69</v>
      </c>
      <c r="AB10" s="89" t="s">
        <v>70</v>
      </c>
      <c r="AC10" s="89" t="s">
        <v>70</v>
      </c>
      <c r="AD10" s="89" t="s">
        <v>70</v>
      </c>
      <c r="AE10" s="89" t="s">
        <v>69</v>
      </c>
      <c r="AF10" s="33"/>
      <c r="AG10" s="33"/>
      <c r="AH10" s="89"/>
      <c r="AI10" s="525"/>
      <c r="AJ10" s="26" t="str">
        <f>Tabela13[[#This Row],[FUNKCJONARIUSZ]]</f>
        <v>F-sz 009</v>
      </c>
      <c r="AK10" s="27">
        <f t="shared" si="0"/>
        <v>37</v>
      </c>
      <c r="AL10" s="28">
        <f t="shared" si="1"/>
        <v>24</v>
      </c>
      <c r="AM10">
        <f t="shared" si="2"/>
        <v>132</v>
      </c>
      <c r="AN10" s="29">
        <f t="shared" si="3"/>
        <v>0</v>
      </c>
      <c r="AO10" s="1">
        <f t="shared" si="4"/>
        <v>0</v>
      </c>
      <c r="AP10" s="1">
        <v>0</v>
      </c>
      <c r="AQ10" s="36" t="s">
        <v>75</v>
      </c>
      <c r="AR10" s="1" t="s">
        <v>86</v>
      </c>
      <c r="AS10" s="1">
        <v>8</v>
      </c>
    </row>
    <row r="11" spans="1:45" ht="15.9">
      <c r="A11" s="1" t="s">
        <v>58</v>
      </c>
      <c r="B11" s="1" t="s">
        <v>73</v>
      </c>
      <c r="C11" s="203" t="s">
        <v>87</v>
      </c>
      <c r="D11" s="491">
        <v>-48</v>
      </c>
      <c r="E11" s="31"/>
      <c r="F11" s="89" t="s">
        <v>61</v>
      </c>
      <c r="G11" s="89" t="s">
        <v>62</v>
      </c>
      <c r="H11" s="89" t="s">
        <v>62</v>
      </c>
      <c r="I11" s="89" t="s">
        <v>62</v>
      </c>
      <c r="J11" s="89" t="s">
        <v>69</v>
      </c>
      <c r="K11" s="33" t="s">
        <v>66</v>
      </c>
      <c r="L11" s="33" t="s">
        <v>66</v>
      </c>
      <c r="M11" s="89" t="s">
        <v>66</v>
      </c>
      <c r="N11" s="89" t="s">
        <v>66</v>
      </c>
      <c r="O11" s="89" t="s">
        <v>66</v>
      </c>
      <c r="P11" s="89"/>
      <c r="Q11" s="89"/>
      <c r="R11" s="33"/>
      <c r="S11" s="33"/>
      <c r="T11" s="89"/>
      <c r="U11" s="524"/>
      <c r="V11" s="524"/>
      <c r="W11" s="89"/>
      <c r="X11" s="89"/>
      <c r="Y11" s="33"/>
      <c r="Z11" s="33" t="s">
        <v>76</v>
      </c>
      <c r="AA11" s="89"/>
      <c r="AB11" s="89"/>
      <c r="AC11" s="89" t="s">
        <v>113</v>
      </c>
      <c r="AD11" s="89"/>
      <c r="AE11" s="89"/>
      <c r="AF11" s="33" t="s">
        <v>76</v>
      </c>
      <c r="AG11" s="33" t="s">
        <v>113</v>
      </c>
      <c r="AH11" s="89"/>
      <c r="AI11" s="525"/>
      <c r="AJ11" s="26" t="str">
        <f>Tabela13[[#This Row],[FUNKCJONARIUSZ]]</f>
        <v>F-sz 010</v>
      </c>
      <c r="AK11" s="27">
        <f t="shared" si="0"/>
        <v>-48</v>
      </c>
      <c r="AL11" s="28">
        <f t="shared" si="1"/>
        <v>72</v>
      </c>
      <c r="AM11">
        <f t="shared" si="2"/>
        <v>96</v>
      </c>
      <c r="AN11" s="29">
        <f t="shared" si="3"/>
        <v>0</v>
      </c>
      <c r="AO11" s="1">
        <f t="shared" si="4"/>
        <v>0</v>
      </c>
      <c r="AP11" s="1">
        <v>0</v>
      </c>
      <c r="AQ11" s="36" t="s">
        <v>88</v>
      </c>
      <c r="AR11" s="1" t="s">
        <v>89</v>
      </c>
      <c r="AS11" s="1">
        <v>8</v>
      </c>
    </row>
    <row r="12" spans="1:45" ht="15.9">
      <c r="A12" s="1" t="s">
        <v>90</v>
      </c>
      <c r="B12" s="1" t="s">
        <v>64</v>
      </c>
      <c r="C12" s="203" t="s">
        <v>91</v>
      </c>
      <c r="D12" s="491" t="e">
        <f>Zasoby!#REF!</f>
        <v>#REF!</v>
      </c>
      <c r="E12" s="31" t="s">
        <v>66</v>
      </c>
      <c r="F12" s="89" t="s">
        <v>294</v>
      </c>
      <c r="G12" s="89" t="s">
        <v>294</v>
      </c>
      <c r="H12" s="89" t="s">
        <v>294</v>
      </c>
      <c r="I12" s="89" t="s">
        <v>294</v>
      </c>
      <c r="J12" s="89" t="s">
        <v>294</v>
      </c>
      <c r="K12" s="33" t="s">
        <v>66</v>
      </c>
      <c r="L12" s="33" t="s">
        <v>66</v>
      </c>
      <c r="M12" s="89" t="s">
        <v>294</v>
      </c>
      <c r="N12" s="89"/>
      <c r="O12" s="89"/>
      <c r="P12" s="89"/>
      <c r="Q12" s="89"/>
      <c r="R12" s="33"/>
      <c r="S12" s="33" t="s">
        <v>76</v>
      </c>
      <c r="T12" s="89"/>
      <c r="U12" s="524"/>
      <c r="V12" s="524"/>
      <c r="W12" s="89"/>
      <c r="X12" s="89" t="s">
        <v>69</v>
      </c>
      <c r="Y12" s="33" t="s">
        <v>62</v>
      </c>
      <c r="Z12" s="33" t="s">
        <v>62</v>
      </c>
      <c r="AA12" s="89" t="s">
        <v>61</v>
      </c>
      <c r="AB12" s="89" t="s">
        <v>66</v>
      </c>
      <c r="AC12" s="89" t="s">
        <v>66</v>
      </c>
      <c r="AD12" s="89" t="s">
        <v>66</v>
      </c>
      <c r="AE12" s="89" t="s">
        <v>66</v>
      </c>
      <c r="AF12" s="33" t="s">
        <v>66</v>
      </c>
      <c r="AG12" s="33" t="s">
        <v>66</v>
      </c>
      <c r="AH12" s="89" t="s">
        <v>294</v>
      </c>
      <c r="AI12" s="525" t="s">
        <v>294</v>
      </c>
      <c r="AJ12" s="26" t="str">
        <f>Tabela13[[#This Row],[FUNKCJONARIUSZ]]</f>
        <v>F-sz 011</v>
      </c>
      <c r="AK12" s="27" t="e">
        <f t="shared" si="0"/>
        <v>#REF!</v>
      </c>
      <c r="AL12" s="28">
        <f t="shared" si="1"/>
        <v>12</v>
      </c>
      <c r="AM12">
        <f t="shared" si="2"/>
        <v>72</v>
      </c>
      <c r="AN12" s="29">
        <f t="shared" si="3"/>
        <v>64</v>
      </c>
      <c r="AO12" s="1">
        <f t="shared" si="4"/>
        <v>0</v>
      </c>
      <c r="AP12" s="1">
        <v>0</v>
      </c>
      <c r="AQ12" s="36" t="s">
        <v>92</v>
      </c>
      <c r="AR12" s="1" t="s">
        <v>79</v>
      </c>
      <c r="AS12" s="1">
        <v>12</v>
      </c>
    </row>
    <row r="13" spans="1:45" ht="15.9">
      <c r="A13" s="1" t="s">
        <v>58</v>
      </c>
      <c r="B13" s="1" t="s">
        <v>93</v>
      </c>
      <c r="C13" s="203" t="s">
        <v>94</v>
      </c>
      <c r="D13" s="491" t="e">
        <f>Zasoby!#REF!</f>
        <v>#REF!</v>
      </c>
      <c r="E13" s="31"/>
      <c r="F13" s="89" t="s">
        <v>294</v>
      </c>
      <c r="G13" s="89" t="s">
        <v>294</v>
      </c>
      <c r="H13" s="89" t="s">
        <v>294</v>
      </c>
      <c r="I13" s="89" t="s">
        <v>294</v>
      </c>
      <c r="J13" s="89" t="s">
        <v>294</v>
      </c>
      <c r="K13" s="33" t="s">
        <v>66</v>
      </c>
      <c r="L13" s="33" t="s">
        <v>66</v>
      </c>
      <c r="M13" s="89" t="s">
        <v>294</v>
      </c>
      <c r="N13" s="89" t="s">
        <v>294</v>
      </c>
      <c r="O13" s="89" t="s">
        <v>294</v>
      </c>
      <c r="P13" s="89" t="s">
        <v>294</v>
      </c>
      <c r="Q13" s="89" t="s">
        <v>294</v>
      </c>
      <c r="R13" s="33" t="s">
        <v>66</v>
      </c>
      <c r="S13" s="33" t="s">
        <v>66</v>
      </c>
      <c r="T13" s="89" t="s">
        <v>294</v>
      </c>
      <c r="U13" s="524" t="s">
        <v>294</v>
      </c>
      <c r="V13" s="524" t="s">
        <v>294</v>
      </c>
      <c r="W13" s="89" t="s">
        <v>294</v>
      </c>
      <c r="X13" s="89" t="s">
        <v>294</v>
      </c>
      <c r="Y13" s="33"/>
      <c r="Z13" s="33"/>
      <c r="AA13" s="89"/>
      <c r="AB13" s="89"/>
      <c r="AC13" s="89"/>
      <c r="AD13" s="89"/>
      <c r="AE13" s="89" t="s">
        <v>69</v>
      </c>
      <c r="AF13" s="33" t="s">
        <v>62</v>
      </c>
      <c r="AG13" s="33" t="s">
        <v>62</v>
      </c>
      <c r="AH13" s="89" t="s">
        <v>61</v>
      </c>
      <c r="AI13" s="525"/>
      <c r="AJ13" s="26" t="str">
        <f>Tabela13[[#This Row],[FUNKCJONARIUSZ]]</f>
        <v>F-sz 012</v>
      </c>
      <c r="AK13" s="27" t="e">
        <f t="shared" si="0"/>
        <v>#REF!</v>
      </c>
      <c r="AL13" s="28">
        <f t="shared" si="1"/>
        <v>0</v>
      </c>
      <c r="AM13">
        <f t="shared" si="2"/>
        <v>72</v>
      </c>
      <c r="AN13" s="29">
        <f t="shared" si="3"/>
        <v>120</v>
      </c>
      <c r="AO13" s="1">
        <f t="shared" si="4"/>
        <v>0</v>
      </c>
      <c r="AP13" s="1">
        <v>0</v>
      </c>
      <c r="AQ13" s="36" t="s">
        <v>95</v>
      </c>
      <c r="AR13" s="1" t="s">
        <v>96</v>
      </c>
      <c r="AS13" s="1">
        <v>24</v>
      </c>
    </row>
    <row r="14" spans="1:45" ht="15.9">
      <c r="A14" s="1" t="s">
        <v>90</v>
      </c>
      <c r="B14" s="1" t="s">
        <v>59</v>
      </c>
      <c r="C14" s="203" t="s">
        <v>97</v>
      </c>
      <c r="D14" s="491">
        <v>48</v>
      </c>
      <c r="E14" s="31" t="s">
        <v>70</v>
      </c>
      <c r="F14" s="89" t="s">
        <v>69</v>
      </c>
      <c r="G14" s="89"/>
      <c r="H14" s="89"/>
      <c r="I14" s="89"/>
      <c r="J14" s="89"/>
      <c r="K14" s="33"/>
      <c r="L14" s="33" t="s">
        <v>76</v>
      </c>
      <c r="M14" s="89" t="s">
        <v>294</v>
      </c>
      <c r="N14" s="89" t="s">
        <v>294</v>
      </c>
      <c r="O14" s="89" t="s">
        <v>294</v>
      </c>
      <c r="P14" s="89" t="s">
        <v>294</v>
      </c>
      <c r="Q14" s="89" t="s">
        <v>294</v>
      </c>
      <c r="R14" s="33" t="s">
        <v>66</v>
      </c>
      <c r="S14" s="33" t="s">
        <v>66</v>
      </c>
      <c r="T14" s="89" t="s">
        <v>294</v>
      </c>
      <c r="U14" s="524" t="s">
        <v>294</v>
      </c>
      <c r="V14" s="524" t="s">
        <v>294</v>
      </c>
      <c r="W14" s="89" t="s">
        <v>294</v>
      </c>
      <c r="X14" s="89" t="s">
        <v>294</v>
      </c>
      <c r="Y14" s="33" t="s">
        <v>113</v>
      </c>
      <c r="Z14" s="33"/>
      <c r="AA14" s="89"/>
      <c r="AB14" s="89"/>
      <c r="AC14" s="89"/>
      <c r="AD14" s="89"/>
      <c r="AE14" s="89"/>
      <c r="AF14" s="33" t="s">
        <v>76</v>
      </c>
      <c r="AG14" s="33"/>
      <c r="AH14" s="89"/>
      <c r="AI14" s="525"/>
      <c r="AJ14" s="26" t="str">
        <f>Tabela13[[#This Row],[FUNKCJONARIUSZ]]</f>
        <v>F-sz 013</v>
      </c>
      <c r="AK14" s="27">
        <f t="shared" si="0"/>
        <v>44</v>
      </c>
      <c r="AL14" s="28">
        <f t="shared" si="1"/>
        <v>48</v>
      </c>
      <c r="AM14">
        <f t="shared" si="2"/>
        <v>36</v>
      </c>
      <c r="AN14" s="29">
        <f t="shared" si="3"/>
        <v>80</v>
      </c>
      <c r="AO14" s="1">
        <f t="shared" si="4"/>
        <v>0</v>
      </c>
      <c r="AP14" s="1">
        <v>0</v>
      </c>
      <c r="AQ14" s="36" t="s">
        <v>98</v>
      </c>
      <c r="AR14" s="1" t="s">
        <v>99</v>
      </c>
      <c r="AS14" s="1">
        <v>24</v>
      </c>
    </row>
    <row r="15" spans="1:45" ht="15.9">
      <c r="A15" s="1" t="s">
        <v>58</v>
      </c>
      <c r="B15" s="1" t="s">
        <v>93</v>
      </c>
      <c r="C15" s="203" t="s">
        <v>100</v>
      </c>
      <c r="D15" s="491" t="e">
        <f>Zasoby!#REF!</f>
        <v>#REF!</v>
      </c>
      <c r="E15" s="31" t="s">
        <v>66</v>
      </c>
      <c r="F15" s="89" t="s">
        <v>66</v>
      </c>
      <c r="G15" s="89">
        <v>12</v>
      </c>
      <c r="H15" s="89"/>
      <c r="I15" s="89"/>
      <c r="J15" s="89" t="s">
        <v>59</v>
      </c>
      <c r="K15" s="33"/>
      <c r="L15" s="33" t="s">
        <v>66</v>
      </c>
      <c r="M15" s="89"/>
      <c r="N15" s="89" t="s">
        <v>66</v>
      </c>
      <c r="O15" s="89"/>
      <c r="P15" s="89"/>
      <c r="Q15" s="89" t="s">
        <v>61</v>
      </c>
      <c r="R15" s="33" t="s">
        <v>62</v>
      </c>
      <c r="S15" s="33" t="s">
        <v>62</v>
      </c>
      <c r="T15" s="89" t="s">
        <v>61</v>
      </c>
      <c r="U15" s="524" t="s">
        <v>66</v>
      </c>
      <c r="V15" s="524" t="s">
        <v>66</v>
      </c>
      <c r="W15" s="89" t="s">
        <v>66</v>
      </c>
      <c r="X15" s="89" t="s">
        <v>66</v>
      </c>
      <c r="Y15" s="33" t="s">
        <v>66</v>
      </c>
      <c r="Z15" s="33" t="s">
        <v>66</v>
      </c>
      <c r="AA15" s="89" t="s">
        <v>66</v>
      </c>
      <c r="AB15" s="89"/>
      <c r="AC15" s="89"/>
      <c r="AD15" s="89"/>
      <c r="AE15" s="89" t="s">
        <v>61</v>
      </c>
      <c r="AF15" s="33" t="s">
        <v>62</v>
      </c>
      <c r="AG15" s="33" t="s">
        <v>62</v>
      </c>
      <c r="AH15" s="89" t="s">
        <v>61</v>
      </c>
      <c r="AI15" s="525"/>
      <c r="AJ15" s="26" t="str">
        <f>Tabela13[[#This Row],[FUNKCJONARIUSZ]]</f>
        <v>F-sz 014</v>
      </c>
      <c r="AK15" s="27" t="e">
        <f t="shared" si="0"/>
        <v>#REF!</v>
      </c>
      <c r="AL15" s="28">
        <f t="shared" si="1"/>
        <v>24</v>
      </c>
      <c r="AM15">
        <f t="shared" si="2"/>
        <v>144</v>
      </c>
      <c r="AN15" s="29">
        <f t="shared" si="3"/>
        <v>12</v>
      </c>
      <c r="AO15" s="1">
        <f t="shared" si="4"/>
        <v>0</v>
      </c>
      <c r="AP15" s="1">
        <f>2*24</f>
        <v>48</v>
      </c>
      <c r="AQ15" s="32" t="s">
        <v>101</v>
      </c>
      <c r="AR15" s="1" t="s">
        <v>102</v>
      </c>
      <c r="AS15" s="1" t="s">
        <v>103</v>
      </c>
    </row>
    <row r="16" spans="1:45" ht="15.9">
      <c r="A16" s="1" t="s">
        <v>90</v>
      </c>
      <c r="B16" s="1" t="s">
        <v>64</v>
      </c>
      <c r="C16" s="203" t="s">
        <v>104</v>
      </c>
      <c r="D16" s="491">
        <v>45</v>
      </c>
      <c r="E16" s="31"/>
      <c r="F16" s="89" t="s">
        <v>69</v>
      </c>
      <c r="G16" s="89" t="s">
        <v>70</v>
      </c>
      <c r="H16" s="89" t="s">
        <v>70</v>
      </c>
      <c r="I16" s="89" t="s">
        <v>70</v>
      </c>
      <c r="J16" s="89" t="s">
        <v>69</v>
      </c>
      <c r="K16" s="33" t="s">
        <v>66</v>
      </c>
      <c r="L16" s="33" t="s">
        <v>66</v>
      </c>
      <c r="M16" s="89" t="s">
        <v>66</v>
      </c>
      <c r="N16" s="89" t="s">
        <v>66</v>
      </c>
      <c r="O16" s="89" t="s">
        <v>66</v>
      </c>
      <c r="P16" s="89"/>
      <c r="Q16" s="89"/>
      <c r="R16" s="33" t="s">
        <v>113</v>
      </c>
      <c r="S16" s="33"/>
      <c r="T16" s="89"/>
      <c r="U16" s="524"/>
      <c r="V16" s="524"/>
      <c r="W16" s="89"/>
      <c r="X16" s="89"/>
      <c r="Y16" s="33"/>
      <c r="Z16" s="33" t="s">
        <v>113</v>
      </c>
      <c r="AA16" s="89"/>
      <c r="AB16" s="89"/>
      <c r="AC16" s="89"/>
      <c r="AD16" s="89"/>
      <c r="AE16" s="89"/>
      <c r="AF16" s="33" t="s">
        <v>66</v>
      </c>
      <c r="AG16" s="33" t="s">
        <v>66</v>
      </c>
      <c r="AH16" s="89" t="s">
        <v>75</v>
      </c>
      <c r="AI16" s="525" t="s">
        <v>75</v>
      </c>
      <c r="AJ16" s="26" t="str">
        <f>Tabela13[[#This Row],[FUNKCJONARIUSZ]]</f>
        <v>F-sz 015</v>
      </c>
      <c r="AK16" s="27">
        <f t="shared" si="0"/>
        <v>37</v>
      </c>
      <c r="AL16" s="28">
        <f t="shared" si="1"/>
        <v>48</v>
      </c>
      <c r="AM16">
        <f t="shared" si="2"/>
        <v>96</v>
      </c>
      <c r="AN16" s="29">
        <f t="shared" si="3"/>
        <v>16</v>
      </c>
      <c r="AO16" s="1">
        <f t="shared" si="4"/>
        <v>0</v>
      </c>
      <c r="AP16" s="1">
        <v>0</v>
      </c>
    </row>
    <row r="17" spans="1:42" ht="15.9">
      <c r="A17" s="1" t="s">
        <v>105</v>
      </c>
      <c r="B17" s="1" t="s">
        <v>64</v>
      </c>
      <c r="C17" s="203" t="s">
        <v>106</v>
      </c>
      <c r="D17" s="491">
        <v>43</v>
      </c>
      <c r="E17" s="31" t="s">
        <v>76</v>
      </c>
      <c r="F17" s="89"/>
      <c r="G17" s="89" t="s">
        <v>59</v>
      </c>
      <c r="H17" s="89"/>
      <c r="I17" s="89"/>
      <c r="J17" s="89"/>
      <c r="K17" s="33"/>
      <c r="L17" s="33" t="s">
        <v>76</v>
      </c>
      <c r="M17" s="89"/>
      <c r="N17" s="89"/>
      <c r="O17" s="89"/>
      <c r="P17" s="89"/>
      <c r="Q17" s="89" t="s">
        <v>113</v>
      </c>
      <c r="R17" s="33"/>
      <c r="S17" s="33"/>
      <c r="T17" s="89" t="s">
        <v>113</v>
      </c>
      <c r="U17" s="524"/>
      <c r="V17" s="524"/>
      <c r="W17" s="89"/>
      <c r="X17" s="89"/>
      <c r="Y17" s="33"/>
      <c r="Z17" s="33" t="s">
        <v>76</v>
      </c>
      <c r="AA17" s="89" t="s">
        <v>61</v>
      </c>
      <c r="AB17" s="89" t="s">
        <v>62</v>
      </c>
      <c r="AC17" s="89" t="s">
        <v>62</v>
      </c>
      <c r="AD17" s="89" t="s">
        <v>62</v>
      </c>
      <c r="AE17" s="89" t="s">
        <v>61</v>
      </c>
      <c r="AF17" s="33"/>
      <c r="AG17" s="33"/>
      <c r="AH17" s="89"/>
      <c r="AI17" s="525"/>
      <c r="AJ17" s="26" t="str">
        <f>Tabela13[[#This Row],[FUNKCJONARIUSZ]]</f>
        <v>F-sz 016</v>
      </c>
      <c r="AK17" s="27">
        <f t="shared" si="0"/>
        <v>79</v>
      </c>
      <c r="AL17" s="28">
        <f t="shared" si="1"/>
        <v>108</v>
      </c>
      <c r="AM17">
        <f t="shared" si="2"/>
        <v>96</v>
      </c>
      <c r="AN17" s="29">
        <f t="shared" si="3"/>
        <v>0</v>
      </c>
      <c r="AO17" s="1">
        <f t="shared" si="4"/>
        <v>0</v>
      </c>
      <c r="AP17" s="1">
        <v>0</v>
      </c>
    </row>
    <row r="18" spans="1:42" ht="15.9">
      <c r="A18" s="1" t="s">
        <v>67</v>
      </c>
      <c r="B18" s="1" t="s">
        <v>73</v>
      </c>
      <c r="C18" s="203" t="s">
        <v>107</v>
      </c>
      <c r="D18" s="491">
        <v>107</v>
      </c>
      <c r="E18" s="31"/>
      <c r="F18" s="89">
        <v>12</v>
      </c>
      <c r="G18" s="89"/>
      <c r="H18" s="89"/>
      <c r="I18" s="89"/>
      <c r="J18" s="89"/>
      <c r="K18" s="33"/>
      <c r="L18" s="33" t="s">
        <v>76</v>
      </c>
      <c r="M18" s="89"/>
      <c r="N18" s="89" t="s">
        <v>294</v>
      </c>
      <c r="O18" s="89" t="s">
        <v>294</v>
      </c>
      <c r="P18" s="89" t="s">
        <v>294</v>
      </c>
      <c r="Q18" s="89" t="s">
        <v>294</v>
      </c>
      <c r="R18" s="33" t="s">
        <v>66</v>
      </c>
      <c r="S18" s="33" t="s">
        <v>66</v>
      </c>
      <c r="T18" s="89" t="s">
        <v>294</v>
      </c>
      <c r="U18" s="524" t="s">
        <v>294</v>
      </c>
      <c r="V18" s="524" t="s">
        <v>294</v>
      </c>
      <c r="W18" s="89" t="s">
        <v>294</v>
      </c>
      <c r="X18" s="89" t="s">
        <v>294</v>
      </c>
      <c r="Y18" s="33" t="s">
        <v>66</v>
      </c>
      <c r="Z18" s="33" t="s">
        <v>66</v>
      </c>
      <c r="AA18" s="89" t="s">
        <v>294</v>
      </c>
      <c r="AB18" s="89" t="s">
        <v>294</v>
      </c>
      <c r="AC18" s="89" t="s">
        <v>294</v>
      </c>
      <c r="AD18" s="89" t="s">
        <v>294</v>
      </c>
      <c r="AE18" s="89" t="s">
        <v>294</v>
      </c>
      <c r="AF18" s="33"/>
      <c r="AG18" s="33"/>
      <c r="AH18" s="89" t="s">
        <v>61</v>
      </c>
      <c r="AI18" s="525" t="s">
        <v>62</v>
      </c>
      <c r="AJ18" s="26" t="str">
        <f>Tabela13[[#This Row],[FUNKCJONARIUSZ]]</f>
        <v>F-sz 017</v>
      </c>
      <c r="AK18" s="27">
        <f t="shared" si="0"/>
        <v>111</v>
      </c>
      <c r="AL18" s="28">
        <f t="shared" si="1"/>
        <v>12</v>
      </c>
      <c r="AM18">
        <f t="shared" si="2"/>
        <v>36</v>
      </c>
      <c r="AN18" s="29">
        <f t="shared" si="3"/>
        <v>124</v>
      </c>
      <c r="AO18" s="1">
        <f t="shared" si="4"/>
        <v>0</v>
      </c>
      <c r="AP18" s="1">
        <v>0</v>
      </c>
    </row>
    <row r="19" spans="1:42" ht="15.9">
      <c r="A19" s="1" t="s">
        <v>90</v>
      </c>
      <c r="B19" s="1" t="s">
        <v>59</v>
      </c>
      <c r="C19" s="203" t="s">
        <v>108</v>
      </c>
      <c r="D19" s="491">
        <v>-41</v>
      </c>
      <c r="E19" s="31" t="s">
        <v>169</v>
      </c>
      <c r="F19" s="89" t="s">
        <v>169</v>
      </c>
      <c r="G19" s="89" t="s">
        <v>169</v>
      </c>
      <c r="H19" s="89" t="s">
        <v>169</v>
      </c>
      <c r="I19" s="89" t="s">
        <v>169</v>
      </c>
      <c r="J19" s="89" t="s">
        <v>169</v>
      </c>
      <c r="K19" s="33" t="s">
        <v>169</v>
      </c>
      <c r="L19" s="33" t="s">
        <v>169</v>
      </c>
      <c r="M19" s="89" t="s">
        <v>169</v>
      </c>
      <c r="N19" s="89" t="s">
        <v>169</v>
      </c>
      <c r="O19" s="89" t="s">
        <v>169</v>
      </c>
      <c r="P19" s="89" t="s">
        <v>169</v>
      </c>
      <c r="Q19" s="89" t="s">
        <v>169</v>
      </c>
      <c r="R19" s="33" t="s">
        <v>169</v>
      </c>
      <c r="S19" s="33" t="s">
        <v>169</v>
      </c>
      <c r="T19" s="89" t="s">
        <v>294</v>
      </c>
      <c r="U19" s="524" t="s">
        <v>294</v>
      </c>
      <c r="V19" s="524" t="s">
        <v>294</v>
      </c>
      <c r="W19" s="89" t="s">
        <v>294</v>
      </c>
      <c r="X19" s="89" t="s">
        <v>294</v>
      </c>
      <c r="Y19" s="33" t="s">
        <v>66</v>
      </c>
      <c r="Z19" s="33" t="s">
        <v>66</v>
      </c>
      <c r="AA19" s="89" t="s">
        <v>294</v>
      </c>
      <c r="AB19" s="89" t="s">
        <v>294</v>
      </c>
      <c r="AC19" s="89" t="s">
        <v>294</v>
      </c>
      <c r="AD19" s="89" t="s">
        <v>294</v>
      </c>
      <c r="AE19" s="89" t="s">
        <v>294</v>
      </c>
      <c r="AF19" s="33" t="s">
        <v>66</v>
      </c>
      <c r="AG19" s="33" t="s">
        <v>66</v>
      </c>
      <c r="AH19" s="89" t="s">
        <v>294</v>
      </c>
      <c r="AI19" s="525" t="s">
        <v>294</v>
      </c>
      <c r="AJ19" s="26" t="str">
        <f>Tabela13[[#This Row],[FUNKCJONARIUSZ]]</f>
        <v>F-sz 018</v>
      </c>
      <c r="AK19" s="27">
        <v>-41</v>
      </c>
      <c r="AL19" s="28">
        <f t="shared" si="1"/>
        <v>0</v>
      </c>
      <c r="AM19">
        <f t="shared" si="2"/>
        <v>0</v>
      </c>
      <c r="AN19" s="29">
        <f t="shared" si="3"/>
        <v>96</v>
      </c>
      <c r="AO19" s="1">
        <f t="shared" si="4"/>
        <v>0</v>
      </c>
      <c r="AP19" s="1">
        <v>0</v>
      </c>
    </row>
    <row r="20" spans="1:42" ht="15.9">
      <c r="A20" s="1" t="s">
        <v>58</v>
      </c>
      <c r="B20" s="1" t="s">
        <v>59</v>
      </c>
      <c r="C20" s="203" t="s">
        <v>109</v>
      </c>
      <c r="D20" s="491">
        <v>47</v>
      </c>
      <c r="E20" s="31"/>
      <c r="F20" s="89"/>
      <c r="G20" s="89"/>
      <c r="H20" s="89"/>
      <c r="I20" s="89"/>
      <c r="J20" s="89"/>
      <c r="K20" s="33"/>
      <c r="L20" s="33"/>
      <c r="M20" s="89" t="s">
        <v>113</v>
      </c>
      <c r="N20" s="89"/>
      <c r="O20" s="89"/>
      <c r="P20" s="89"/>
      <c r="Q20" s="89"/>
      <c r="R20" s="33"/>
      <c r="S20" s="33"/>
      <c r="T20" s="89" t="s">
        <v>69</v>
      </c>
      <c r="U20" s="524" t="s">
        <v>70</v>
      </c>
      <c r="V20" s="524" t="s">
        <v>70</v>
      </c>
      <c r="W20" s="89" t="s">
        <v>70</v>
      </c>
      <c r="X20" s="89" t="s">
        <v>70</v>
      </c>
      <c r="Y20" s="33" t="s">
        <v>70</v>
      </c>
      <c r="Z20" s="33" t="s">
        <v>70</v>
      </c>
      <c r="AA20" s="89" t="s">
        <v>69</v>
      </c>
      <c r="AB20" s="89"/>
      <c r="AC20" s="89"/>
      <c r="AD20" s="89"/>
      <c r="AE20" s="89"/>
      <c r="AF20" s="33"/>
      <c r="AG20" s="33"/>
      <c r="AH20" s="89"/>
      <c r="AI20" s="525"/>
      <c r="AJ20" s="26" t="str">
        <f>Tabela13[[#This Row],[FUNKCJONARIUSZ]]</f>
        <v>F-sz 019</v>
      </c>
      <c r="AK20" s="27">
        <f t="shared" ref="AK20:AK26" si="5">D20+AL20+AM20+AN20-$AK$1+AO20+AP20</f>
        <v>71</v>
      </c>
      <c r="AL20" s="28">
        <f t="shared" si="1"/>
        <v>24</v>
      </c>
      <c r="AM20">
        <f t="shared" si="2"/>
        <v>168</v>
      </c>
      <c r="AN20" s="29">
        <f t="shared" si="3"/>
        <v>0</v>
      </c>
      <c r="AO20" s="1">
        <f t="shared" si="4"/>
        <v>0</v>
      </c>
      <c r="AP20" s="1">
        <v>0</v>
      </c>
    </row>
    <row r="21" spans="1:42" ht="15.9">
      <c r="A21" s="1" t="s">
        <v>67</v>
      </c>
      <c r="B21" s="1" t="s">
        <v>93</v>
      </c>
      <c r="C21" s="203" t="s">
        <v>110</v>
      </c>
      <c r="D21" s="491" t="e">
        <f>Zasoby!#REF!</f>
        <v>#REF!</v>
      </c>
      <c r="E21" s="31"/>
      <c r="F21" s="89" t="s">
        <v>69</v>
      </c>
      <c r="G21" s="89" t="s">
        <v>70</v>
      </c>
      <c r="H21" s="89" t="s">
        <v>70</v>
      </c>
      <c r="I21" s="89" t="s">
        <v>70</v>
      </c>
      <c r="J21" s="89" t="s">
        <v>69</v>
      </c>
      <c r="K21" s="33"/>
      <c r="L21" s="33"/>
      <c r="M21" s="89"/>
      <c r="N21" s="89"/>
      <c r="O21" s="89" t="s">
        <v>59</v>
      </c>
      <c r="P21" s="89"/>
      <c r="Q21" s="89"/>
      <c r="R21" s="33"/>
      <c r="S21" s="33"/>
      <c r="T21" s="89"/>
      <c r="U21" s="524" t="s">
        <v>113</v>
      </c>
      <c r="V21" s="524" t="s">
        <v>307</v>
      </c>
      <c r="W21" s="89"/>
      <c r="X21" s="89"/>
      <c r="Y21" s="33"/>
      <c r="Z21" s="33"/>
      <c r="AA21" s="89"/>
      <c r="AB21" s="89"/>
      <c r="AC21" s="89"/>
      <c r="AD21" s="89"/>
      <c r="AE21" s="89"/>
      <c r="AF21" s="33"/>
      <c r="AG21" s="33"/>
      <c r="AH21" s="89" t="s">
        <v>61</v>
      </c>
      <c r="AI21" s="525" t="s">
        <v>62</v>
      </c>
      <c r="AJ21" s="26" t="str">
        <f>Tabela13[[#This Row],[FUNKCJONARIUSZ]]</f>
        <v>F-sz 020</v>
      </c>
      <c r="AK21" s="27" t="e">
        <f t="shared" si="5"/>
        <v>#REF!</v>
      </c>
      <c r="AL21" s="28">
        <f t="shared" si="1"/>
        <v>48</v>
      </c>
      <c r="AM21">
        <f t="shared" si="2"/>
        <v>132</v>
      </c>
      <c r="AN21" s="29">
        <f t="shared" si="3"/>
        <v>0</v>
      </c>
      <c r="AO21" s="1">
        <f t="shared" si="4"/>
        <v>0</v>
      </c>
      <c r="AP21" s="1">
        <v>0</v>
      </c>
    </row>
    <row r="22" spans="1:42" ht="15.9">
      <c r="A22" s="1" t="s">
        <v>58</v>
      </c>
      <c r="B22" s="1" t="s">
        <v>59</v>
      </c>
      <c r="C22" s="203" t="s">
        <v>111</v>
      </c>
      <c r="D22" s="491" t="e">
        <f>Zasoby!#REF!</f>
        <v>#REF!</v>
      </c>
      <c r="E22" s="31"/>
      <c r="F22" s="89" t="s">
        <v>69</v>
      </c>
      <c r="G22" s="89" t="s">
        <v>70</v>
      </c>
      <c r="H22" s="89" t="s">
        <v>70</v>
      </c>
      <c r="I22" s="89" t="s">
        <v>70</v>
      </c>
      <c r="J22" s="89" t="s">
        <v>69</v>
      </c>
      <c r="K22" s="33"/>
      <c r="L22" s="33"/>
      <c r="M22" s="89" t="s">
        <v>66</v>
      </c>
      <c r="N22" s="89" t="s">
        <v>113</v>
      </c>
      <c r="O22" s="89"/>
      <c r="P22" s="89"/>
      <c r="Q22" s="89"/>
      <c r="R22" s="33"/>
      <c r="S22" s="33" t="s">
        <v>113</v>
      </c>
      <c r="T22" s="89"/>
      <c r="U22" s="524"/>
      <c r="V22" s="524"/>
      <c r="W22" s="89"/>
      <c r="X22" s="89" t="s">
        <v>113</v>
      </c>
      <c r="Y22" s="33"/>
      <c r="Z22" s="33"/>
      <c r="AA22" s="89"/>
      <c r="AB22" s="89" t="s">
        <v>346</v>
      </c>
      <c r="AC22" s="89"/>
      <c r="AD22" s="89"/>
      <c r="AE22" s="89"/>
      <c r="AF22" s="33"/>
      <c r="AG22" s="33"/>
      <c r="AH22" s="89"/>
      <c r="AI22" s="525"/>
      <c r="AJ22" s="26" t="str">
        <f>Tabela13[[#This Row],[FUNKCJONARIUSZ]]</f>
        <v>F-sz 021</v>
      </c>
      <c r="AK22" s="27" t="e">
        <f t="shared" si="5"/>
        <v>#REF!</v>
      </c>
      <c r="AL22" s="28">
        <f t="shared" si="1"/>
        <v>72</v>
      </c>
      <c r="AM22">
        <f t="shared" si="2"/>
        <v>96</v>
      </c>
      <c r="AN22" s="29">
        <f t="shared" si="3"/>
        <v>0</v>
      </c>
      <c r="AO22" s="1">
        <f t="shared" si="4"/>
        <v>0</v>
      </c>
      <c r="AP22" s="1">
        <v>0</v>
      </c>
    </row>
    <row r="23" spans="1:42" ht="15.9">
      <c r="A23" s="1" t="s">
        <v>63</v>
      </c>
      <c r="B23" s="1" t="s">
        <v>64</v>
      </c>
      <c r="C23" s="210" t="s">
        <v>112</v>
      </c>
      <c r="D23" s="491">
        <v>4</v>
      </c>
      <c r="E23" s="31"/>
      <c r="F23" s="89" t="s">
        <v>66</v>
      </c>
      <c r="G23" s="89" t="s">
        <v>66</v>
      </c>
      <c r="H23" s="89" t="s">
        <v>294</v>
      </c>
      <c r="I23" s="89" t="s">
        <v>294</v>
      </c>
      <c r="J23" s="89" t="s">
        <v>294</v>
      </c>
      <c r="K23" s="33" t="s">
        <v>66</v>
      </c>
      <c r="L23" s="33" t="s">
        <v>66</v>
      </c>
      <c r="M23" s="89" t="s">
        <v>294</v>
      </c>
      <c r="N23" s="89" t="s">
        <v>294</v>
      </c>
      <c r="O23" s="89" t="s">
        <v>294</v>
      </c>
      <c r="P23" s="89" t="s">
        <v>294</v>
      </c>
      <c r="Q23" s="89" t="s">
        <v>294</v>
      </c>
      <c r="R23" s="33" t="s">
        <v>66</v>
      </c>
      <c r="S23" s="33" t="s">
        <v>66</v>
      </c>
      <c r="T23" s="89" t="s">
        <v>294</v>
      </c>
      <c r="U23" s="524" t="s">
        <v>294</v>
      </c>
      <c r="V23" s="524" t="s">
        <v>294</v>
      </c>
      <c r="W23" s="89" t="s">
        <v>294</v>
      </c>
      <c r="X23" s="89" t="s">
        <v>294</v>
      </c>
      <c r="Y23" s="33" t="s">
        <v>66</v>
      </c>
      <c r="Z23" s="33" t="s">
        <v>66</v>
      </c>
      <c r="AA23" s="89" t="s">
        <v>75</v>
      </c>
      <c r="AB23" s="89" t="s">
        <v>75</v>
      </c>
      <c r="AC23" s="89"/>
      <c r="AD23" s="89"/>
      <c r="AE23" s="89"/>
      <c r="AF23" s="33" t="s">
        <v>76</v>
      </c>
      <c r="AG23" s="33"/>
      <c r="AH23" s="89"/>
      <c r="AI23" s="525">
        <v>16</v>
      </c>
      <c r="AJ23" s="26" t="str">
        <f>Tabela13[[#This Row],[FUNKCJONARIUSZ]]</f>
        <v>F-sz 022</v>
      </c>
      <c r="AK23" s="27">
        <f t="shared" si="5"/>
        <v>-16</v>
      </c>
      <c r="AL23" s="28">
        <f t="shared" si="1"/>
        <v>12</v>
      </c>
      <c r="AM23">
        <f t="shared" si="2"/>
        <v>0</v>
      </c>
      <c r="AN23" s="29">
        <f t="shared" si="3"/>
        <v>136</v>
      </c>
      <c r="AO23" s="1">
        <f t="shared" si="4"/>
        <v>0</v>
      </c>
      <c r="AP23" s="1">
        <v>0</v>
      </c>
    </row>
    <row r="24" spans="1:42" ht="15.9">
      <c r="A24" s="1" t="s">
        <v>67</v>
      </c>
      <c r="B24" s="1" t="s">
        <v>93</v>
      </c>
      <c r="C24" s="203" t="s">
        <v>114</v>
      </c>
      <c r="D24" s="491" t="e">
        <f>Zasoby!#REF!</f>
        <v>#REF!</v>
      </c>
      <c r="E24" s="31" t="s">
        <v>62</v>
      </c>
      <c r="F24" s="89" t="s">
        <v>61</v>
      </c>
      <c r="G24" s="89" t="s">
        <v>66</v>
      </c>
      <c r="H24" s="89" t="s">
        <v>66</v>
      </c>
      <c r="I24" s="89" t="s">
        <v>66</v>
      </c>
      <c r="J24" s="89" t="s">
        <v>66</v>
      </c>
      <c r="K24" s="33" t="s">
        <v>66</v>
      </c>
      <c r="L24" s="33" t="s">
        <v>66</v>
      </c>
      <c r="M24" s="89" t="s">
        <v>66</v>
      </c>
      <c r="N24" s="89"/>
      <c r="O24" s="89"/>
      <c r="P24" s="89"/>
      <c r="Q24" s="89"/>
      <c r="R24" s="33"/>
      <c r="S24" s="33"/>
      <c r="T24" s="89" t="s">
        <v>69</v>
      </c>
      <c r="U24" s="524" t="s">
        <v>70</v>
      </c>
      <c r="V24" s="524" t="s">
        <v>70</v>
      </c>
      <c r="W24" s="89" t="s">
        <v>70</v>
      </c>
      <c r="X24" s="89" t="s">
        <v>69</v>
      </c>
      <c r="Y24" s="33"/>
      <c r="Z24" s="33"/>
      <c r="AA24" s="89"/>
      <c r="AB24" s="89" t="s">
        <v>346</v>
      </c>
      <c r="AC24" s="89"/>
      <c r="AD24" s="89" t="s">
        <v>113</v>
      </c>
      <c r="AE24" s="89"/>
      <c r="AF24" s="33"/>
      <c r="AG24" s="33"/>
      <c r="AH24" s="89"/>
      <c r="AI24" s="525" t="s">
        <v>294</v>
      </c>
      <c r="AJ24" s="26" t="str">
        <f>Tabela13[[#This Row],[FUNKCJONARIUSZ]]</f>
        <v>F-sz 023</v>
      </c>
      <c r="AK24" s="27" t="e">
        <f t="shared" si="5"/>
        <v>#REF!</v>
      </c>
      <c r="AL24" s="28">
        <f t="shared" si="1"/>
        <v>24</v>
      </c>
      <c r="AM24">
        <f t="shared" si="2"/>
        <v>132</v>
      </c>
      <c r="AN24" s="29">
        <f t="shared" si="3"/>
        <v>8</v>
      </c>
      <c r="AO24" s="1">
        <f t="shared" si="4"/>
        <v>0</v>
      </c>
      <c r="AP24" s="1">
        <v>0</v>
      </c>
    </row>
    <row r="25" spans="1:42" ht="15.9">
      <c r="A25" s="1" t="s">
        <v>63</v>
      </c>
      <c r="B25" s="1" t="s">
        <v>59</v>
      </c>
      <c r="C25" s="203" t="s">
        <v>115</v>
      </c>
      <c r="D25" s="491">
        <v>14</v>
      </c>
      <c r="E25" s="31" t="s">
        <v>66</v>
      </c>
      <c r="F25" s="89" t="s">
        <v>294</v>
      </c>
      <c r="G25" s="89" t="s">
        <v>294</v>
      </c>
      <c r="H25" s="89" t="s">
        <v>294</v>
      </c>
      <c r="I25" s="89" t="s">
        <v>294</v>
      </c>
      <c r="J25" s="89" t="s">
        <v>294</v>
      </c>
      <c r="K25" s="33" t="s">
        <v>66</v>
      </c>
      <c r="L25" s="33" t="s">
        <v>66</v>
      </c>
      <c r="M25" s="89" t="s">
        <v>294</v>
      </c>
      <c r="N25" s="89" t="s">
        <v>294</v>
      </c>
      <c r="O25" s="89" t="s">
        <v>294</v>
      </c>
      <c r="P25" s="89" t="s">
        <v>294</v>
      </c>
      <c r="Q25" s="89" t="s">
        <v>294</v>
      </c>
      <c r="R25" s="33"/>
      <c r="S25" s="33" t="s">
        <v>76</v>
      </c>
      <c r="T25" s="89"/>
      <c r="U25" s="524"/>
      <c r="V25" s="524"/>
      <c r="W25" s="89"/>
      <c r="X25" s="89"/>
      <c r="Y25" s="33"/>
      <c r="Z25" s="33" t="s">
        <v>76</v>
      </c>
      <c r="AA25" s="89"/>
      <c r="AB25" s="89" t="s">
        <v>113</v>
      </c>
      <c r="AC25" s="89"/>
      <c r="AD25" s="89"/>
      <c r="AE25" s="89" t="s">
        <v>113</v>
      </c>
      <c r="AF25" s="33"/>
      <c r="AG25" s="33"/>
      <c r="AH25" s="89"/>
      <c r="AI25" s="525"/>
      <c r="AJ25" s="26" t="str">
        <f>Tabela13[[#This Row],[FUNKCJONARIUSZ]]</f>
        <v>F-sz 024</v>
      </c>
      <c r="AK25" s="27">
        <f t="shared" si="5"/>
        <v>-2</v>
      </c>
      <c r="AL25" s="28">
        <f t="shared" si="1"/>
        <v>72</v>
      </c>
      <c r="AM25">
        <f t="shared" si="2"/>
        <v>0</v>
      </c>
      <c r="AN25" s="29">
        <f t="shared" si="3"/>
        <v>80</v>
      </c>
      <c r="AO25" s="1">
        <f t="shared" si="4"/>
        <v>0</v>
      </c>
      <c r="AP25" s="1">
        <v>0</v>
      </c>
    </row>
    <row r="26" spans="1:42" ht="15.9">
      <c r="A26" s="1" t="s">
        <v>63</v>
      </c>
      <c r="B26" s="1" t="s">
        <v>73</v>
      </c>
      <c r="C26" s="203" t="s">
        <v>116</v>
      </c>
      <c r="D26" s="491">
        <v>122</v>
      </c>
      <c r="E26" s="31" t="s">
        <v>66</v>
      </c>
      <c r="F26" s="89" t="s">
        <v>69</v>
      </c>
      <c r="G26" s="89" t="s">
        <v>70</v>
      </c>
      <c r="H26" s="89" t="s">
        <v>70</v>
      </c>
      <c r="I26" s="89" t="s">
        <v>70</v>
      </c>
      <c r="J26" s="89" t="s">
        <v>69</v>
      </c>
      <c r="K26" s="33" t="s">
        <v>66</v>
      </c>
      <c r="L26" s="33" t="s">
        <v>66</v>
      </c>
      <c r="M26" s="89" t="s">
        <v>66</v>
      </c>
      <c r="N26" s="89"/>
      <c r="O26" s="89"/>
      <c r="P26" s="89"/>
      <c r="Q26" s="89"/>
      <c r="R26" s="33"/>
      <c r="S26" s="33"/>
      <c r="T26" s="89"/>
      <c r="U26" s="524"/>
      <c r="V26" s="524"/>
      <c r="W26" s="89" t="s">
        <v>113</v>
      </c>
      <c r="X26" s="89"/>
      <c r="Y26" s="33"/>
      <c r="Z26" s="33" t="s">
        <v>76</v>
      </c>
      <c r="AA26" s="89"/>
      <c r="AB26" s="89"/>
      <c r="AC26" s="89"/>
      <c r="AD26" s="89"/>
      <c r="AE26" s="89" t="s">
        <v>66</v>
      </c>
      <c r="AF26" s="33" t="s">
        <v>66</v>
      </c>
      <c r="AG26" s="33" t="s">
        <v>66</v>
      </c>
      <c r="AH26" s="89"/>
      <c r="AI26" s="525"/>
      <c r="AJ26" s="26" t="str">
        <f>Tabela13[[#This Row],[FUNKCJONARIUSZ]]</f>
        <v>F-sz 025</v>
      </c>
      <c r="AK26" s="27">
        <f t="shared" si="5"/>
        <v>86</v>
      </c>
      <c r="AL26" s="28">
        <f t="shared" si="1"/>
        <v>36</v>
      </c>
      <c r="AM26">
        <f t="shared" si="2"/>
        <v>96</v>
      </c>
      <c r="AN26" s="29">
        <f t="shared" si="3"/>
        <v>0</v>
      </c>
      <c r="AO26" s="1">
        <f t="shared" si="4"/>
        <v>0</v>
      </c>
      <c r="AP26" s="1">
        <v>0</v>
      </c>
    </row>
    <row r="27" spans="1:42" ht="15.9">
      <c r="A27" s="1" t="s">
        <v>58</v>
      </c>
      <c r="B27" s="1" t="s">
        <v>93</v>
      </c>
      <c r="C27" s="203" t="s">
        <v>117</v>
      </c>
      <c r="D27" s="491">
        <v>42</v>
      </c>
      <c r="E27" s="31" t="s">
        <v>101</v>
      </c>
      <c r="F27" s="89" t="s">
        <v>101</v>
      </c>
      <c r="G27" s="89" t="s">
        <v>101</v>
      </c>
      <c r="H27" s="89" t="s">
        <v>101</v>
      </c>
      <c r="I27" s="89" t="s">
        <v>101</v>
      </c>
      <c r="J27" s="89" t="s">
        <v>101</v>
      </c>
      <c r="K27" s="89" t="s">
        <v>101</v>
      </c>
      <c r="L27" s="89" t="s">
        <v>101</v>
      </c>
      <c r="M27" s="89" t="s">
        <v>101</v>
      </c>
      <c r="N27" s="89" t="s">
        <v>101</v>
      </c>
      <c r="O27" s="89" t="s">
        <v>101</v>
      </c>
      <c r="P27" s="89" t="s">
        <v>101</v>
      </c>
      <c r="Q27" s="89" t="s">
        <v>101</v>
      </c>
      <c r="R27" s="89" t="s">
        <v>101</v>
      </c>
      <c r="S27" s="89" t="s">
        <v>101</v>
      </c>
      <c r="T27" s="89" t="s">
        <v>101</v>
      </c>
      <c r="U27" s="89" t="s">
        <v>101</v>
      </c>
      <c r="V27" s="89" t="s">
        <v>101</v>
      </c>
      <c r="W27" s="89" t="s">
        <v>101</v>
      </c>
      <c r="X27" s="89" t="s">
        <v>101</v>
      </c>
      <c r="Y27" s="89" t="s">
        <v>101</v>
      </c>
      <c r="Z27" s="89" t="s">
        <v>101</v>
      </c>
      <c r="AA27" s="89" t="s">
        <v>101</v>
      </c>
      <c r="AB27" s="89" t="s">
        <v>101</v>
      </c>
      <c r="AC27" s="89" t="s">
        <v>101</v>
      </c>
      <c r="AD27" s="89" t="s">
        <v>101</v>
      </c>
      <c r="AE27" s="89" t="s">
        <v>101</v>
      </c>
      <c r="AF27" s="89" t="s">
        <v>101</v>
      </c>
      <c r="AG27" s="89" t="s">
        <v>101</v>
      </c>
      <c r="AH27" s="89" t="s">
        <v>101</v>
      </c>
      <c r="AI27" s="525" t="s">
        <v>101</v>
      </c>
      <c r="AJ27" s="26" t="str">
        <f>Tabela13[[#This Row],[FUNKCJONARIUSZ]]</f>
        <v>F-sz 026</v>
      </c>
      <c r="AK27" s="27">
        <v>38</v>
      </c>
      <c r="AL27" s="28">
        <f t="shared" si="1"/>
        <v>0</v>
      </c>
      <c r="AM27">
        <f t="shared" si="2"/>
        <v>0</v>
      </c>
      <c r="AN27" s="29">
        <f t="shared" si="3"/>
        <v>0</v>
      </c>
      <c r="AO27" s="1">
        <f t="shared" si="4"/>
        <v>0</v>
      </c>
      <c r="AP27" s="1">
        <v>0</v>
      </c>
    </row>
    <row r="28" spans="1:42" ht="15.9">
      <c r="A28" s="1" t="s">
        <v>105</v>
      </c>
      <c r="B28" s="1" t="s">
        <v>59</v>
      </c>
      <c r="C28" s="203" t="s">
        <v>118</v>
      </c>
      <c r="D28" s="491">
        <v>47</v>
      </c>
      <c r="E28" s="31" t="s">
        <v>76</v>
      </c>
      <c r="F28" s="89" t="s">
        <v>294</v>
      </c>
      <c r="G28" s="89" t="s">
        <v>294</v>
      </c>
      <c r="H28" s="89" t="s">
        <v>294</v>
      </c>
      <c r="I28" s="89" t="s">
        <v>294</v>
      </c>
      <c r="J28" s="89" t="s">
        <v>294</v>
      </c>
      <c r="K28" s="33" t="s">
        <v>66</v>
      </c>
      <c r="L28" s="33" t="s">
        <v>66</v>
      </c>
      <c r="M28" s="89" t="s">
        <v>294</v>
      </c>
      <c r="N28" s="89" t="s">
        <v>294</v>
      </c>
      <c r="O28" s="89" t="s">
        <v>294</v>
      </c>
      <c r="P28" s="89" t="s">
        <v>294</v>
      </c>
      <c r="Q28" s="89" t="s">
        <v>294</v>
      </c>
      <c r="R28" s="33" t="s">
        <v>66</v>
      </c>
      <c r="S28" s="33" t="s">
        <v>66</v>
      </c>
      <c r="T28" s="89" t="s">
        <v>75</v>
      </c>
      <c r="U28" s="524"/>
      <c r="V28" s="524"/>
      <c r="W28" s="89"/>
      <c r="X28" s="89" t="s">
        <v>69</v>
      </c>
      <c r="Y28" s="33" t="s">
        <v>62</v>
      </c>
      <c r="Z28" s="33" t="s">
        <v>62</v>
      </c>
      <c r="AA28" s="89" t="s">
        <v>61</v>
      </c>
      <c r="AB28" s="89"/>
      <c r="AC28" s="89"/>
      <c r="AD28" s="89"/>
      <c r="AE28" s="89"/>
      <c r="AF28" s="33"/>
      <c r="AG28" s="33"/>
      <c r="AH28" s="89"/>
      <c r="AI28" s="525"/>
      <c r="AJ28" s="26" t="str">
        <f>Tabela13[[#This Row],[FUNKCJONARIUSZ]]</f>
        <v>F-sz 027</v>
      </c>
      <c r="AK28" s="27">
        <f>D28+AL28+AM28+AN28-$AK$1+AO28+AP28</f>
        <v>51</v>
      </c>
      <c r="AL28" s="28">
        <f t="shared" si="1"/>
        <v>12</v>
      </c>
      <c r="AM28">
        <f t="shared" si="2"/>
        <v>72</v>
      </c>
      <c r="AN28" s="29">
        <f t="shared" si="3"/>
        <v>88</v>
      </c>
      <c r="AO28" s="1">
        <f t="shared" si="4"/>
        <v>0</v>
      </c>
      <c r="AP28" s="1">
        <v>0</v>
      </c>
    </row>
    <row r="29" spans="1:42" ht="15.9">
      <c r="A29" s="1" t="s">
        <v>58</v>
      </c>
      <c r="B29" s="1" t="s">
        <v>73</v>
      </c>
      <c r="C29" s="212" t="s">
        <v>119</v>
      </c>
      <c r="D29" s="491">
        <v>31.5</v>
      </c>
      <c r="E29" s="50" t="s">
        <v>76</v>
      </c>
      <c r="F29" s="94"/>
      <c r="G29" s="94"/>
      <c r="H29" s="94"/>
      <c r="I29" s="94" t="s">
        <v>113</v>
      </c>
      <c r="J29" s="94"/>
      <c r="K29" s="52"/>
      <c r="L29" s="52"/>
      <c r="M29" s="94" t="s">
        <v>61</v>
      </c>
      <c r="N29" s="94" t="s">
        <v>62</v>
      </c>
      <c r="O29" s="94" t="s">
        <v>62</v>
      </c>
      <c r="P29" s="94" t="s">
        <v>62</v>
      </c>
      <c r="Q29" s="94" t="s">
        <v>62</v>
      </c>
      <c r="R29" s="52" t="s">
        <v>62</v>
      </c>
      <c r="S29" s="52" t="s">
        <v>62</v>
      </c>
      <c r="T29" s="94" t="s">
        <v>61</v>
      </c>
      <c r="U29" s="526" t="s">
        <v>66</v>
      </c>
      <c r="V29" s="526" t="s">
        <v>294</v>
      </c>
      <c r="W29" s="94" t="s">
        <v>294</v>
      </c>
      <c r="X29" s="94" t="s">
        <v>294</v>
      </c>
      <c r="Y29" s="52" t="s">
        <v>66</v>
      </c>
      <c r="Z29" s="52" t="s">
        <v>66</v>
      </c>
      <c r="AA29" s="94" t="s">
        <v>294</v>
      </c>
      <c r="AB29" s="94" t="s">
        <v>294</v>
      </c>
      <c r="AC29" s="94"/>
      <c r="AD29" s="94"/>
      <c r="AE29" s="94"/>
      <c r="AF29" s="52"/>
      <c r="AG29" s="52"/>
      <c r="AH29" s="94"/>
      <c r="AI29" s="527"/>
      <c r="AJ29" s="26" t="str">
        <f>Tabela13[[#This Row],[FUNKCJONARIUSZ]]</f>
        <v>F-sz 028</v>
      </c>
      <c r="AK29" s="27">
        <f>D29+AL29+AM29+AN29-$AK$1+AO29+AP29</f>
        <v>107.5</v>
      </c>
      <c r="AL29" s="28">
        <f t="shared" si="1"/>
        <v>36</v>
      </c>
      <c r="AM29">
        <f t="shared" si="2"/>
        <v>168</v>
      </c>
      <c r="AN29" s="29">
        <f t="shared" si="3"/>
        <v>40</v>
      </c>
      <c r="AO29" s="1">
        <f t="shared" si="4"/>
        <v>0</v>
      </c>
      <c r="AP29" s="1">
        <v>0</v>
      </c>
    </row>
    <row r="30" spans="1:42" ht="15.9">
      <c r="A30" s="55"/>
      <c r="B30" s="55"/>
      <c r="C30" s="56"/>
      <c r="D30" s="57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9"/>
      <c r="AH30" s="27"/>
      <c r="AI30" s="27"/>
      <c r="AJ30" s="60"/>
      <c r="AK30" s="27"/>
      <c r="AL30" s="28"/>
      <c r="AM30"/>
      <c r="AN30" s="29"/>
    </row>
    <row r="31" spans="1:42" ht="15.9">
      <c r="B31" s="61"/>
      <c r="C31" s="62" t="s">
        <v>120</v>
      </c>
      <c r="D31" s="63"/>
      <c r="E31" s="64">
        <f t="shared" ref="E31:AI31" si="6">COUNTIF(E2:E29,"D")</f>
        <v>1</v>
      </c>
      <c r="F31" s="64">
        <f t="shared" si="6"/>
        <v>1</v>
      </c>
      <c r="G31" s="64">
        <f t="shared" si="6"/>
        <v>1</v>
      </c>
      <c r="H31" s="64">
        <f t="shared" si="6"/>
        <v>1</v>
      </c>
      <c r="I31" s="64">
        <f t="shared" si="6"/>
        <v>1</v>
      </c>
      <c r="J31" s="64">
        <f t="shared" si="6"/>
        <v>1</v>
      </c>
      <c r="K31" s="64">
        <f t="shared" si="6"/>
        <v>1</v>
      </c>
      <c r="L31" s="64">
        <f t="shared" si="6"/>
        <v>1</v>
      </c>
      <c r="M31" s="64">
        <f t="shared" si="6"/>
        <v>1</v>
      </c>
      <c r="N31" s="64">
        <f t="shared" si="6"/>
        <v>1</v>
      </c>
      <c r="O31" s="64">
        <f t="shared" si="6"/>
        <v>1</v>
      </c>
      <c r="P31" s="64">
        <f t="shared" si="6"/>
        <v>1</v>
      </c>
      <c r="Q31" s="64">
        <f t="shared" si="6"/>
        <v>1</v>
      </c>
      <c r="R31" s="64">
        <f t="shared" si="6"/>
        <v>1</v>
      </c>
      <c r="S31" s="64">
        <f t="shared" si="6"/>
        <v>1</v>
      </c>
      <c r="T31" s="64">
        <f t="shared" si="6"/>
        <v>1</v>
      </c>
      <c r="U31" s="64">
        <f t="shared" si="6"/>
        <v>1</v>
      </c>
      <c r="V31" s="64">
        <f t="shared" si="6"/>
        <v>1</v>
      </c>
      <c r="W31" s="64">
        <f t="shared" si="6"/>
        <v>1</v>
      </c>
      <c r="X31" s="64">
        <f t="shared" si="6"/>
        <v>1</v>
      </c>
      <c r="Y31" s="64">
        <f t="shared" si="6"/>
        <v>1</v>
      </c>
      <c r="Z31" s="64">
        <f t="shared" si="6"/>
        <v>1</v>
      </c>
      <c r="AA31" s="64">
        <f t="shared" si="6"/>
        <v>1</v>
      </c>
      <c r="AB31" s="64">
        <f t="shared" si="6"/>
        <v>1</v>
      </c>
      <c r="AC31" s="64">
        <f t="shared" si="6"/>
        <v>1</v>
      </c>
      <c r="AD31" s="64">
        <f t="shared" si="6"/>
        <v>1</v>
      </c>
      <c r="AE31" s="64">
        <f t="shared" si="6"/>
        <v>2</v>
      </c>
      <c r="AF31" s="64">
        <f t="shared" si="6"/>
        <v>0</v>
      </c>
      <c r="AG31" s="64">
        <f t="shared" si="6"/>
        <v>1</v>
      </c>
      <c r="AH31" s="64">
        <f t="shared" si="6"/>
        <v>1</v>
      </c>
      <c r="AI31" s="64">
        <f t="shared" si="6"/>
        <v>0</v>
      </c>
      <c r="AJ31"/>
      <c r="AK31" s="27"/>
      <c r="AL31" s="28"/>
      <c r="AM31"/>
      <c r="AN31" s="29"/>
    </row>
    <row r="32" spans="1:42" ht="15.9">
      <c r="B32" s="61"/>
      <c r="C32" s="65" t="s">
        <v>121</v>
      </c>
      <c r="D32" s="66"/>
      <c r="E32" s="64">
        <f t="shared" ref="E32:AI32" si="7">COUNTIF(E51:E103,"D")+COUNTIF(E51:E103,"w")</f>
        <v>2</v>
      </c>
      <c r="F32" s="64">
        <f t="shared" si="7"/>
        <v>2</v>
      </c>
      <c r="G32" s="64">
        <f t="shared" si="7"/>
        <v>2</v>
      </c>
      <c r="H32" s="64">
        <f t="shared" si="7"/>
        <v>2</v>
      </c>
      <c r="I32" s="64">
        <f t="shared" si="7"/>
        <v>2</v>
      </c>
      <c r="J32" s="64">
        <f t="shared" si="7"/>
        <v>2</v>
      </c>
      <c r="K32" s="64">
        <f t="shared" si="7"/>
        <v>2</v>
      </c>
      <c r="L32" s="64">
        <f t="shared" si="7"/>
        <v>2</v>
      </c>
      <c r="M32" s="64">
        <f t="shared" si="7"/>
        <v>2</v>
      </c>
      <c r="N32" s="64">
        <f t="shared" si="7"/>
        <v>2</v>
      </c>
      <c r="O32" s="64">
        <f t="shared" si="7"/>
        <v>2</v>
      </c>
      <c r="P32" s="64">
        <f t="shared" si="7"/>
        <v>2</v>
      </c>
      <c r="Q32" s="64">
        <f t="shared" si="7"/>
        <v>2</v>
      </c>
      <c r="R32" s="64">
        <f t="shared" si="7"/>
        <v>2</v>
      </c>
      <c r="S32" s="64">
        <f t="shared" si="7"/>
        <v>2</v>
      </c>
      <c r="T32" s="64">
        <f t="shared" si="7"/>
        <v>1</v>
      </c>
      <c r="U32" s="64">
        <f t="shared" si="7"/>
        <v>2</v>
      </c>
      <c r="V32" s="64">
        <f t="shared" si="7"/>
        <v>2</v>
      </c>
      <c r="W32" s="64">
        <f t="shared" si="7"/>
        <v>2</v>
      </c>
      <c r="X32" s="64">
        <f t="shared" si="7"/>
        <v>1</v>
      </c>
      <c r="Y32" s="64">
        <f t="shared" si="7"/>
        <v>1</v>
      </c>
      <c r="Z32" s="64">
        <f t="shared" si="7"/>
        <v>2</v>
      </c>
      <c r="AA32" s="64">
        <f t="shared" si="7"/>
        <v>1</v>
      </c>
      <c r="AB32" s="64">
        <f t="shared" si="7"/>
        <v>2</v>
      </c>
      <c r="AC32" s="64">
        <f t="shared" si="7"/>
        <v>3</v>
      </c>
      <c r="AD32" s="64">
        <f t="shared" si="7"/>
        <v>2</v>
      </c>
      <c r="AE32" s="64">
        <f t="shared" si="7"/>
        <v>2</v>
      </c>
      <c r="AF32" s="64">
        <f t="shared" si="7"/>
        <v>2</v>
      </c>
      <c r="AG32" s="64">
        <f t="shared" si="7"/>
        <v>2</v>
      </c>
      <c r="AH32" s="64">
        <f t="shared" si="7"/>
        <v>2</v>
      </c>
      <c r="AI32" s="64">
        <f t="shared" si="7"/>
        <v>2</v>
      </c>
      <c r="AJ32"/>
      <c r="AK32" s="27"/>
      <c r="AL32" s="28"/>
      <c r="AM32"/>
      <c r="AN32" s="29"/>
    </row>
    <row r="33" spans="3:42">
      <c r="C33" s="67" t="s">
        <v>122</v>
      </c>
      <c r="D33" s="68"/>
      <c r="E33" s="64">
        <f t="shared" ref="E33:AI33" si="8">COUNTIF(E2:E29,"S")+COUNTIF(E52:E103,"S")</f>
        <v>4</v>
      </c>
      <c r="F33" s="64">
        <f t="shared" si="8"/>
        <v>0</v>
      </c>
      <c r="G33" s="64">
        <f t="shared" si="8"/>
        <v>7</v>
      </c>
      <c r="H33" s="64">
        <f t="shared" si="8"/>
        <v>7</v>
      </c>
      <c r="I33" s="64">
        <f t="shared" si="8"/>
        <v>7</v>
      </c>
      <c r="J33" s="64">
        <f t="shared" si="8"/>
        <v>0</v>
      </c>
      <c r="K33" s="64">
        <f t="shared" si="8"/>
        <v>8</v>
      </c>
      <c r="L33" s="64">
        <f t="shared" si="8"/>
        <v>8</v>
      </c>
      <c r="M33" s="64">
        <f t="shared" si="8"/>
        <v>0</v>
      </c>
      <c r="N33" s="64">
        <f t="shared" si="8"/>
        <v>4</v>
      </c>
      <c r="O33" s="64">
        <f t="shared" si="8"/>
        <v>4</v>
      </c>
      <c r="P33" s="64">
        <f t="shared" si="8"/>
        <v>4</v>
      </c>
      <c r="Q33" s="64">
        <f t="shared" si="8"/>
        <v>3</v>
      </c>
      <c r="R33" s="64">
        <f t="shared" si="8"/>
        <v>4</v>
      </c>
      <c r="S33" s="64">
        <f t="shared" si="8"/>
        <v>4</v>
      </c>
      <c r="T33" s="64">
        <f t="shared" si="8"/>
        <v>0</v>
      </c>
      <c r="U33" s="64">
        <f t="shared" si="8"/>
        <v>4</v>
      </c>
      <c r="V33" s="64">
        <f t="shared" si="8"/>
        <v>4</v>
      </c>
      <c r="W33" s="64">
        <f t="shared" si="8"/>
        <v>4</v>
      </c>
      <c r="X33" s="64">
        <f t="shared" si="8"/>
        <v>2</v>
      </c>
      <c r="Y33" s="64">
        <f t="shared" si="8"/>
        <v>4</v>
      </c>
      <c r="Z33" s="64">
        <f t="shared" si="8"/>
        <v>4</v>
      </c>
      <c r="AA33" s="64">
        <f t="shared" si="8"/>
        <v>0</v>
      </c>
      <c r="AB33" s="64">
        <f t="shared" si="8"/>
        <v>3</v>
      </c>
      <c r="AC33" s="64">
        <f t="shared" si="8"/>
        <v>3</v>
      </c>
      <c r="AD33" s="64">
        <f t="shared" si="8"/>
        <v>3</v>
      </c>
      <c r="AE33" s="64">
        <f t="shared" si="8"/>
        <v>1</v>
      </c>
      <c r="AF33" s="64">
        <f t="shared" si="8"/>
        <v>4</v>
      </c>
      <c r="AG33" s="64">
        <f t="shared" si="8"/>
        <v>4</v>
      </c>
      <c r="AH33" s="64">
        <f t="shared" si="8"/>
        <v>0</v>
      </c>
      <c r="AI33" s="64">
        <f t="shared" si="8"/>
        <v>4</v>
      </c>
      <c r="AJ33"/>
      <c r="AK33" s="27"/>
      <c r="AL33" s="28"/>
      <c r="AM33"/>
      <c r="AN33" s="29"/>
    </row>
    <row r="34" spans="3:42">
      <c r="C34" s="69" t="s">
        <v>123</v>
      </c>
      <c r="D34" s="70"/>
      <c r="E34" s="64">
        <f t="shared" ref="E34:AI34" si="9">COUNTIF(E2:E31,"K")+COUNTIF(E53:E104,"K")</f>
        <v>4</v>
      </c>
      <c r="F34" s="64">
        <f t="shared" si="9"/>
        <v>4</v>
      </c>
      <c r="G34" s="64">
        <f t="shared" si="9"/>
        <v>0</v>
      </c>
      <c r="H34" s="64">
        <f t="shared" si="9"/>
        <v>4</v>
      </c>
      <c r="I34" s="64">
        <f t="shared" si="9"/>
        <v>4</v>
      </c>
      <c r="J34" s="64">
        <f t="shared" si="9"/>
        <v>4</v>
      </c>
      <c r="K34" s="64">
        <f t="shared" si="9"/>
        <v>4</v>
      </c>
      <c r="L34" s="64">
        <f t="shared" si="9"/>
        <v>4</v>
      </c>
      <c r="M34" s="64">
        <f t="shared" si="9"/>
        <v>4</v>
      </c>
      <c r="N34" s="64">
        <f t="shared" si="9"/>
        <v>0</v>
      </c>
      <c r="O34" s="64">
        <f t="shared" si="9"/>
        <v>3</v>
      </c>
      <c r="P34" s="64">
        <f t="shared" si="9"/>
        <v>3</v>
      </c>
      <c r="Q34" s="64">
        <f t="shared" si="9"/>
        <v>0</v>
      </c>
      <c r="R34" s="64">
        <f t="shared" si="9"/>
        <v>4</v>
      </c>
      <c r="S34" s="64">
        <f t="shared" si="9"/>
        <v>4</v>
      </c>
      <c r="T34" s="64">
        <f t="shared" si="9"/>
        <v>4</v>
      </c>
      <c r="U34" s="64">
        <f t="shared" si="9"/>
        <v>0</v>
      </c>
      <c r="V34" s="64">
        <f t="shared" si="9"/>
        <v>4</v>
      </c>
      <c r="W34" s="64">
        <f t="shared" si="9"/>
        <v>4</v>
      </c>
      <c r="X34" s="64">
        <f t="shared" si="9"/>
        <v>3</v>
      </c>
      <c r="Y34" s="64">
        <f t="shared" si="9"/>
        <v>4</v>
      </c>
      <c r="Z34" s="64">
        <f t="shared" si="9"/>
        <v>4</v>
      </c>
      <c r="AA34" s="64">
        <f t="shared" si="9"/>
        <v>4</v>
      </c>
      <c r="AB34" s="64">
        <f t="shared" si="9"/>
        <v>0</v>
      </c>
      <c r="AC34" s="64">
        <f t="shared" si="9"/>
        <v>4</v>
      </c>
      <c r="AD34" s="64">
        <f t="shared" si="9"/>
        <v>4</v>
      </c>
      <c r="AE34" s="64">
        <f t="shared" si="9"/>
        <v>4</v>
      </c>
      <c r="AF34" s="64">
        <f t="shared" si="9"/>
        <v>4</v>
      </c>
      <c r="AG34" s="64">
        <f t="shared" si="9"/>
        <v>4</v>
      </c>
      <c r="AH34" s="64">
        <f t="shared" si="9"/>
        <v>4</v>
      </c>
      <c r="AI34" s="64">
        <f t="shared" si="9"/>
        <v>0</v>
      </c>
      <c r="AJ34"/>
      <c r="AK34" s="27"/>
      <c r="AL34" s="28"/>
      <c r="AM34"/>
      <c r="AN34" s="29"/>
    </row>
    <row r="35" spans="3:42" ht="15.9">
      <c r="C35" s="56"/>
      <c r="D35" s="57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97"/>
      <c r="AH35" s="98"/>
      <c r="AI35" s="27"/>
      <c r="AJ35"/>
      <c r="AK35" s="27"/>
      <c r="AL35" s="28"/>
      <c r="AM35"/>
      <c r="AN35" s="29"/>
    </row>
    <row r="36" spans="3:42" s="73" customFormat="1">
      <c r="C36" s="660" t="s">
        <v>122</v>
      </c>
      <c r="D36" s="660"/>
      <c r="E36" s="99"/>
      <c r="F36" s="661" t="s">
        <v>125</v>
      </c>
      <c r="G36" s="661"/>
      <c r="H36" s="661"/>
      <c r="I36" s="100"/>
      <c r="J36" s="661" t="s">
        <v>347</v>
      </c>
      <c r="K36" s="661"/>
      <c r="L36" s="100"/>
      <c r="M36" s="661" t="s">
        <v>124</v>
      </c>
      <c r="N36" s="661"/>
      <c r="O36" s="661"/>
      <c r="P36" s="100"/>
      <c r="Q36" s="661" t="s">
        <v>124</v>
      </c>
      <c r="R36" s="661"/>
      <c r="S36" s="100"/>
      <c r="T36" s="661" t="s">
        <v>173</v>
      </c>
      <c r="U36" s="661"/>
      <c r="V36" s="661"/>
      <c r="W36" s="100"/>
      <c r="X36" s="661" t="s">
        <v>173</v>
      </c>
      <c r="Y36" s="661"/>
      <c r="Z36" s="100"/>
      <c r="AA36" s="661" t="s">
        <v>127</v>
      </c>
      <c r="AB36" s="661"/>
      <c r="AC36" s="661"/>
      <c r="AD36" s="100"/>
      <c r="AE36" s="658" t="s">
        <v>127</v>
      </c>
      <c r="AF36" s="658"/>
      <c r="AG36" s="101"/>
      <c r="AH36" s="658" t="s">
        <v>129</v>
      </c>
      <c r="AI36" s="658"/>
      <c r="AJ36" s="80"/>
      <c r="AK36" s="27"/>
      <c r="AL36" s="28"/>
      <c r="AM36"/>
      <c r="AN36" s="29"/>
      <c r="AO36" s="1"/>
      <c r="AP36" s="1"/>
    </row>
    <row r="37" spans="3:42" s="73" customFormat="1">
      <c r="C37" s="660"/>
      <c r="D37" s="660"/>
      <c r="E37" s="102"/>
      <c r="F37" s="653" t="s">
        <v>135</v>
      </c>
      <c r="G37" s="653"/>
      <c r="H37" s="653"/>
      <c r="I37" s="103"/>
      <c r="J37" s="653" t="s">
        <v>348</v>
      </c>
      <c r="K37" s="653"/>
      <c r="L37" s="103"/>
      <c r="M37" s="653" t="s">
        <v>349</v>
      </c>
      <c r="N37" s="653"/>
      <c r="O37" s="653"/>
      <c r="P37" s="103"/>
      <c r="Q37" s="653" t="s">
        <v>131</v>
      </c>
      <c r="R37" s="653"/>
      <c r="S37" s="103"/>
      <c r="T37" s="653" t="s">
        <v>350</v>
      </c>
      <c r="U37" s="653"/>
      <c r="V37" s="653"/>
      <c r="W37" s="103"/>
      <c r="X37" s="653" t="s">
        <v>132</v>
      </c>
      <c r="Y37" s="653"/>
      <c r="Z37" s="103"/>
      <c r="AA37" s="653" t="s">
        <v>130</v>
      </c>
      <c r="AB37" s="653"/>
      <c r="AC37" s="653"/>
      <c r="AD37" s="103"/>
      <c r="AE37" s="648" t="s">
        <v>130</v>
      </c>
      <c r="AF37" s="648"/>
      <c r="AG37" s="104"/>
      <c r="AH37" s="648" t="s">
        <v>174</v>
      </c>
      <c r="AI37" s="648"/>
      <c r="AJ37" s="80"/>
      <c r="AK37" s="27"/>
      <c r="AL37" s="28"/>
      <c r="AM37"/>
      <c r="AN37" s="29"/>
      <c r="AO37" s="1"/>
      <c r="AP37" s="1"/>
    </row>
    <row r="38" spans="3:42" s="73" customFormat="1">
      <c r="C38" s="660"/>
      <c r="D38" s="660"/>
      <c r="E38" s="102"/>
      <c r="F38" s="653" t="s">
        <v>140</v>
      </c>
      <c r="G38" s="653"/>
      <c r="H38" s="653"/>
      <c r="I38" s="103"/>
      <c r="J38" s="653" t="s">
        <v>351</v>
      </c>
      <c r="K38" s="653"/>
      <c r="L38" s="103"/>
      <c r="M38" s="653" t="s">
        <v>197</v>
      </c>
      <c r="N38" s="653"/>
      <c r="O38" s="653"/>
      <c r="P38" s="103"/>
      <c r="Q38" s="653" t="s">
        <v>197</v>
      </c>
      <c r="R38" s="653"/>
      <c r="S38" s="103"/>
      <c r="T38" s="653" t="s">
        <v>142</v>
      </c>
      <c r="U38" s="653"/>
      <c r="V38" s="653"/>
      <c r="W38" s="103"/>
      <c r="X38" s="653" t="s">
        <v>142</v>
      </c>
      <c r="Y38" s="653"/>
      <c r="Z38" s="103"/>
      <c r="AA38" s="653" t="s">
        <v>141</v>
      </c>
      <c r="AB38" s="653"/>
      <c r="AC38" s="653"/>
      <c r="AD38" s="103"/>
      <c r="AE38" s="648" t="s">
        <v>141</v>
      </c>
      <c r="AF38" s="648"/>
      <c r="AG38" s="105"/>
      <c r="AH38" s="648" t="s">
        <v>137</v>
      </c>
      <c r="AI38" s="648"/>
      <c r="AJ38" s="80"/>
      <c r="AK38" s="27"/>
      <c r="AL38" s="28"/>
      <c r="AM38"/>
      <c r="AN38" s="29"/>
      <c r="AO38" s="1"/>
      <c r="AP38" s="1"/>
    </row>
    <row r="39" spans="3:42" s="73" customFormat="1">
      <c r="C39" s="660"/>
      <c r="D39" s="660"/>
      <c r="E39" s="106"/>
      <c r="F39" s="751" t="s">
        <v>246</v>
      </c>
      <c r="G39" s="751"/>
      <c r="H39" s="751"/>
      <c r="I39" s="107"/>
      <c r="J39" s="649" t="s">
        <v>135</v>
      </c>
      <c r="K39" s="649"/>
      <c r="L39" s="107"/>
      <c r="M39" s="649" t="s">
        <v>145</v>
      </c>
      <c r="N39" s="649"/>
      <c r="O39" s="649"/>
      <c r="P39" s="107"/>
      <c r="Q39" s="649" t="s">
        <v>145</v>
      </c>
      <c r="R39" s="649"/>
      <c r="S39" s="107"/>
      <c r="T39" s="649" t="s">
        <v>151</v>
      </c>
      <c r="U39" s="649"/>
      <c r="V39" s="649"/>
      <c r="W39" s="107"/>
      <c r="X39" s="649" t="s">
        <v>147</v>
      </c>
      <c r="Y39" s="649"/>
      <c r="Z39" s="107"/>
      <c r="AA39" s="649" t="s">
        <v>218</v>
      </c>
      <c r="AB39" s="649"/>
      <c r="AC39" s="649"/>
      <c r="AD39" s="107"/>
      <c r="AE39" s="651" t="s">
        <v>131</v>
      </c>
      <c r="AF39" s="651"/>
      <c r="AG39" s="108"/>
      <c r="AH39" s="651" t="s">
        <v>145</v>
      </c>
      <c r="AI39" s="651"/>
      <c r="AJ39" s="80"/>
      <c r="AK39" s="27"/>
      <c r="AL39" s="28"/>
      <c r="AM39"/>
      <c r="AN39" s="29"/>
      <c r="AO39" s="1"/>
      <c r="AP39" s="1"/>
    </row>
    <row r="40" spans="3:42" s="73" customFormat="1">
      <c r="C40" s="222"/>
      <c r="D40" s="222"/>
      <c r="E40" s="73" t="s">
        <v>64</v>
      </c>
      <c r="F40" s="649" t="s">
        <v>151</v>
      </c>
      <c r="G40" s="649"/>
      <c r="H40" s="649"/>
      <c r="I40" s="78"/>
      <c r="J40" s="78" t="s">
        <v>268</v>
      </c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109"/>
      <c r="AH40" s="78"/>
      <c r="AI40" s="78"/>
      <c r="AJ40" s="80"/>
      <c r="AK40" s="27"/>
      <c r="AL40" s="28"/>
      <c r="AM40"/>
      <c r="AN40" s="29"/>
      <c r="AO40" s="1"/>
      <c r="AP40" s="1"/>
    </row>
    <row r="41" spans="3:42" s="73" customFormat="1">
      <c r="C41" s="222"/>
      <c r="D41" s="222"/>
      <c r="E41" s="73" t="s">
        <v>352</v>
      </c>
      <c r="F41" s="649" t="s">
        <v>149</v>
      </c>
      <c r="G41" s="649"/>
      <c r="H41" s="649"/>
      <c r="I41" s="78"/>
      <c r="J41" s="78" t="s">
        <v>353</v>
      </c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109"/>
      <c r="AH41" s="78"/>
      <c r="AI41" s="78"/>
      <c r="AJ41" s="80"/>
      <c r="AK41" s="27"/>
      <c r="AL41" s="28"/>
      <c r="AM41"/>
      <c r="AN41" s="29"/>
      <c r="AO41" s="1"/>
      <c r="AP41" s="1"/>
    </row>
    <row r="42" spans="3:42" s="73" customFormat="1">
      <c r="C42" s="222"/>
      <c r="D42" s="222"/>
      <c r="F42" s="649" t="s">
        <v>136</v>
      </c>
      <c r="G42" s="649"/>
      <c r="H42" s="649"/>
      <c r="I42" s="78"/>
      <c r="J42" s="78" t="s">
        <v>196</v>
      </c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109"/>
      <c r="AH42" s="78"/>
      <c r="AI42" s="78"/>
      <c r="AJ42" s="80"/>
      <c r="AK42" s="27"/>
      <c r="AL42" s="28"/>
      <c r="AM42"/>
      <c r="AN42" s="29"/>
      <c r="AO42" s="1"/>
      <c r="AP42" s="1"/>
    </row>
    <row r="43" spans="3:42" s="73" customFormat="1">
      <c r="C43" s="77"/>
      <c r="D43" s="77"/>
      <c r="F43" s="78"/>
      <c r="G43" s="78"/>
      <c r="H43" s="78"/>
      <c r="I43" s="78"/>
      <c r="J43" s="78" t="s">
        <v>252</v>
      </c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109"/>
      <c r="AH43" s="110"/>
      <c r="AI43" s="79"/>
      <c r="AJ43" s="80"/>
      <c r="AK43" s="27"/>
      <c r="AL43" s="28"/>
      <c r="AM43"/>
      <c r="AN43" s="29"/>
      <c r="AO43" s="1"/>
      <c r="AP43" s="1"/>
    </row>
    <row r="44" spans="3:42" s="73" customFormat="1" ht="11.25" customHeight="1">
      <c r="C44" s="655" t="s">
        <v>123</v>
      </c>
      <c r="D44" s="655"/>
      <c r="E44" s="99"/>
      <c r="F44" s="656" t="s">
        <v>204</v>
      </c>
      <c r="G44" s="656"/>
      <c r="H44" s="656"/>
      <c r="I44" s="100"/>
      <c r="J44" s="657" t="s">
        <v>204</v>
      </c>
      <c r="K44" s="657"/>
      <c r="L44" s="100"/>
      <c r="M44" s="656" t="s">
        <v>255</v>
      </c>
      <c r="N44" s="656"/>
      <c r="O44" s="656"/>
      <c r="P44" s="100"/>
      <c r="Q44" s="657" t="s">
        <v>248</v>
      </c>
      <c r="R44" s="657"/>
      <c r="S44" s="100"/>
      <c r="T44" s="656" t="s">
        <v>205</v>
      </c>
      <c r="U44" s="656"/>
      <c r="V44" s="656"/>
      <c r="W44" s="100"/>
      <c r="X44" s="656" t="s">
        <v>205</v>
      </c>
      <c r="Y44" s="656"/>
      <c r="Z44" s="100"/>
      <c r="AA44" s="656" t="s">
        <v>247</v>
      </c>
      <c r="AB44" s="656"/>
      <c r="AC44" s="656"/>
      <c r="AD44" s="100"/>
      <c r="AE44" s="652" t="s">
        <v>247</v>
      </c>
      <c r="AF44" s="652"/>
      <c r="AG44" s="113"/>
      <c r="AH44" s="652" t="s">
        <v>205</v>
      </c>
      <c r="AI44" s="652"/>
      <c r="AJ44" s="80"/>
      <c r="AK44" s="27"/>
      <c r="AL44" s="28"/>
      <c r="AM44"/>
      <c r="AN44" s="29"/>
      <c r="AO44" s="1"/>
      <c r="AP44" s="1"/>
    </row>
    <row r="45" spans="3:42" s="73" customFormat="1" ht="11.25" customHeight="1">
      <c r="C45" s="655"/>
      <c r="D45" s="655"/>
      <c r="E45" s="102"/>
      <c r="F45" s="653" t="s">
        <v>202</v>
      </c>
      <c r="G45" s="653"/>
      <c r="H45" s="653"/>
      <c r="I45" s="103"/>
      <c r="J45" s="654" t="s">
        <v>202</v>
      </c>
      <c r="K45" s="654"/>
      <c r="L45" s="103"/>
      <c r="M45" s="653" t="s">
        <v>298</v>
      </c>
      <c r="N45" s="653"/>
      <c r="O45" s="653"/>
      <c r="P45" s="103"/>
      <c r="Q45" s="654" t="s">
        <v>335</v>
      </c>
      <c r="R45" s="654"/>
      <c r="S45" s="103"/>
      <c r="T45" s="653" t="s">
        <v>207</v>
      </c>
      <c r="U45" s="653"/>
      <c r="V45" s="653"/>
      <c r="W45" s="103"/>
      <c r="X45" s="653" t="s">
        <v>207</v>
      </c>
      <c r="Y45" s="653"/>
      <c r="Z45" s="103"/>
      <c r="AA45" s="653" t="s">
        <v>250</v>
      </c>
      <c r="AB45" s="653"/>
      <c r="AC45" s="653"/>
      <c r="AD45" s="103"/>
      <c r="AE45" s="648" t="s">
        <v>299</v>
      </c>
      <c r="AF45" s="648"/>
      <c r="AG45" s="104"/>
      <c r="AH45" s="760" t="s">
        <v>269</v>
      </c>
      <c r="AI45" s="760"/>
      <c r="AJ45" s="80"/>
      <c r="AK45" s="27"/>
      <c r="AL45" s="28"/>
      <c r="AM45"/>
      <c r="AN45" s="29"/>
      <c r="AO45" s="1"/>
      <c r="AP45" s="1"/>
    </row>
    <row r="46" spans="3:42" s="73" customFormat="1" ht="11.25" customHeight="1">
      <c r="C46" s="655"/>
      <c r="D46" s="655"/>
      <c r="E46" s="102"/>
      <c r="F46" s="653" t="s">
        <v>213</v>
      </c>
      <c r="G46" s="653"/>
      <c r="H46" s="653"/>
      <c r="I46" s="103"/>
      <c r="J46" s="654" t="s">
        <v>213</v>
      </c>
      <c r="K46" s="654"/>
      <c r="L46" s="103"/>
      <c r="M46" s="653" t="s">
        <v>354</v>
      </c>
      <c r="N46" s="653"/>
      <c r="O46" s="653"/>
      <c r="P46" s="103"/>
      <c r="Q46" s="654" t="s">
        <v>252</v>
      </c>
      <c r="R46" s="654"/>
      <c r="S46" s="103"/>
      <c r="T46" s="653" t="s">
        <v>210</v>
      </c>
      <c r="U46" s="653"/>
      <c r="V46" s="653"/>
      <c r="W46" s="103"/>
      <c r="X46" s="653" t="s">
        <v>210</v>
      </c>
      <c r="Y46" s="653"/>
      <c r="Z46" s="103"/>
      <c r="AA46" s="653" t="s">
        <v>211</v>
      </c>
      <c r="AB46" s="653"/>
      <c r="AC46" s="653"/>
      <c r="AD46" s="103"/>
      <c r="AE46" s="648" t="s">
        <v>211</v>
      </c>
      <c r="AF46" s="648"/>
      <c r="AG46" s="104"/>
      <c r="AH46" s="648" t="s">
        <v>212</v>
      </c>
      <c r="AI46" s="648"/>
      <c r="AJ46" s="80"/>
      <c r="AK46" s="27"/>
      <c r="AL46" s="28"/>
      <c r="AM46"/>
      <c r="AN46" s="29"/>
      <c r="AO46" s="1"/>
      <c r="AP46" s="1"/>
    </row>
    <row r="47" spans="3:42" s="73" customFormat="1" ht="11.25" customHeight="1">
      <c r="C47" s="655"/>
      <c r="D47" s="655"/>
      <c r="E47" s="106"/>
      <c r="F47" s="649" t="s">
        <v>214</v>
      </c>
      <c r="G47" s="649"/>
      <c r="H47" s="649"/>
      <c r="I47" s="107"/>
      <c r="J47" s="650" t="s">
        <v>214</v>
      </c>
      <c r="K47" s="650"/>
      <c r="L47" s="107"/>
      <c r="M47" s="649" t="s">
        <v>245</v>
      </c>
      <c r="N47" s="649"/>
      <c r="O47" s="649"/>
      <c r="P47" s="107"/>
      <c r="Q47" s="650" t="s">
        <v>251</v>
      </c>
      <c r="R47" s="650"/>
      <c r="S47" s="107"/>
      <c r="T47" s="649" t="s">
        <v>317</v>
      </c>
      <c r="U47" s="649"/>
      <c r="V47" s="649"/>
      <c r="W47" s="107"/>
      <c r="X47" s="649" t="s">
        <v>214</v>
      </c>
      <c r="Y47" s="649"/>
      <c r="Z47" s="107"/>
      <c r="AA47" s="649" t="s">
        <v>215</v>
      </c>
      <c r="AB47" s="649"/>
      <c r="AC47" s="649"/>
      <c r="AD47" s="107"/>
      <c r="AE47" s="651" t="s">
        <v>215</v>
      </c>
      <c r="AF47" s="651"/>
      <c r="AG47" s="108"/>
      <c r="AH47" s="651" t="s">
        <v>271</v>
      </c>
      <c r="AI47" s="651"/>
      <c r="AJ47" s="80"/>
      <c r="AK47" s="27"/>
      <c r="AL47" s="28"/>
      <c r="AM47"/>
      <c r="AN47" s="29"/>
      <c r="AO47" s="1"/>
      <c r="AP47" s="1"/>
    </row>
    <row r="48" spans="3:42" ht="15.9">
      <c r="C48" s="61"/>
      <c r="D48" s="81"/>
      <c r="AK48" s="27"/>
      <c r="AL48" s="28"/>
      <c r="AM48"/>
      <c r="AN48" s="29"/>
    </row>
    <row r="49" spans="1:42" ht="15.9">
      <c r="C49" s="61"/>
      <c r="D49" s="81"/>
      <c r="S49" s="7"/>
      <c r="T49" s="759" t="s">
        <v>355</v>
      </c>
      <c r="U49" s="759"/>
      <c r="V49" s="759"/>
      <c r="W49" s="759"/>
      <c r="X49" s="759"/>
      <c r="Y49" s="83"/>
      <c r="Z49" s="83"/>
      <c r="AK49" s="27"/>
      <c r="AL49" s="28"/>
      <c r="AM49"/>
      <c r="AN49" s="29"/>
    </row>
    <row r="50" spans="1:42" ht="43.3">
      <c r="A50" s="1" t="s">
        <v>52</v>
      </c>
      <c r="E50" s="378">
        <v>44409</v>
      </c>
      <c r="F50" s="11">
        <v>44410</v>
      </c>
      <c r="G50" s="11">
        <v>44411</v>
      </c>
      <c r="H50" s="11">
        <v>44412</v>
      </c>
      <c r="I50" s="11">
        <v>44413</v>
      </c>
      <c r="J50" s="11">
        <v>44414</v>
      </c>
      <c r="K50" s="11">
        <v>44415</v>
      </c>
      <c r="L50" s="11">
        <v>44416</v>
      </c>
      <c r="M50" s="11">
        <v>44417</v>
      </c>
      <c r="N50" s="11">
        <v>44418</v>
      </c>
      <c r="O50" s="11">
        <v>44419</v>
      </c>
      <c r="P50" s="11">
        <v>44420</v>
      </c>
      <c r="Q50" s="11">
        <v>44421</v>
      </c>
      <c r="R50" s="11">
        <v>44422</v>
      </c>
      <c r="S50" s="11">
        <v>44423</v>
      </c>
      <c r="T50" s="11">
        <v>44424</v>
      </c>
      <c r="U50" s="528">
        <v>44425</v>
      </c>
      <c r="V50" s="528">
        <v>44426</v>
      </c>
      <c r="W50" s="11">
        <v>44427</v>
      </c>
      <c r="X50" s="11">
        <v>44428</v>
      </c>
      <c r="Y50" s="11">
        <v>44429</v>
      </c>
      <c r="Z50" s="11">
        <v>44430</v>
      </c>
      <c r="AA50" s="11">
        <v>44431</v>
      </c>
      <c r="AB50" s="11">
        <v>44432</v>
      </c>
      <c r="AC50" s="11">
        <v>44433</v>
      </c>
      <c r="AD50" s="11">
        <v>44434</v>
      </c>
      <c r="AE50" s="11">
        <v>44435</v>
      </c>
      <c r="AF50" s="11">
        <v>44436</v>
      </c>
      <c r="AG50" s="11">
        <v>44437</v>
      </c>
      <c r="AH50" s="11">
        <v>44438</v>
      </c>
      <c r="AI50" s="11">
        <v>44439</v>
      </c>
      <c r="AJ50" s="84">
        <v>44440</v>
      </c>
      <c r="AK50" s="15">
        <v>168</v>
      </c>
      <c r="AL50" s="16" t="s">
        <v>53</v>
      </c>
      <c r="AM50" s="17" t="s">
        <v>54</v>
      </c>
      <c r="AN50" s="18" t="s">
        <v>55</v>
      </c>
      <c r="AO50" s="1" t="s">
        <v>56</v>
      </c>
      <c r="AP50" s="1" t="s">
        <v>57</v>
      </c>
    </row>
    <row r="51" spans="1:42" ht="15.9">
      <c r="A51" s="1" t="s">
        <v>152</v>
      </c>
      <c r="B51" s="1" t="s">
        <v>93</v>
      </c>
      <c r="C51" s="289" t="s">
        <v>3</v>
      </c>
      <c r="D51" s="86">
        <v>34</v>
      </c>
      <c r="E51" s="21"/>
      <c r="F51" s="87" t="s">
        <v>301</v>
      </c>
      <c r="G51" s="87"/>
      <c r="H51" s="87"/>
      <c r="I51" s="87"/>
      <c r="J51" s="87"/>
      <c r="K51" s="23"/>
      <c r="L51" s="23"/>
      <c r="M51" s="87"/>
      <c r="N51" s="87" t="s">
        <v>92</v>
      </c>
      <c r="O51" s="87" t="s">
        <v>95</v>
      </c>
      <c r="P51" s="87" t="s">
        <v>95</v>
      </c>
      <c r="Q51" s="87" t="s">
        <v>92</v>
      </c>
      <c r="R51" s="23"/>
      <c r="S51" s="23"/>
      <c r="T51" s="87"/>
      <c r="U51" s="522"/>
      <c r="V51" s="522"/>
      <c r="W51" s="87"/>
      <c r="X51" s="87"/>
      <c r="Y51" s="23"/>
      <c r="Z51" s="23"/>
      <c r="AA51" s="87" t="s">
        <v>69</v>
      </c>
      <c r="AB51" s="87" t="s">
        <v>70</v>
      </c>
      <c r="AC51" s="87" t="s">
        <v>70</v>
      </c>
      <c r="AD51" s="87" t="s">
        <v>70</v>
      </c>
      <c r="AE51" s="87" t="s">
        <v>69</v>
      </c>
      <c r="AF51" s="23"/>
      <c r="AG51" s="23"/>
      <c r="AH51" s="87"/>
      <c r="AI51" s="523"/>
      <c r="AJ51" s="26" t="e">
        <f>_xlfn.CONCAT(#REF!,#REF!)</f>
        <v>#REF!</v>
      </c>
      <c r="AK51" s="27">
        <f t="shared" ref="AK51:AK65" si="10">D51+AL51+AM51+AN51-$AK$50+AO51+AP51</f>
        <v>34</v>
      </c>
      <c r="AL51" s="28">
        <f t="shared" ref="AL51:AL82" si="11">COUNTIF(E51:AI51,"D")*24+COUNTIF(E51:AI51,"12g")*12</f>
        <v>0</v>
      </c>
      <c r="AM51">
        <f t="shared" ref="AM51:AM82" si="12">SUM(COUNTIF(E51:AI51,"k")+COUNTIF(E51:AI51,"s")+COUNTIF(E51:AI51,"wse"))*24+SUM(COUNTIF(E51:AI51,"Pk")+COUNTIF(E51:AI51,"Ps"))*12</f>
        <v>168</v>
      </c>
      <c r="AN51" s="29">
        <f t="shared" ref="AN51:AN82" si="13">SUM(E51:AI51)+COUNTIF(E51:AI51,"uw")*8+COUNTIF(E51:AI51,"us")*8+COUNTIF(E51:AI51,"uz")*8</f>
        <v>0</v>
      </c>
      <c r="AO51" s="1">
        <f t="shared" ref="AO51:AO82" si="14">COUNTIF(E51:AI51,"DT")*8</f>
        <v>0</v>
      </c>
    </row>
    <row r="52" spans="1:42" ht="15.9">
      <c r="A52" s="1" t="s">
        <v>155</v>
      </c>
      <c r="B52" s="1" t="s">
        <v>73</v>
      </c>
      <c r="C52" s="290" t="s">
        <v>4</v>
      </c>
      <c r="D52" s="86">
        <v>1.5</v>
      </c>
      <c r="E52" s="31"/>
      <c r="F52" s="89"/>
      <c r="G52" s="89"/>
      <c r="H52" s="89"/>
      <c r="I52" s="89"/>
      <c r="J52" s="89" t="s">
        <v>69</v>
      </c>
      <c r="K52" s="33" t="s">
        <v>70</v>
      </c>
      <c r="L52" s="33" t="s">
        <v>70</v>
      </c>
      <c r="M52" s="89" t="s">
        <v>69</v>
      </c>
      <c r="N52" s="89"/>
      <c r="O52" s="89"/>
      <c r="P52" s="89"/>
      <c r="Q52" s="89"/>
      <c r="R52" s="33"/>
      <c r="S52" s="33"/>
      <c r="T52" s="89"/>
      <c r="U52" s="524"/>
      <c r="V52" s="524" t="s">
        <v>301</v>
      </c>
      <c r="W52" s="89"/>
      <c r="X52" s="89"/>
      <c r="Y52" s="33"/>
      <c r="Z52" s="33"/>
      <c r="AA52" s="89"/>
      <c r="AB52" s="89"/>
      <c r="AC52" s="89"/>
      <c r="AD52" s="89"/>
      <c r="AE52" s="89" t="s">
        <v>69</v>
      </c>
      <c r="AF52" s="33" t="s">
        <v>70</v>
      </c>
      <c r="AG52" s="33" t="s">
        <v>70</v>
      </c>
      <c r="AH52" s="89" t="s">
        <v>69</v>
      </c>
      <c r="AI52" s="525"/>
      <c r="AJ52" s="26" t="e">
        <f>_xlfn.CONCAT(#REF!,#REF!)</f>
        <v>#REF!</v>
      </c>
      <c r="AK52" s="27">
        <f t="shared" si="10"/>
        <v>-22.5</v>
      </c>
      <c r="AL52" s="28">
        <f t="shared" si="11"/>
        <v>0</v>
      </c>
      <c r="AM52">
        <f t="shared" si="12"/>
        <v>144</v>
      </c>
      <c r="AN52" s="29">
        <f t="shared" si="13"/>
        <v>0</v>
      </c>
      <c r="AO52" s="1">
        <f t="shared" si="14"/>
        <v>0</v>
      </c>
    </row>
    <row r="53" spans="1:42" ht="15.9">
      <c r="A53" s="1" t="s">
        <v>67</v>
      </c>
      <c r="B53" s="1" t="s">
        <v>73</v>
      </c>
      <c r="C53" s="290" t="s">
        <v>5</v>
      </c>
      <c r="D53" s="86">
        <v>73.5</v>
      </c>
      <c r="E53" s="31" t="s">
        <v>66</v>
      </c>
      <c r="F53" s="89" t="s">
        <v>294</v>
      </c>
      <c r="G53" s="89" t="s">
        <v>294</v>
      </c>
      <c r="H53" s="89" t="s">
        <v>294</v>
      </c>
      <c r="I53" s="89" t="s">
        <v>294</v>
      </c>
      <c r="J53" s="89" t="s">
        <v>294</v>
      </c>
      <c r="K53" s="33" t="s">
        <v>66</v>
      </c>
      <c r="L53" s="33" t="s">
        <v>66</v>
      </c>
      <c r="M53" s="89" t="s">
        <v>294</v>
      </c>
      <c r="N53" s="89"/>
      <c r="O53" s="89" t="s">
        <v>301</v>
      </c>
      <c r="P53" s="89"/>
      <c r="Q53" s="89"/>
      <c r="R53" s="33"/>
      <c r="S53" s="33" t="s">
        <v>301</v>
      </c>
      <c r="T53" s="89"/>
      <c r="U53" s="524"/>
      <c r="V53" s="524"/>
      <c r="W53" s="89"/>
      <c r="X53" s="89"/>
      <c r="Y53" s="33"/>
      <c r="Z53" s="33"/>
      <c r="AA53" s="89"/>
      <c r="AB53" s="89"/>
      <c r="AC53" s="89"/>
      <c r="AD53" s="89"/>
      <c r="AE53" s="89"/>
      <c r="AF53" s="33"/>
      <c r="AG53" s="33"/>
      <c r="AH53" s="89"/>
      <c r="AI53" s="525" t="s">
        <v>92</v>
      </c>
      <c r="AJ53" s="26" t="e">
        <f>_xlfn.CONCAT(#REF!,#REF!)</f>
        <v>#REF!</v>
      </c>
      <c r="AK53" s="27">
        <f t="shared" si="10"/>
        <v>-34.5</v>
      </c>
      <c r="AL53" s="28">
        <f t="shared" si="11"/>
        <v>0</v>
      </c>
      <c r="AM53">
        <f t="shared" si="12"/>
        <v>12</v>
      </c>
      <c r="AN53" s="29">
        <f t="shared" si="13"/>
        <v>48</v>
      </c>
      <c r="AO53" s="1">
        <f t="shared" si="14"/>
        <v>0</v>
      </c>
    </row>
    <row r="54" spans="1:42" ht="15.9">
      <c r="A54" s="1" t="s">
        <v>152</v>
      </c>
      <c r="B54" s="1" t="s">
        <v>64</v>
      </c>
      <c r="C54" s="291" t="s">
        <v>6</v>
      </c>
      <c r="D54" s="86">
        <v>20</v>
      </c>
      <c r="E54" s="31" t="s">
        <v>301</v>
      </c>
      <c r="F54" s="89"/>
      <c r="G54" s="89"/>
      <c r="H54" s="89" t="s">
        <v>113</v>
      </c>
      <c r="I54" s="89"/>
      <c r="J54" s="89"/>
      <c r="K54" s="33" t="s">
        <v>113</v>
      </c>
      <c r="L54" s="33"/>
      <c r="M54" s="89"/>
      <c r="N54" s="89"/>
      <c r="O54" s="89"/>
      <c r="P54" s="89"/>
      <c r="Q54" s="89"/>
      <c r="R54" s="33"/>
      <c r="S54" s="33"/>
      <c r="T54" s="89"/>
      <c r="U54" s="524"/>
      <c r="V54" s="524"/>
      <c r="W54" s="89"/>
      <c r="X54" s="89"/>
      <c r="Y54" s="33" t="s">
        <v>113</v>
      </c>
      <c r="Z54" s="33"/>
      <c r="AA54" s="89"/>
      <c r="AB54" s="89"/>
      <c r="AC54" s="89"/>
      <c r="AD54" s="89"/>
      <c r="AE54" s="89"/>
      <c r="AF54" s="33" t="s">
        <v>113</v>
      </c>
      <c r="AG54" s="33"/>
      <c r="AH54" s="89"/>
      <c r="AI54" s="525"/>
      <c r="AJ54" s="26" t="e">
        <f>_xlfn.CONCAT(#REF!,#REF!)</f>
        <v>#REF!</v>
      </c>
      <c r="AK54" s="27">
        <f t="shared" si="10"/>
        <v>-52</v>
      </c>
      <c r="AL54" s="28">
        <f t="shared" si="11"/>
        <v>96</v>
      </c>
      <c r="AM54">
        <f t="shared" si="12"/>
        <v>0</v>
      </c>
      <c r="AN54" s="29">
        <f t="shared" si="13"/>
        <v>0</v>
      </c>
      <c r="AO54" s="1">
        <f t="shared" si="14"/>
        <v>0</v>
      </c>
    </row>
    <row r="55" spans="1:42" ht="15.9">
      <c r="A55" s="1" t="s">
        <v>156</v>
      </c>
      <c r="B55" s="1" t="s">
        <v>59</v>
      </c>
      <c r="C55" s="292" t="s">
        <v>7</v>
      </c>
      <c r="D55" s="86">
        <v>56.5</v>
      </c>
      <c r="E55" s="31"/>
      <c r="F55" s="89"/>
      <c r="G55" s="89"/>
      <c r="H55" s="89"/>
      <c r="I55" s="89"/>
      <c r="J55" s="89"/>
      <c r="K55" s="33" t="s">
        <v>66</v>
      </c>
      <c r="L55" s="33" t="s">
        <v>66</v>
      </c>
      <c r="M55" s="89" t="s">
        <v>294</v>
      </c>
      <c r="N55" s="89" t="s">
        <v>294</v>
      </c>
      <c r="O55" s="89" t="s">
        <v>294</v>
      </c>
      <c r="P55" s="89" t="s">
        <v>294</v>
      </c>
      <c r="Q55" s="89" t="s">
        <v>294</v>
      </c>
      <c r="R55" s="33" t="s">
        <v>66</v>
      </c>
      <c r="S55" s="33" t="s">
        <v>66</v>
      </c>
      <c r="T55" s="89" t="s">
        <v>294</v>
      </c>
      <c r="U55" s="524" t="s">
        <v>294</v>
      </c>
      <c r="V55" s="524" t="s">
        <v>294</v>
      </c>
      <c r="W55" s="89" t="s">
        <v>294</v>
      </c>
      <c r="X55" s="89" t="s">
        <v>294</v>
      </c>
      <c r="Y55" s="33" t="s">
        <v>66</v>
      </c>
      <c r="Z55" s="33" t="s">
        <v>66</v>
      </c>
      <c r="AA55" s="89" t="s">
        <v>294</v>
      </c>
      <c r="AB55" s="89" t="s">
        <v>294</v>
      </c>
      <c r="AC55" s="89" t="s">
        <v>294</v>
      </c>
      <c r="AD55" s="89" t="s">
        <v>294</v>
      </c>
      <c r="AE55" s="89" t="s">
        <v>294</v>
      </c>
      <c r="AF55" s="33" t="s">
        <v>66</v>
      </c>
      <c r="AG55" s="33" t="s">
        <v>66</v>
      </c>
      <c r="AH55" s="89" t="s">
        <v>294</v>
      </c>
      <c r="AI55" s="525"/>
      <c r="AJ55" s="26" t="e">
        <f>_xlfn.CONCAT(#REF!,#REF!)</f>
        <v>#REF!</v>
      </c>
      <c r="AK55" s="27">
        <f t="shared" si="10"/>
        <v>16.5</v>
      </c>
      <c r="AL55" s="28">
        <f t="shared" si="11"/>
        <v>0</v>
      </c>
      <c r="AM55">
        <f t="shared" si="12"/>
        <v>0</v>
      </c>
      <c r="AN55" s="29">
        <f t="shared" si="13"/>
        <v>128</v>
      </c>
      <c r="AO55" s="1">
        <f t="shared" si="14"/>
        <v>0</v>
      </c>
    </row>
    <row r="56" spans="1:42" ht="15.9">
      <c r="A56" s="1" t="s">
        <v>58</v>
      </c>
      <c r="B56" s="1" t="s">
        <v>73</v>
      </c>
      <c r="C56" s="290" t="s">
        <v>8</v>
      </c>
      <c r="D56" s="86">
        <v>57.5</v>
      </c>
      <c r="E56" s="31"/>
      <c r="F56" s="89"/>
      <c r="G56" s="89"/>
      <c r="H56" s="89"/>
      <c r="I56" s="89" t="s">
        <v>301</v>
      </c>
      <c r="J56" s="89"/>
      <c r="K56" s="33"/>
      <c r="L56" s="33"/>
      <c r="M56" s="89"/>
      <c r="N56" s="89"/>
      <c r="O56" s="89"/>
      <c r="P56" s="89" t="s">
        <v>113</v>
      </c>
      <c r="Q56" s="89"/>
      <c r="R56" s="33"/>
      <c r="S56" s="33"/>
      <c r="T56" s="89"/>
      <c r="U56" s="524"/>
      <c r="V56" s="524"/>
      <c r="W56" s="89"/>
      <c r="X56" s="89"/>
      <c r="Y56" s="33"/>
      <c r="Z56" s="33"/>
      <c r="AA56" s="89"/>
      <c r="AB56" s="89"/>
      <c r="AC56" s="89"/>
      <c r="AD56" s="89"/>
      <c r="AE56" s="89" t="s">
        <v>301</v>
      </c>
      <c r="AF56" s="33"/>
      <c r="AG56" s="33"/>
      <c r="AH56" s="89"/>
      <c r="AI56" s="525"/>
      <c r="AJ56" s="26" t="e">
        <f>_xlfn.CONCAT(#REF!,#REF!)</f>
        <v>#REF!</v>
      </c>
      <c r="AK56" s="27">
        <f t="shared" si="10"/>
        <v>-86.5</v>
      </c>
      <c r="AL56" s="28">
        <f t="shared" si="11"/>
        <v>24</v>
      </c>
      <c r="AM56">
        <f t="shared" si="12"/>
        <v>0</v>
      </c>
      <c r="AN56" s="29">
        <f t="shared" si="13"/>
        <v>0</v>
      </c>
      <c r="AO56" s="1">
        <f t="shared" si="14"/>
        <v>0</v>
      </c>
    </row>
    <row r="57" spans="1:42" ht="15.9">
      <c r="A57" s="1" t="s">
        <v>152</v>
      </c>
      <c r="B57" s="1" t="s">
        <v>59</v>
      </c>
      <c r="C57" s="291" t="s">
        <v>9</v>
      </c>
      <c r="D57" s="86">
        <v>50</v>
      </c>
      <c r="E57" s="31"/>
      <c r="F57" s="89"/>
      <c r="G57" s="89"/>
      <c r="H57" s="89"/>
      <c r="I57" s="89"/>
      <c r="J57" s="89" t="s">
        <v>69</v>
      </c>
      <c r="K57" s="33" t="s">
        <v>70</v>
      </c>
      <c r="L57" s="33" t="s">
        <v>70</v>
      </c>
      <c r="M57" s="89" t="s">
        <v>69</v>
      </c>
      <c r="N57" s="89"/>
      <c r="O57" s="89"/>
      <c r="P57" s="89"/>
      <c r="Q57" s="89"/>
      <c r="R57" s="33"/>
      <c r="S57" s="33"/>
      <c r="T57" s="89"/>
      <c r="U57" s="524"/>
      <c r="V57" s="524"/>
      <c r="W57" s="89"/>
      <c r="X57" s="89"/>
      <c r="Y57" s="33"/>
      <c r="Z57" s="33"/>
      <c r="AA57" s="89"/>
      <c r="AB57" s="89" t="s">
        <v>294</v>
      </c>
      <c r="AC57" s="89" t="s">
        <v>294</v>
      </c>
      <c r="AD57" s="89" t="s">
        <v>294</v>
      </c>
      <c r="AE57" s="89" t="s">
        <v>294</v>
      </c>
      <c r="AF57" s="33" t="s">
        <v>66</v>
      </c>
      <c r="AG57" s="33" t="s">
        <v>66</v>
      </c>
      <c r="AH57" s="89" t="s">
        <v>294</v>
      </c>
      <c r="AI57" s="525" t="s">
        <v>294</v>
      </c>
      <c r="AJ57" s="26" t="e">
        <f>_xlfn.CONCAT(#REF!,#REF!)</f>
        <v>#REF!</v>
      </c>
      <c r="AK57" s="27">
        <f t="shared" si="10"/>
        <v>2</v>
      </c>
      <c r="AL57" s="28">
        <f t="shared" si="11"/>
        <v>0</v>
      </c>
      <c r="AM57">
        <f t="shared" si="12"/>
        <v>72</v>
      </c>
      <c r="AN57" s="29">
        <f t="shared" si="13"/>
        <v>48</v>
      </c>
      <c r="AO57" s="1">
        <f t="shared" si="14"/>
        <v>0</v>
      </c>
    </row>
    <row r="58" spans="1:42" ht="15.9">
      <c r="A58" s="1" t="s">
        <v>157</v>
      </c>
      <c r="B58" s="1" t="s">
        <v>59</v>
      </c>
      <c r="C58" s="292" t="s">
        <v>10</v>
      </c>
      <c r="D58" s="86">
        <v>1</v>
      </c>
      <c r="E58" s="31" t="s">
        <v>66</v>
      </c>
      <c r="F58" s="89" t="s">
        <v>294</v>
      </c>
      <c r="G58" s="89" t="s">
        <v>294</v>
      </c>
      <c r="H58" s="89" t="s">
        <v>294</v>
      </c>
      <c r="I58" s="89" t="s">
        <v>294</v>
      </c>
      <c r="J58" s="89" t="s">
        <v>294</v>
      </c>
      <c r="K58" s="33" t="s">
        <v>66</v>
      </c>
      <c r="L58" s="33" t="s">
        <v>66</v>
      </c>
      <c r="M58" s="89" t="s">
        <v>294</v>
      </c>
      <c r="N58" s="89" t="s">
        <v>294</v>
      </c>
      <c r="O58" s="89" t="s">
        <v>294</v>
      </c>
      <c r="P58" s="89" t="s">
        <v>294</v>
      </c>
      <c r="Q58" s="89" t="s">
        <v>294</v>
      </c>
      <c r="R58" s="33" t="s">
        <v>66</v>
      </c>
      <c r="S58" s="33" t="s">
        <v>66</v>
      </c>
      <c r="T58" s="89" t="s">
        <v>294</v>
      </c>
      <c r="U58" s="524"/>
      <c r="V58" s="524"/>
      <c r="W58" s="89"/>
      <c r="X58" s="89"/>
      <c r="Y58" s="33"/>
      <c r="Z58" s="33" t="s">
        <v>103</v>
      </c>
      <c r="AA58" s="89" t="s">
        <v>113</v>
      </c>
      <c r="AB58" s="89"/>
      <c r="AC58" s="89"/>
      <c r="AD58" s="89"/>
      <c r="AE58" s="89"/>
      <c r="AF58" s="33"/>
      <c r="AG58" s="33" t="s">
        <v>76</v>
      </c>
      <c r="AH58" s="89"/>
      <c r="AI58" s="525"/>
      <c r="AJ58" s="26" t="e">
        <f>_xlfn.CONCAT(#REF!,#REF!)</f>
        <v>#REF!</v>
      </c>
      <c r="AK58" s="27">
        <f t="shared" si="10"/>
        <v>-43</v>
      </c>
      <c r="AL58" s="28">
        <f t="shared" si="11"/>
        <v>36</v>
      </c>
      <c r="AM58">
        <f t="shared" si="12"/>
        <v>0</v>
      </c>
      <c r="AN58" s="29">
        <f t="shared" si="13"/>
        <v>88</v>
      </c>
      <c r="AO58" s="1">
        <f t="shared" si="14"/>
        <v>0</v>
      </c>
    </row>
    <row r="59" spans="1:42" ht="15.9">
      <c r="A59" s="1" t="s">
        <v>58</v>
      </c>
      <c r="B59" s="1" t="s">
        <v>59</v>
      </c>
      <c r="C59" s="290" t="s">
        <v>11</v>
      </c>
      <c r="D59" s="86">
        <v>-16</v>
      </c>
      <c r="E59" s="31"/>
      <c r="F59" s="89"/>
      <c r="G59" s="89" t="s">
        <v>153</v>
      </c>
      <c r="H59" s="89" t="s">
        <v>154</v>
      </c>
      <c r="I59" s="89" t="s">
        <v>154</v>
      </c>
      <c r="J59" s="89" t="s">
        <v>154</v>
      </c>
      <c r="K59" s="33" t="s">
        <v>154</v>
      </c>
      <c r="L59" s="33" t="s">
        <v>154</v>
      </c>
      <c r="M59" s="89" t="s">
        <v>154</v>
      </c>
      <c r="N59" s="89" t="s">
        <v>153</v>
      </c>
      <c r="O59" s="89"/>
      <c r="P59" s="89"/>
      <c r="Q59" s="89"/>
      <c r="R59" s="33"/>
      <c r="S59" s="33"/>
      <c r="T59" s="89"/>
      <c r="U59" s="524"/>
      <c r="V59" s="524"/>
      <c r="W59" s="89"/>
      <c r="X59" s="89"/>
      <c r="Y59" s="33"/>
      <c r="Z59" s="33"/>
      <c r="AA59" s="89"/>
      <c r="AB59" s="89"/>
      <c r="AC59" s="89"/>
      <c r="AD59" s="89"/>
      <c r="AE59" s="89"/>
      <c r="AF59" s="33"/>
      <c r="AG59" s="33"/>
      <c r="AH59" s="89"/>
      <c r="AI59" s="525" t="s">
        <v>294</v>
      </c>
      <c r="AJ59" s="26" t="e">
        <f>_xlfn.CONCAT(#REF!,#REF!)</f>
        <v>#REF!</v>
      </c>
      <c r="AK59" s="27">
        <f t="shared" si="10"/>
        <v>-8</v>
      </c>
      <c r="AL59" s="28">
        <f t="shared" si="11"/>
        <v>0</v>
      </c>
      <c r="AM59">
        <f t="shared" si="12"/>
        <v>168</v>
      </c>
      <c r="AN59" s="29">
        <f t="shared" si="13"/>
        <v>8</v>
      </c>
      <c r="AO59" s="1">
        <f t="shared" si="14"/>
        <v>0</v>
      </c>
    </row>
    <row r="60" spans="1:42" ht="15.9">
      <c r="A60" s="1" t="s">
        <v>152</v>
      </c>
      <c r="B60" s="1" t="s">
        <v>64</v>
      </c>
      <c r="C60" s="291" t="s">
        <v>12</v>
      </c>
      <c r="D60" s="86">
        <v>50.5</v>
      </c>
      <c r="E60" s="31"/>
      <c r="F60" s="89"/>
      <c r="G60" s="89"/>
      <c r="H60" s="89"/>
      <c r="I60" s="89"/>
      <c r="J60" s="89"/>
      <c r="K60" s="33"/>
      <c r="L60" s="33"/>
      <c r="M60" s="89" t="s">
        <v>69</v>
      </c>
      <c r="N60" s="89" t="s">
        <v>70</v>
      </c>
      <c r="O60" s="89" t="s">
        <v>70</v>
      </c>
      <c r="P60" s="89" t="s">
        <v>70</v>
      </c>
      <c r="Q60" s="89" t="s">
        <v>69</v>
      </c>
      <c r="R60" s="33"/>
      <c r="S60" s="33"/>
      <c r="T60" s="89"/>
      <c r="U60" s="524"/>
      <c r="V60" s="524"/>
      <c r="W60" s="89">
        <v>18</v>
      </c>
      <c r="X60" s="89" t="s">
        <v>98</v>
      </c>
      <c r="Y60" s="33">
        <v>15</v>
      </c>
      <c r="Z60" s="33"/>
      <c r="AA60" s="89"/>
      <c r="AB60" s="89"/>
      <c r="AC60" s="89"/>
      <c r="AD60" s="89"/>
      <c r="AE60" s="89"/>
      <c r="AF60" s="33" t="s">
        <v>301</v>
      </c>
      <c r="AG60" s="33"/>
      <c r="AH60" s="89"/>
      <c r="AI60" s="525" t="s">
        <v>92</v>
      </c>
      <c r="AJ60" s="26" t="e">
        <f>_xlfn.CONCAT(#REF!,#REF!)</f>
        <v>#REF!</v>
      </c>
      <c r="AK60" s="27">
        <f t="shared" si="10"/>
        <v>47.5</v>
      </c>
      <c r="AL60" s="28">
        <f t="shared" si="11"/>
        <v>0</v>
      </c>
      <c r="AM60">
        <f t="shared" si="12"/>
        <v>132</v>
      </c>
      <c r="AN60" s="29">
        <f t="shared" si="13"/>
        <v>33</v>
      </c>
      <c r="AO60" s="1">
        <f t="shared" si="14"/>
        <v>0</v>
      </c>
    </row>
    <row r="61" spans="1:42" ht="15.9">
      <c r="A61" s="1" t="s">
        <v>152</v>
      </c>
      <c r="B61" s="1" t="s">
        <v>93</v>
      </c>
      <c r="C61" s="291" t="s">
        <v>13</v>
      </c>
      <c r="D61" s="86">
        <v>130</v>
      </c>
      <c r="E61" s="31"/>
      <c r="F61" s="89"/>
      <c r="G61" s="89"/>
      <c r="H61" s="89"/>
      <c r="I61" s="89"/>
      <c r="J61" s="89"/>
      <c r="K61" s="33"/>
      <c r="L61" s="33"/>
      <c r="M61" s="89"/>
      <c r="N61" s="89"/>
      <c r="O61" s="89"/>
      <c r="P61" s="89"/>
      <c r="Q61" s="89"/>
      <c r="R61" s="33"/>
      <c r="S61" s="33"/>
      <c r="T61" s="89"/>
      <c r="U61" s="524"/>
      <c r="V61" s="524"/>
      <c r="W61" s="89"/>
      <c r="X61" s="89"/>
      <c r="Y61" s="33"/>
      <c r="Z61" s="33"/>
      <c r="AA61" s="89"/>
      <c r="AB61" s="89"/>
      <c r="AC61" s="89"/>
      <c r="AD61" s="89"/>
      <c r="AE61" s="89"/>
      <c r="AF61" s="33"/>
      <c r="AG61" s="33"/>
      <c r="AH61" s="89"/>
      <c r="AI61" s="525"/>
      <c r="AJ61" s="26" t="e">
        <f>_xlfn.CONCAT(#REF!,#REF!)</f>
        <v>#REF!</v>
      </c>
      <c r="AK61" s="27">
        <f t="shared" si="10"/>
        <v>-38</v>
      </c>
      <c r="AL61" s="28">
        <f t="shared" si="11"/>
        <v>0</v>
      </c>
      <c r="AM61">
        <f t="shared" si="12"/>
        <v>0</v>
      </c>
      <c r="AN61" s="29">
        <f t="shared" si="13"/>
        <v>0</v>
      </c>
      <c r="AO61" s="1">
        <f t="shared" si="14"/>
        <v>0</v>
      </c>
    </row>
    <row r="62" spans="1:42" ht="15.9">
      <c r="A62" s="1" t="s">
        <v>152</v>
      </c>
      <c r="B62" s="1" t="s">
        <v>73</v>
      </c>
      <c r="C62" s="291" t="s">
        <v>14</v>
      </c>
      <c r="D62" s="86">
        <v>41.5</v>
      </c>
      <c r="E62" s="31"/>
      <c r="F62" s="89"/>
      <c r="G62" s="89"/>
      <c r="H62" s="89"/>
      <c r="I62" s="89"/>
      <c r="J62" s="89"/>
      <c r="K62" s="33" t="s">
        <v>331</v>
      </c>
      <c r="L62" s="33"/>
      <c r="M62" s="89"/>
      <c r="N62" s="89" t="s">
        <v>92</v>
      </c>
      <c r="O62" s="89" t="s">
        <v>95</v>
      </c>
      <c r="P62" s="89" t="s">
        <v>95</v>
      </c>
      <c r="Q62" s="89" t="s">
        <v>92</v>
      </c>
      <c r="R62" s="33" t="s">
        <v>66</v>
      </c>
      <c r="S62" s="33" t="s">
        <v>66</v>
      </c>
      <c r="T62" s="89" t="s">
        <v>66</v>
      </c>
      <c r="U62" s="524"/>
      <c r="V62" s="524"/>
      <c r="W62" s="89">
        <v>18</v>
      </c>
      <c r="X62" s="89" t="s">
        <v>98</v>
      </c>
      <c r="Y62" s="33">
        <v>15</v>
      </c>
      <c r="Z62" s="33"/>
      <c r="AA62" s="89"/>
      <c r="AB62" s="89"/>
      <c r="AC62" s="89"/>
      <c r="AD62" s="89"/>
      <c r="AE62" s="89"/>
      <c r="AF62" s="33"/>
      <c r="AG62" s="33"/>
      <c r="AH62" s="89"/>
      <c r="AI62" s="525"/>
      <c r="AJ62" s="26" t="e">
        <f>_xlfn.CONCAT(#REF!,#REF!)</f>
        <v>#REF!</v>
      </c>
      <c r="AK62" s="27">
        <f t="shared" si="10"/>
        <v>14.5</v>
      </c>
      <c r="AL62" s="28">
        <f t="shared" si="11"/>
        <v>12</v>
      </c>
      <c r="AM62">
        <f t="shared" si="12"/>
        <v>96</v>
      </c>
      <c r="AN62" s="29">
        <f t="shared" si="13"/>
        <v>33</v>
      </c>
      <c r="AO62" s="1">
        <f t="shared" si="14"/>
        <v>0</v>
      </c>
    </row>
    <row r="63" spans="1:42" ht="15.9">
      <c r="A63" s="1" t="s">
        <v>155</v>
      </c>
      <c r="B63" s="1" t="s">
        <v>64</v>
      </c>
      <c r="C63" s="290" t="s">
        <v>15</v>
      </c>
      <c r="D63" s="86">
        <v>-71.5</v>
      </c>
      <c r="E63" s="31"/>
      <c r="F63" s="89"/>
      <c r="G63" s="89" t="s">
        <v>153</v>
      </c>
      <c r="H63" s="89" t="s">
        <v>154</v>
      </c>
      <c r="I63" s="89" t="s">
        <v>154</v>
      </c>
      <c r="J63" s="89" t="s">
        <v>154</v>
      </c>
      <c r="K63" s="33" t="s">
        <v>154</v>
      </c>
      <c r="L63" s="33" t="s">
        <v>154</v>
      </c>
      <c r="M63" s="89" t="s">
        <v>154</v>
      </c>
      <c r="N63" s="89" t="s">
        <v>153</v>
      </c>
      <c r="O63" s="89" t="s">
        <v>66</v>
      </c>
      <c r="P63" s="89" t="s">
        <v>66</v>
      </c>
      <c r="Q63" s="89" t="s">
        <v>66</v>
      </c>
      <c r="R63" s="33" t="s">
        <v>66</v>
      </c>
      <c r="S63" s="33" t="s">
        <v>66</v>
      </c>
      <c r="T63" s="89" t="s">
        <v>66</v>
      </c>
      <c r="U63" s="524" t="s">
        <v>66</v>
      </c>
      <c r="V63" s="524"/>
      <c r="W63" s="89"/>
      <c r="X63" s="89" t="s">
        <v>92</v>
      </c>
      <c r="Y63" s="33" t="s">
        <v>95</v>
      </c>
      <c r="Z63" s="33" t="s">
        <v>95</v>
      </c>
      <c r="AA63" s="89" t="s">
        <v>95</v>
      </c>
      <c r="AB63" s="89" t="s">
        <v>92</v>
      </c>
      <c r="AC63" s="89"/>
      <c r="AD63" s="89"/>
      <c r="AE63" s="89"/>
      <c r="AF63" s="33"/>
      <c r="AG63" s="33"/>
      <c r="AH63" s="89"/>
      <c r="AI63" s="525"/>
      <c r="AJ63" s="26" t="e">
        <f>_xlfn.CONCAT(#REF!,#REF!)</f>
        <v>#REF!</v>
      </c>
      <c r="AK63" s="27">
        <f t="shared" si="10"/>
        <v>24.5</v>
      </c>
      <c r="AL63" s="28">
        <f t="shared" si="11"/>
        <v>0</v>
      </c>
      <c r="AM63">
        <f t="shared" si="12"/>
        <v>264</v>
      </c>
      <c r="AN63" s="29">
        <f t="shared" si="13"/>
        <v>0</v>
      </c>
      <c r="AO63" s="1">
        <f t="shared" si="14"/>
        <v>0</v>
      </c>
    </row>
    <row r="64" spans="1:42" ht="15.9">
      <c r="A64" s="1" t="s">
        <v>67</v>
      </c>
      <c r="B64" s="1" t="s">
        <v>64</v>
      </c>
      <c r="C64" s="290" t="s">
        <v>16</v>
      </c>
      <c r="D64" s="86">
        <v>16</v>
      </c>
      <c r="E64" s="31" t="s">
        <v>154</v>
      </c>
      <c r="F64" s="89" t="s">
        <v>154</v>
      </c>
      <c r="G64" s="89" t="s">
        <v>153</v>
      </c>
      <c r="H64" s="89"/>
      <c r="I64" s="89"/>
      <c r="J64" s="89"/>
      <c r="K64" s="33"/>
      <c r="L64" s="33"/>
      <c r="M64" s="89"/>
      <c r="N64" s="89" t="s">
        <v>113</v>
      </c>
      <c r="O64" s="89"/>
      <c r="P64" s="89"/>
      <c r="Q64" s="89"/>
      <c r="R64" s="33"/>
      <c r="S64" s="33"/>
      <c r="T64" s="89"/>
      <c r="U64" s="524" t="s">
        <v>92</v>
      </c>
      <c r="V64" s="524" t="s">
        <v>95</v>
      </c>
      <c r="W64" s="89" t="s">
        <v>95</v>
      </c>
      <c r="X64" s="89" t="s">
        <v>92</v>
      </c>
      <c r="Y64" s="33"/>
      <c r="Z64" s="33"/>
      <c r="AA64" s="89"/>
      <c r="AB64" s="89"/>
      <c r="AC64" s="89" t="s">
        <v>301</v>
      </c>
      <c r="AD64" s="89"/>
      <c r="AE64" s="89"/>
      <c r="AF64" s="33"/>
      <c r="AG64" s="33"/>
      <c r="AH64" s="89"/>
      <c r="AI64" s="525"/>
      <c r="AJ64" s="26" t="e">
        <f>_xlfn.CONCAT(#REF!,#REF!)</f>
        <v>#REF!</v>
      </c>
      <c r="AK64" s="27">
        <f t="shared" si="10"/>
        <v>4</v>
      </c>
      <c r="AL64" s="28">
        <f t="shared" si="11"/>
        <v>24</v>
      </c>
      <c r="AM64">
        <f t="shared" si="12"/>
        <v>132</v>
      </c>
      <c r="AN64" s="29">
        <f t="shared" si="13"/>
        <v>0</v>
      </c>
      <c r="AO64" s="1">
        <f t="shared" si="14"/>
        <v>0</v>
      </c>
    </row>
    <row r="65" spans="1:41" ht="15.9">
      <c r="A65" s="1" t="s">
        <v>155</v>
      </c>
      <c r="B65" s="1" t="s">
        <v>93</v>
      </c>
      <c r="C65" s="290" t="s">
        <v>17</v>
      </c>
      <c r="D65" s="86">
        <v>70</v>
      </c>
      <c r="E65" s="31"/>
      <c r="F65" s="89" t="s">
        <v>294</v>
      </c>
      <c r="G65" s="89" t="s">
        <v>294</v>
      </c>
      <c r="H65" s="89" t="s">
        <v>294</v>
      </c>
      <c r="I65" s="89" t="s">
        <v>294</v>
      </c>
      <c r="J65" s="89" t="s">
        <v>294</v>
      </c>
      <c r="K65" s="33" t="s">
        <v>66</v>
      </c>
      <c r="L65" s="33" t="s">
        <v>66</v>
      </c>
      <c r="M65" s="89" t="s">
        <v>294</v>
      </c>
      <c r="N65" s="89" t="s">
        <v>294</v>
      </c>
      <c r="O65" s="89" t="s">
        <v>294</v>
      </c>
      <c r="P65" s="89" t="s">
        <v>294</v>
      </c>
      <c r="Q65" s="89" t="s">
        <v>294</v>
      </c>
      <c r="R65" s="33" t="s">
        <v>66</v>
      </c>
      <c r="S65" s="33" t="s">
        <v>66</v>
      </c>
      <c r="T65" s="89" t="s">
        <v>294</v>
      </c>
      <c r="U65" s="524"/>
      <c r="V65" s="524"/>
      <c r="W65" s="89"/>
      <c r="X65" s="89"/>
      <c r="Y65" s="33"/>
      <c r="Z65" s="33"/>
      <c r="AA65" s="89"/>
      <c r="AB65" s="89"/>
      <c r="AC65" s="89"/>
      <c r="AD65" s="89"/>
      <c r="AE65" s="89"/>
      <c r="AF65" s="33"/>
      <c r="AG65" s="33"/>
      <c r="AH65" s="89"/>
      <c r="AI65" s="525"/>
      <c r="AJ65" s="26" t="e">
        <f>_xlfn.CONCAT(#REF!,#REF!)</f>
        <v>#REF!</v>
      </c>
      <c r="AK65" s="27">
        <f t="shared" si="10"/>
        <v>-10</v>
      </c>
      <c r="AL65" s="28">
        <f t="shared" si="11"/>
        <v>0</v>
      </c>
      <c r="AM65">
        <f t="shared" si="12"/>
        <v>0</v>
      </c>
      <c r="AN65" s="29">
        <f t="shared" si="13"/>
        <v>88</v>
      </c>
      <c r="AO65" s="1">
        <f t="shared" si="14"/>
        <v>0</v>
      </c>
    </row>
    <row r="66" spans="1:41" ht="15.9">
      <c r="A66" s="1" t="s">
        <v>155</v>
      </c>
      <c r="B66" s="1" t="s">
        <v>64</v>
      </c>
      <c r="C66" s="292" t="s">
        <v>18</v>
      </c>
      <c r="D66" s="86">
        <v>0</v>
      </c>
      <c r="E66" s="31" t="s">
        <v>169</v>
      </c>
      <c r="F66" s="89" t="s">
        <v>169</v>
      </c>
      <c r="G66" s="89" t="s">
        <v>169</v>
      </c>
      <c r="H66" s="89" t="s">
        <v>169</v>
      </c>
      <c r="I66" s="89" t="s">
        <v>169</v>
      </c>
      <c r="J66" s="89" t="s">
        <v>169</v>
      </c>
      <c r="K66" s="33" t="s">
        <v>169</v>
      </c>
      <c r="L66" s="33" t="s">
        <v>169</v>
      </c>
      <c r="M66" s="89" t="s">
        <v>169</v>
      </c>
      <c r="N66" s="89" t="s">
        <v>169</v>
      </c>
      <c r="O66" s="89" t="s">
        <v>169</v>
      </c>
      <c r="P66" s="89" t="s">
        <v>169</v>
      </c>
      <c r="Q66" s="89" t="s">
        <v>169</v>
      </c>
      <c r="R66" s="33" t="s">
        <v>169</v>
      </c>
      <c r="S66" s="33" t="s">
        <v>169</v>
      </c>
      <c r="T66" s="89" t="s">
        <v>169</v>
      </c>
      <c r="U66" s="524" t="s">
        <v>169</v>
      </c>
      <c r="V66" s="524" t="s">
        <v>169</v>
      </c>
      <c r="W66" s="89" t="s">
        <v>169</v>
      </c>
      <c r="X66" s="89" t="s">
        <v>169</v>
      </c>
      <c r="Y66" s="33" t="s">
        <v>169</v>
      </c>
      <c r="Z66" s="33" t="s">
        <v>169</v>
      </c>
      <c r="AA66" s="89" t="s">
        <v>169</v>
      </c>
      <c r="AB66" s="89" t="s">
        <v>169</v>
      </c>
      <c r="AC66" s="89" t="s">
        <v>169</v>
      </c>
      <c r="AD66" s="89" t="s">
        <v>169</v>
      </c>
      <c r="AE66" s="89" t="s">
        <v>169</v>
      </c>
      <c r="AF66" s="33" t="s">
        <v>169</v>
      </c>
      <c r="AG66" s="33" t="s">
        <v>169</v>
      </c>
      <c r="AH66" s="89" t="s">
        <v>169</v>
      </c>
      <c r="AI66" s="525" t="s">
        <v>169</v>
      </c>
      <c r="AJ66" s="26" t="e">
        <f>_xlfn.CONCAT(#REF!,#REF!)</f>
        <v>#REF!</v>
      </c>
      <c r="AK66" s="27">
        <v>0</v>
      </c>
      <c r="AL66" s="28">
        <f t="shared" si="11"/>
        <v>0</v>
      </c>
      <c r="AM66">
        <f t="shared" si="12"/>
        <v>0</v>
      </c>
      <c r="AN66" s="29">
        <f t="shared" si="13"/>
        <v>0</v>
      </c>
      <c r="AO66" s="1">
        <f t="shared" si="14"/>
        <v>0</v>
      </c>
    </row>
    <row r="67" spans="1:41" ht="15.9">
      <c r="A67" s="1" t="s">
        <v>157</v>
      </c>
      <c r="B67" s="1" t="s">
        <v>59</v>
      </c>
      <c r="C67" s="291" t="s">
        <v>19</v>
      </c>
      <c r="D67" s="86">
        <v>-29.5</v>
      </c>
      <c r="E67" s="31"/>
      <c r="F67" s="89"/>
      <c r="G67" s="89"/>
      <c r="H67" s="89"/>
      <c r="I67" s="89"/>
      <c r="J67" s="89"/>
      <c r="K67" s="33" t="s">
        <v>76</v>
      </c>
      <c r="L67" s="33"/>
      <c r="M67" s="89"/>
      <c r="N67" s="89" t="s">
        <v>153</v>
      </c>
      <c r="O67" s="89" t="s">
        <v>154</v>
      </c>
      <c r="P67" s="89" t="s">
        <v>154</v>
      </c>
      <c r="Q67" s="89" t="s">
        <v>153</v>
      </c>
      <c r="R67" s="33" t="s">
        <v>66</v>
      </c>
      <c r="S67" s="33" t="s">
        <v>66</v>
      </c>
      <c r="T67" s="89" t="s">
        <v>66</v>
      </c>
      <c r="U67" s="524"/>
      <c r="V67" s="524"/>
      <c r="W67" s="89" t="s">
        <v>301</v>
      </c>
      <c r="X67" s="89"/>
      <c r="Y67" s="33"/>
      <c r="Z67" s="33"/>
      <c r="AA67" s="89"/>
      <c r="AB67" s="89"/>
      <c r="AC67" s="89"/>
      <c r="AD67" s="89"/>
      <c r="AE67" s="89"/>
      <c r="AF67" s="33"/>
      <c r="AG67" s="33" t="s">
        <v>76</v>
      </c>
      <c r="AH67" s="89"/>
      <c r="AI67" s="525"/>
      <c r="AJ67" s="26" t="e">
        <f>_xlfn.CONCAT(#REF!,#REF!)</f>
        <v>#REF!</v>
      </c>
      <c r="AK67" s="27">
        <f t="shared" ref="AK67:AK87" si="15">D67+AL67+AM67+AN67-$AK$50+AO67+AP67</f>
        <v>-101.5</v>
      </c>
      <c r="AL67" s="28">
        <f t="shared" si="11"/>
        <v>24</v>
      </c>
      <c r="AM67">
        <f t="shared" si="12"/>
        <v>72</v>
      </c>
      <c r="AN67" s="29">
        <f t="shared" si="13"/>
        <v>0</v>
      </c>
      <c r="AO67" s="1">
        <f t="shared" si="14"/>
        <v>0</v>
      </c>
    </row>
    <row r="68" spans="1:41" ht="15.9">
      <c r="A68" s="1" t="s">
        <v>152</v>
      </c>
      <c r="B68" s="1" t="s">
        <v>64</v>
      </c>
      <c r="C68" s="291" t="s">
        <v>20</v>
      </c>
      <c r="D68" s="86">
        <v>2</v>
      </c>
      <c r="E68" s="31"/>
      <c r="F68" s="89"/>
      <c r="G68" s="89"/>
      <c r="H68" s="89"/>
      <c r="I68" s="89"/>
      <c r="J68" s="89" t="s">
        <v>69</v>
      </c>
      <c r="K68" s="33" t="s">
        <v>70</v>
      </c>
      <c r="L68" s="33" t="s">
        <v>70</v>
      </c>
      <c r="M68" s="89" t="s">
        <v>69</v>
      </c>
      <c r="N68" s="89"/>
      <c r="O68" s="89"/>
      <c r="P68" s="89"/>
      <c r="Q68" s="89"/>
      <c r="R68" s="33"/>
      <c r="S68" s="33" t="s">
        <v>113</v>
      </c>
      <c r="T68" s="89"/>
      <c r="U68" s="524"/>
      <c r="V68" s="524"/>
      <c r="W68" s="89" t="s">
        <v>113</v>
      </c>
      <c r="X68" s="89"/>
      <c r="Y68" s="33"/>
      <c r="Z68" s="33"/>
      <c r="AA68" s="89" t="s">
        <v>294</v>
      </c>
      <c r="AB68" s="89" t="s">
        <v>294</v>
      </c>
      <c r="AC68" s="89" t="s">
        <v>294</v>
      </c>
      <c r="AD68" s="89" t="s">
        <v>294</v>
      </c>
      <c r="AE68" s="89" t="s">
        <v>294</v>
      </c>
      <c r="AF68" s="33" t="s">
        <v>66</v>
      </c>
      <c r="AG68" s="33" t="s">
        <v>66</v>
      </c>
      <c r="AH68" s="89" t="s">
        <v>294</v>
      </c>
      <c r="AI68" s="525" t="s">
        <v>294</v>
      </c>
      <c r="AJ68" s="26" t="e">
        <f>_xlfn.CONCAT(#REF!,#REF!)</f>
        <v>#REF!</v>
      </c>
      <c r="AK68" s="27">
        <f t="shared" si="15"/>
        <v>10</v>
      </c>
      <c r="AL68" s="28">
        <f t="shared" si="11"/>
        <v>48</v>
      </c>
      <c r="AM68">
        <f t="shared" si="12"/>
        <v>72</v>
      </c>
      <c r="AN68" s="29">
        <f t="shared" si="13"/>
        <v>56</v>
      </c>
      <c r="AO68" s="1">
        <f t="shared" si="14"/>
        <v>0</v>
      </c>
    </row>
    <row r="69" spans="1:41" ht="15.9">
      <c r="A69" s="1" t="s">
        <v>152</v>
      </c>
      <c r="B69" s="1" t="s">
        <v>64</v>
      </c>
      <c r="C69" s="291" t="s">
        <v>21</v>
      </c>
      <c r="D69" s="86">
        <v>0</v>
      </c>
      <c r="E69" s="31"/>
      <c r="F69" s="89"/>
      <c r="G69" s="89"/>
      <c r="H69" s="89" t="s">
        <v>301</v>
      </c>
      <c r="I69" s="89"/>
      <c r="J69" s="89"/>
      <c r="K69" s="33"/>
      <c r="L69" s="33"/>
      <c r="M69" s="89"/>
      <c r="N69" s="89"/>
      <c r="O69" s="89" t="s">
        <v>113</v>
      </c>
      <c r="P69" s="89"/>
      <c r="Q69" s="89"/>
      <c r="R69" s="33" t="s">
        <v>301</v>
      </c>
      <c r="S69" s="33"/>
      <c r="T69" s="89" t="s">
        <v>294</v>
      </c>
      <c r="U69" s="524" t="s">
        <v>294</v>
      </c>
      <c r="V69" s="524" t="s">
        <v>294</v>
      </c>
      <c r="W69" s="89" t="s">
        <v>294</v>
      </c>
      <c r="X69" s="89" t="s">
        <v>294</v>
      </c>
      <c r="Y69" s="33" t="s">
        <v>66</v>
      </c>
      <c r="Z69" s="33" t="s">
        <v>66</v>
      </c>
      <c r="AA69" s="89" t="s">
        <v>294</v>
      </c>
      <c r="AB69" s="89" t="s">
        <v>294</v>
      </c>
      <c r="AC69" s="89" t="s">
        <v>294</v>
      </c>
      <c r="AD69" s="89" t="s">
        <v>294</v>
      </c>
      <c r="AE69" s="89" t="s">
        <v>294</v>
      </c>
      <c r="AF69" s="33" t="s">
        <v>66</v>
      </c>
      <c r="AG69" s="33" t="s">
        <v>66</v>
      </c>
      <c r="AH69" s="89" t="s">
        <v>294</v>
      </c>
      <c r="AI69" s="525" t="s">
        <v>294</v>
      </c>
      <c r="AJ69" s="26" t="e">
        <f>_xlfn.CONCAT(#REF!,#REF!)</f>
        <v>#REF!</v>
      </c>
      <c r="AK69" s="27">
        <f t="shared" si="15"/>
        <v>-48</v>
      </c>
      <c r="AL69" s="28">
        <f t="shared" si="11"/>
        <v>24</v>
      </c>
      <c r="AM69">
        <f t="shared" si="12"/>
        <v>0</v>
      </c>
      <c r="AN69" s="29">
        <f t="shared" si="13"/>
        <v>96</v>
      </c>
      <c r="AO69" s="1">
        <f t="shared" si="14"/>
        <v>0</v>
      </c>
    </row>
    <row r="70" spans="1:41" ht="15.9">
      <c r="A70" s="1" t="s">
        <v>155</v>
      </c>
      <c r="B70" s="1" t="s">
        <v>59</v>
      </c>
      <c r="C70" s="290" t="s">
        <v>22</v>
      </c>
      <c r="D70" s="86">
        <v>97</v>
      </c>
      <c r="E70" s="31" t="s">
        <v>154</v>
      </c>
      <c r="F70" s="89" t="s">
        <v>154</v>
      </c>
      <c r="G70" s="89" t="s">
        <v>153</v>
      </c>
      <c r="H70" s="89"/>
      <c r="I70" s="89"/>
      <c r="J70" s="89"/>
      <c r="K70" s="33"/>
      <c r="L70" s="33"/>
      <c r="M70" s="89"/>
      <c r="N70" s="89"/>
      <c r="O70" s="89"/>
      <c r="P70" s="89"/>
      <c r="Q70" s="89"/>
      <c r="R70" s="33"/>
      <c r="S70" s="33"/>
      <c r="T70" s="89"/>
      <c r="U70" s="524"/>
      <c r="V70" s="524"/>
      <c r="W70" s="89" t="s">
        <v>103</v>
      </c>
      <c r="X70" s="89" t="s">
        <v>66</v>
      </c>
      <c r="Y70" s="33" t="s">
        <v>66</v>
      </c>
      <c r="Z70" s="33" t="s">
        <v>66</v>
      </c>
      <c r="AA70" s="89" t="s">
        <v>66</v>
      </c>
      <c r="AB70" s="89"/>
      <c r="AC70" s="89" t="s">
        <v>294</v>
      </c>
      <c r="AD70" s="89" t="s">
        <v>294</v>
      </c>
      <c r="AE70" s="89" t="s">
        <v>294</v>
      </c>
      <c r="AF70" s="33" t="s">
        <v>66</v>
      </c>
      <c r="AG70" s="33" t="s">
        <v>66</v>
      </c>
      <c r="AH70" s="89" t="s">
        <v>294</v>
      </c>
      <c r="AI70" s="525" t="s">
        <v>294</v>
      </c>
      <c r="AJ70" s="26" t="e">
        <f>_xlfn.CONCAT(#REF!,#REF!)</f>
        <v>#REF!</v>
      </c>
      <c r="AK70" s="27">
        <f t="shared" si="15"/>
        <v>29</v>
      </c>
      <c r="AL70" s="28">
        <f t="shared" si="11"/>
        <v>0</v>
      </c>
      <c r="AM70">
        <f t="shared" si="12"/>
        <v>60</v>
      </c>
      <c r="AN70" s="29">
        <f t="shared" si="13"/>
        <v>40</v>
      </c>
      <c r="AO70" s="1">
        <f t="shared" si="14"/>
        <v>0</v>
      </c>
    </row>
    <row r="71" spans="1:41" ht="15.9">
      <c r="A71" s="1" t="s">
        <v>155</v>
      </c>
      <c r="B71" s="1" t="s">
        <v>59</v>
      </c>
      <c r="C71" s="290" t="s">
        <v>23</v>
      </c>
      <c r="D71" s="86">
        <v>-33</v>
      </c>
      <c r="E71" s="31"/>
      <c r="F71" s="89"/>
      <c r="G71" s="89" t="s">
        <v>153</v>
      </c>
      <c r="H71" s="89" t="s">
        <v>154</v>
      </c>
      <c r="I71" s="89" t="s">
        <v>154</v>
      </c>
      <c r="J71" s="89" t="s">
        <v>95</v>
      </c>
      <c r="K71" s="33" t="s">
        <v>95</v>
      </c>
      <c r="L71" s="33" t="s">
        <v>95</v>
      </c>
      <c r="M71" s="89" t="s">
        <v>95</v>
      </c>
      <c r="N71" s="89" t="s">
        <v>92</v>
      </c>
      <c r="O71" s="89" t="s">
        <v>294</v>
      </c>
      <c r="P71" s="89" t="s">
        <v>294</v>
      </c>
      <c r="Q71" s="89" t="s">
        <v>294</v>
      </c>
      <c r="R71" s="33" t="s">
        <v>66</v>
      </c>
      <c r="S71" s="33" t="s">
        <v>66</v>
      </c>
      <c r="T71" s="89" t="s">
        <v>294</v>
      </c>
      <c r="U71" s="524" t="s">
        <v>294</v>
      </c>
      <c r="V71" s="524" t="s">
        <v>294</v>
      </c>
      <c r="W71" s="89" t="s">
        <v>294</v>
      </c>
      <c r="X71" s="89" t="s">
        <v>294</v>
      </c>
      <c r="Y71" s="33" t="s">
        <v>66</v>
      </c>
      <c r="Z71" s="33" t="s">
        <v>66</v>
      </c>
      <c r="AA71" s="89" t="s">
        <v>294</v>
      </c>
      <c r="AB71" s="89" t="s">
        <v>294</v>
      </c>
      <c r="AC71" s="89" t="s">
        <v>294</v>
      </c>
      <c r="AD71" s="89" t="s">
        <v>294</v>
      </c>
      <c r="AE71" s="89" t="s">
        <v>294</v>
      </c>
      <c r="AF71" s="33" t="s">
        <v>66</v>
      </c>
      <c r="AG71" s="33" t="s">
        <v>66</v>
      </c>
      <c r="AH71" s="89" t="s">
        <v>294</v>
      </c>
      <c r="AI71" s="525" t="s">
        <v>294</v>
      </c>
      <c r="AJ71" s="26" t="e">
        <f>_xlfn.CONCAT(#REF!,#REF!)</f>
        <v>#REF!</v>
      </c>
      <c r="AK71" s="27">
        <f t="shared" si="15"/>
        <v>87</v>
      </c>
      <c r="AL71" s="28">
        <f t="shared" si="11"/>
        <v>0</v>
      </c>
      <c r="AM71">
        <f t="shared" si="12"/>
        <v>168</v>
      </c>
      <c r="AN71" s="29">
        <f t="shared" si="13"/>
        <v>120</v>
      </c>
      <c r="AO71" s="1">
        <f t="shared" si="14"/>
        <v>0</v>
      </c>
    </row>
    <row r="72" spans="1:41" ht="15.9">
      <c r="A72" s="1" t="s">
        <v>155</v>
      </c>
      <c r="B72" s="1" t="s">
        <v>64</v>
      </c>
      <c r="C72" s="290" t="s">
        <v>24</v>
      </c>
      <c r="D72" s="86">
        <v>12.5</v>
      </c>
      <c r="E72" s="31" t="s">
        <v>66</v>
      </c>
      <c r="F72" s="89" t="s">
        <v>294</v>
      </c>
      <c r="G72" s="89" t="s">
        <v>294</v>
      </c>
      <c r="H72" s="89" t="s">
        <v>294</v>
      </c>
      <c r="I72" s="89" t="s">
        <v>294</v>
      </c>
      <c r="J72" s="89" t="s">
        <v>294</v>
      </c>
      <c r="K72" s="33" t="s">
        <v>66</v>
      </c>
      <c r="L72" s="33" t="s">
        <v>66</v>
      </c>
      <c r="M72" s="89" t="s">
        <v>294</v>
      </c>
      <c r="N72" s="89" t="s">
        <v>294</v>
      </c>
      <c r="O72" s="89" t="s">
        <v>294</v>
      </c>
      <c r="P72" s="89" t="s">
        <v>294</v>
      </c>
      <c r="Q72" s="89" t="s">
        <v>294</v>
      </c>
      <c r="R72" s="33"/>
      <c r="S72" s="33"/>
      <c r="T72" s="89"/>
      <c r="U72" s="524"/>
      <c r="V72" s="524"/>
      <c r="W72" s="89"/>
      <c r="X72" s="89"/>
      <c r="Y72" s="33"/>
      <c r="Z72" s="33"/>
      <c r="AA72" s="89"/>
      <c r="AB72" s="89" t="s">
        <v>92</v>
      </c>
      <c r="AC72" s="89" t="s">
        <v>95</v>
      </c>
      <c r="AD72" s="89" t="s">
        <v>95</v>
      </c>
      <c r="AE72" s="89" t="s">
        <v>95</v>
      </c>
      <c r="AF72" s="33" t="s">
        <v>95</v>
      </c>
      <c r="AG72" s="33" t="s">
        <v>95</v>
      </c>
      <c r="AH72" s="89" t="s">
        <v>95</v>
      </c>
      <c r="AI72" s="525" t="s">
        <v>92</v>
      </c>
      <c r="AJ72" s="26" t="e">
        <f>_xlfn.CONCAT(#REF!,#REF!)</f>
        <v>#REF!</v>
      </c>
      <c r="AK72" s="27">
        <f t="shared" si="15"/>
        <v>92.5</v>
      </c>
      <c r="AL72" s="28">
        <f t="shared" si="11"/>
        <v>0</v>
      </c>
      <c r="AM72">
        <f t="shared" si="12"/>
        <v>168</v>
      </c>
      <c r="AN72" s="29">
        <f t="shared" si="13"/>
        <v>80</v>
      </c>
      <c r="AO72" s="1">
        <f t="shared" si="14"/>
        <v>0</v>
      </c>
    </row>
    <row r="73" spans="1:41" ht="15.9">
      <c r="A73" s="1" t="s">
        <v>152</v>
      </c>
      <c r="B73" s="1" t="s">
        <v>73</v>
      </c>
      <c r="C73" s="291" t="s">
        <v>25</v>
      </c>
      <c r="D73" s="86">
        <v>65.5</v>
      </c>
      <c r="E73" s="31"/>
      <c r="F73" s="89"/>
      <c r="G73" s="89"/>
      <c r="H73" s="89"/>
      <c r="I73" s="89"/>
      <c r="J73" s="89"/>
      <c r="K73" s="33"/>
      <c r="L73" s="33" t="s">
        <v>301</v>
      </c>
      <c r="M73" s="89"/>
      <c r="N73" s="89"/>
      <c r="O73" s="89"/>
      <c r="P73" s="89"/>
      <c r="Q73" s="89"/>
      <c r="R73" s="33" t="s">
        <v>113</v>
      </c>
      <c r="S73" s="33"/>
      <c r="T73" s="89"/>
      <c r="U73" s="524"/>
      <c r="V73" s="524"/>
      <c r="W73" s="89"/>
      <c r="X73" s="89"/>
      <c r="Y73" s="33"/>
      <c r="Z73" s="33"/>
      <c r="AA73" s="89" t="s">
        <v>75</v>
      </c>
      <c r="AB73" s="89" t="s">
        <v>75</v>
      </c>
      <c r="AC73" s="89" t="s">
        <v>75</v>
      </c>
      <c r="AD73" s="89" t="s">
        <v>75</v>
      </c>
      <c r="AE73" s="89" t="s">
        <v>75</v>
      </c>
      <c r="AF73" s="33" t="s">
        <v>66</v>
      </c>
      <c r="AG73" s="33" t="s">
        <v>66</v>
      </c>
      <c r="AH73" s="89" t="s">
        <v>75</v>
      </c>
      <c r="AI73" s="525" t="s">
        <v>75</v>
      </c>
      <c r="AJ73" s="26" t="e">
        <f>_xlfn.CONCAT(#REF!,#REF!)</f>
        <v>#REF!</v>
      </c>
      <c r="AK73" s="27">
        <f t="shared" si="15"/>
        <v>-22.5</v>
      </c>
      <c r="AL73" s="28">
        <f t="shared" si="11"/>
        <v>24</v>
      </c>
      <c r="AM73">
        <f t="shared" si="12"/>
        <v>0</v>
      </c>
      <c r="AN73" s="29">
        <f t="shared" si="13"/>
        <v>56</v>
      </c>
      <c r="AO73" s="1">
        <f t="shared" si="14"/>
        <v>0</v>
      </c>
    </row>
    <row r="74" spans="1:41" ht="15.9">
      <c r="A74" s="1" t="s">
        <v>155</v>
      </c>
      <c r="B74" s="1" t="s">
        <v>59</v>
      </c>
      <c r="C74" s="290" t="s">
        <v>26</v>
      </c>
      <c r="D74" s="86">
        <v>35.5</v>
      </c>
      <c r="E74" s="31" t="s">
        <v>66</v>
      </c>
      <c r="F74" s="89" t="s">
        <v>294</v>
      </c>
      <c r="G74" s="89" t="s">
        <v>294</v>
      </c>
      <c r="H74" s="89" t="s">
        <v>294</v>
      </c>
      <c r="I74" s="89" t="s">
        <v>294</v>
      </c>
      <c r="J74" s="89" t="s">
        <v>294</v>
      </c>
      <c r="K74" s="33" t="s">
        <v>66</v>
      </c>
      <c r="L74" s="33" t="s">
        <v>66</v>
      </c>
      <c r="M74" s="89" t="s">
        <v>294</v>
      </c>
      <c r="N74" s="89" t="s">
        <v>294</v>
      </c>
      <c r="O74" s="89" t="s">
        <v>294</v>
      </c>
      <c r="P74" s="89"/>
      <c r="Q74" s="89"/>
      <c r="R74" s="33"/>
      <c r="S74" s="33"/>
      <c r="T74" s="89"/>
      <c r="U74" s="524"/>
      <c r="V74" s="524"/>
      <c r="W74" s="89"/>
      <c r="X74" s="89"/>
      <c r="Y74" s="33"/>
      <c r="Z74" s="33"/>
      <c r="AA74" s="89"/>
      <c r="AB74" s="89" t="s">
        <v>92</v>
      </c>
      <c r="AC74" s="89" t="s">
        <v>95</v>
      </c>
      <c r="AD74" s="89" t="s">
        <v>95</v>
      </c>
      <c r="AE74" s="89" t="s">
        <v>95</v>
      </c>
      <c r="AF74" s="33" t="s">
        <v>95</v>
      </c>
      <c r="AG74" s="33" t="s">
        <v>95</v>
      </c>
      <c r="AH74" s="89" t="s">
        <v>95</v>
      </c>
      <c r="AI74" s="525" t="s">
        <v>92</v>
      </c>
      <c r="AJ74" s="26" t="e">
        <f>_xlfn.CONCAT(#REF!,#REF!)</f>
        <v>#REF!</v>
      </c>
      <c r="AK74" s="27">
        <f t="shared" si="15"/>
        <v>99.5</v>
      </c>
      <c r="AL74" s="28">
        <f t="shared" si="11"/>
        <v>0</v>
      </c>
      <c r="AM74">
        <f t="shared" si="12"/>
        <v>168</v>
      </c>
      <c r="AN74" s="29">
        <f t="shared" si="13"/>
        <v>64</v>
      </c>
      <c r="AO74" s="1">
        <f t="shared" si="14"/>
        <v>0</v>
      </c>
    </row>
    <row r="75" spans="1:41" ht="15.9">
      <c r="A75" s="1" t="s">
        <v>152</v>
      </c>
      <c r="B75" s="1" t="s">
        <v>73</v>
      </c>
      <c r="C75" s="291" t="s">
        <v>27</v>
      </c>
      <c r="D75" s="86">
        <v>-28</v>
      </c>
      <c r="E75" s="31"/>
      <c r="F75" s="89"/>
      <c r="G75" s="89"/>
      <c r="H75" s="89" t="s">
        <v>294</v>
      </c>
      <c r="I75" s="89" t="s">
        <v>294</v>
      </c>
      <c r="J75" s="89" t="s">
        <v>294</v>
      </c>
      <c r="K75" s="33" t="s">
        <v>66</v>
      </c>
      <c r="L75" s="33" t="s">
        <v>66</v>
      </c>
      <c r="M75" s="89" t="s">
        <v>294</v>
      </c>
      <c r="N75" s="89" t="s">
        <v>294</v>
      </c>
      <c r="O75" s="89" t="s">
        <v>294</v>
      </c>
      <c r="P75" s="89" t="s">
        <v>294</v>
      </c>
      <c r="Q75" s="89" t="s">
        <v>294</v>
      </c>
      <c r="R75" s="33" t="s">
        <v>66</v>
      </c>
      <c r="S75" s="33" t="s">
        <v>66</v>
      </c>
      <c r="T75" s="89" t="s">
        <v>294</v>
      </c>
      <c r="U75" s="524"/>
      <c r="V75" s="524"/>
      <c r="W75" s="89">
        <v>18</v>
      </c>
      <c r="X75" s="89" t="s">
        <v>98</v>
      </c>
      <c r="Y75" s="33">
        <v>15</v>
      </c>
      <c r="Z75" s="33"/>
      <c r="AA75" s="89"/>
      <c r="AB75" s="89"/>
      <c r="AC75" s="89"/>
      <c r="AD75" s="89"/>
      <c r="AE75" s="89"/>
      <c r="AF75" s="33"/>
      <c r="AG75" s="33"/>
      <c r="AH75" s="89"/>
      <c r="AI75" s="525" t="s">
        <v>301</v>
      </c>
      <c r="AJ75" s="26" t="e">
        <f>_xlfn.CONCAT(#REF!,#REF!)</f>
        <v>#REF!</v>
      </c>
      <c r="AK75" s="27">
        <f t="shared" si="15"/>
        <v>-67</v>
      </c>
      <c r="AL75" s="28">
        <f t="shared" si="11"/>
        <v>0</v>
      </c>
      <c r="AM75">
        <f t="shared" si="12"/>
        <v>24</v>
      </c>
      <c r="AN75" s="29">
        <f t="shared" si="13"/>
        <v>105</v>
      </c>
      <c r="AO75" s="1">
        <f t="shared" si="14"/>
        <v>0</v>
      </c>
    </row>
    <row r="76" spans="1:41" ht="15.9">
      <c r="A76" s="1" t="s">
        <v>155</v>
      </c>
      <c r="B76" s="1" t="s">
        <v>93</v>
      </c>
      <c r="C76" s="290" t="s">
        <v>28</v>
      </c>
      <c r="D76" s="86">
        <v>40</v>
      </c>
      <c r="E76" s="31" t="s">
        <v>66</v>
      </c>
      <c r="F76" s="89" t="s">
        <v>294</v>
      </c>
      <c r="G76" s="89" t="s">
        <v>294</v>
      </c>
      <c r="H76" s="89" t="s">
        <v>294</v>
      </c>
      <c r="I76" s="89" t="s">
        <v>294</v>
      </c>
      <c r="J76" s="89" t="s">
        <v>294</v>
      </c>
      <c r="K76" s="33" t="s">
        <v>66</v>
      </c>
      <c r="L76" s="33" t="s">
        <v>66</v>
      </c>
      <c r="M76" s="89" t="s">
        <v>294</v>
      </c>
      <c r="N76" s="89" t="s">
        <v>294</v>
      </c>
      <c r="O76" s="89" t="s">
        <v>294</v>
      </c>
      <c r="P76" s="89" t="s">
        <v>294</v>
      </c>
      <c r="Q76" s="89" t="s">
        <v>294</v>
      </c>
      <c r="R76" s="33" t="s">
        <v>66</v>
      </c>
      <c r="S76" s="33" t="s">
        <v>66</v>
      </c>
      <c r="T76" s="89" t="s">
        <v>294</v>
      </c>
      <c r="U76" s="524" t="s">
        <v>294</v>
      </c>
      <c r="V76" s="524" t="s">
        <v>294</v>
      </c>
      <c r="W76" s="89" t="s">
        <v>294</v>
      </c>
      <c r="X76" s="89" t="s">
        <v>294</v>
      </c>
      <c r="Y76" s="33"/>
      <c r="Z76" s="33"/>
      <c r="AA76" s="89"/>
      <c r="AB76" s="89" t="s">
        <v>92</v>
      </c>
      <c r="AC76" s="89" t="s">
        <v>95</v>
      </c>
      <c r="AD76" s="89" t="s">
        <v>95</v>
      </c>
      <c r="AE76" s="89" t="s">
        <v>95</v>
      </c>
      <c r="AF76" s="33" t="s">
        <v>95</v>
      </c>
      <c r="AG76" s="33" t="s">
        <v>95</v>
      </c>
      <c r="AH76" s="89" t="s">
        <v>95</v>
      </c>
      <c r="AI76" s="525" t="s">
        <v>92</v>
      </c>
      <c r="AJ76" s="26" t="e">
        <f>_xlfn.CONCAT(#REF!,#REF!)</f>
        <v>#REF!</v>
      </c>
      <c r="AK76" s="27">
        <f t="shared" si="15"/>
        <v>160</v>
      </c>
      <c r="AL76" s="28">
        <f t="shared" si="11"/>
        <v>0</v>
      </c>
      <c r="AM76">
        <f t="shared" si="12"/>
        <v>168</v>
      </c>
      <c r="AN76" s="29">
        <f t="shared" si="13"/>
        <v>120</v>
      </c>
      <c r="AO76" s="1">
        <f t="shared" si="14"/>
        <v>0</v>
      </c>
    </row>
    <row r="77" spans="1:41" ht="15.9">
      <c r="A77" s="1" t="s">
        <v>152</v>
      </c>
      <c r="B77" s="1" t="s">
        <v>59</v>
      </c>
      <c r="C77" s="291" t="s">
        <v>160</v>
      </c>
      <c r="D77" s="86">
        <v>41.5</v>
      </c>
      <c r="E77" s="31"/>
      <c r="F77" s="89"/>
      <c r="G77" s="89"/>
      <c r="H77" s="89"/>
      <c r="I77" s="89"/>
      <c r="J77" s="89" t="s">
        <v>69</v>
      </c>
      <c r="K77" s="33" t="s">
        <v>70</v>
      </c>
      <c r="L77" s="33" t="s">
        <v>70</v>
      </c>
      <c r="M77" s="89" t="s">
        <v>69</v>
      </c>
      <c r="N77" s="89"/>
      <c r="O77" s="89"/>
      <c r="P77" s="89" t="s">
        <v>257</v>
      </c>
      <c r="Q77" s="89" t="s">
        <v>257</v>
      </c>
      <c r="R77" s="33"/>
      <c r="S77" s="33"/>
      <c r="T77" s="89"/>
      <c r="U77" s="524"/>
      <c r="V77" s="524" t="s">
        <v>113</v>
      </c>
      <c r="W77" s="89"/>
      <c r="X77" s="89"/>
      <c r="Y77" s="33"/>
      <c r="Z77" s="33"/>
      <c r="AA77" s="89"/>
      <c r="AB77" s="89" t="s">
        <v>113</v>
      </c>
      <c r="AC77" s="89"/>
      <c r="AD77" s="89"/>
      <c r="AE77" s="89"/>
      <c r="AF77" s="33"/>
      <c r="AG77" s="33"/>
      <c r="AH77" s="89"/>
      <c r="AI77" s="525" t="s">
        <v>113</v>
      </c>
      <c r="AJ77" s="26" t="e">
        <f>_xlfn.CONCAT(#REF!,#REF!)</f>
        <v>#REF!</v>
      </c>
      <c r="AK77" s="27">
        <f t="shared" si="15"/>
        <v>17.5</v>
      </c>
      <c r="AL77" s="28">
        <f t="shared" si="11"/>
        <v>72</v>
      </c>
      <c r="AM77">
        <f t="shared" si="12"/>
        <v>72</v>
      </c>
      <c r="AN77" s="29">
        <f t="shared" si="13"/>
        <v>0</v>
      </c>
      <c r="AO77" s="1">
        <f t="shared" si="14"/>
        <v>0</v>
      </c>
    </row>
    <row r="78" spans="1:41" ht="15.9">
      <c r="A78" s="1" t="s">
        <v>155</v>
      </c>
      <c r="B78" s="1" t="s">
        <v>73</v>
      </c>
      <c r="C78" s="290" t="s">
        <v>29</v>
      </c>
      <c r="D78" s="86">
        <v>-17</v>
      </c>
      <c r="E78" s="31"/>
      <c r="F78" s="89"/>
      <c r="G78" s="89" t="s">
        <v>153</v>
      </c>
      <c r="H78" s="89" t="s">
        <v>154</v>
      </c>
      <c r="I78" s="89" t="s">
        <v>154</v>
      </c>
      <c r="J78" s="89" t="s">
        <v>154</v>
      </c>
      <c r="K78" s="33" t="s">
        <v>154</v>
      </c>
      <c r="L78" s="33" t="s">
        <v>154</v>
      </c>
      <c r="M78" s="89" t="s">
        <v>154</v>
      </c>
      <c r="N78" s="89" t="s">
        <v>153</v>
      </c>
      <c r="O78" s="89" t="s">
        <v>66</v>
      </c>
      <c r="P78" s="89" t="s">
        <v>66</v>
      </c>
      <c r="Q78" s="89" t="s">
        <v>66</v>
      </c>
      <c r="R78" s="33" t="s">
        <v>66</v>
      </c>
      <c r="S78" s="33" t="s">
        <v>66</v>
      </c>
      <c r="T78" s="89" t="s">
        <v>66</v>
      </c>
      <c r="U78" s="524" t="s">
        <v>66</v>
      </c>
      <c r="V78" s="524"/>
      <c r="W78" s="89"/>
      <c r="X78" s="89"/>
      <c r="Y78" s="33"/>
      <c r="Z78" s="33"/>
      <c r="AA78" s="89"/>
      <c r="AB78" s="89" t="s">
        <v>294</v>
      </c>
      <c r="AC78" s="89" t="s">
        <v>294</v>
      </c>
      <c r="AD78" s="89" t="s">
        <v>294</v>
      </c>
      <c r="AE78" s="89" t="s">
        <v>294</v>
      </c>
      <c r="AF78" s="33" t="s">
        <v>66</v>
      </c>
      <c r="AG78" s="33" t="s">
        <v>66</v>
      </c>
      <c r="AH78" s="89" t="s">
        <v>294</v>
      </c>
      <c r="AI78" s="525" t="s">
        <v>294</v>
      </c>
      <c r="AJ78" s="26" t="e">
        <f>_xlfn.CONCAT(#REF!,#REF!)</f>
        <v>#REF!</v>
      </c>
      <c r="AK78" s="27">
        <f t="shared" si="15"/>
        <v>31</v>
      </c>
      <c r="AL78" s="28">
        <f t="shared" si="11"/>
        <v>0</v>
      </c>
      <c r="AM78">
        <f t="shared" si="12"/>
        <v>168</v>
      </c>
      <c r="AN78" s="29">
        <f t="shared" si="13"/>
        <v>48</v>
      </c>
      <c r="AO78" s="1">
        <f t="shared" si="14"/>
        <v>0</v>
      </c>
    </row>
    <row r="79" spans="1:41" ht="15.9">
      <c r="A79" s="1" t="s">
        <v>155</v>
      </c>
      <c r="B79" s="1" t="s">
        <v>59</v>
      </c>
      <c r="C79" s="290" t="s">
        <v>30</v>
      </c>
      <c r="D79" s="86">
        <v>-32</v>
      </c>
      <c r="E79" s="31"/>
      <c r="F79" s="89"/>
      <c r="G79" s="89"/>
      <c r="H79" s="89"/>
      <c r="I79" s="89"/>
      <c r="J79" s="89"/>
      <c r="K79" s="33"/>
      <c r="L79" s="33"/>
      <c r="M79" s="89"/>
      <c r="N79" s="89"/>
      <c r="O79" s="89"/>
      <c r="P79" s="89"/>
      <c r="Q79" s="89"/>
      <c r="R79" s="33"/>
      <c r="S79" s="33"/>
      <c r="T79" s="89"/>
      <c r="U79" s="524" t="s">
        <v>153</v>
      </c>
      <c r="V79" s="524" t="s">
        <v>154</v>
      </c>
      <c r="W79" s="89" t="s">
        <v>154</v>
      </c>
      <c r="X79" s="89" t="s">
        <v>154</v>
      </c>
      <c r="Y79" s="33" t="s">
        <v>154</v>
      </c>
      <c r="Z79" s="33" t="s">
        <v>154</v>
      </c>
      <c r="AA79" s="89" t="s">
        <v>154</v>
      </c>
      <c r="AB79" s="89" t="s">
        <v>153</v>
      </c>
      <c r="AC79" s="89"/>
      <c r="AD79" s="89"/>
      <c r="AE79" s="89"/>
      <c r="AF79" s="33"/>
      <c r="AG79" s="33"/>
      <c r="AH79" s="89"/>
      <c r="AI79" s="525" t="s">
        <v>92</v>
      </c>
      <c r="AJ79" s="26" t="e">
        <f>_xlfn.CONCAT(#REF!,#REF!)</f>
        <v>#REF!</v>
      </c>
      <c r="AK79" s="27">
        <f t="shared" si="15"/>
        <v>-20</v>
      </c>
      <c r="AL79" s="28">
        <f t="shared" si="11"/>
        <v>0</v>
      </c>
      <c r="AM79">
        <f t="shared" si="12"/>
        <v>180</v>
      </c>
      <c r="AN79" s="29">
        <f t="shared" si="13"/>
        <v>0</v>
      </c>
      <c r="AO79" s="1">
        <f t="shared" si="14"/>
        <v>0</v>
      </c>
    </row>
    <row r="80" spans="1:41" ht="15.9">
      <c r="A80" s="1" t="s">
        <v>155</v>
      </c>
      <c r="B80" s="1" t="s">
        <v>73</v>
      </c>
      <c r="C80" s="290" t="s">
        <v>31</v>
      </c>
      <c r="D80" s="86">
        <v>59.5</v>
      </c>
      <c r="E80" s="31"/>
      <c r="F80" s="89"/>
      <c r="G80" s="89"/>
      <c r="H80" s="89"/>
      <c r="I80" s="89"/>
      <c r="J80" s="89" t="s">
        <v>69</v>
      </c>
      <c r="K80" s="33" t="s">
        <v>70</v>
      </c>
      <c r="L80" s="33" t="s">
        <v>70</v>
      </c>
      <c r="M80" s="89" t="s">
        <v>69</v>
      </c>
      <c r="N80" s="89"/>
      <c r="O80" s="89"/>
      <c r="P80" s="89"/>
      <c r="Q80" s="89" t="s">
        <v>92</v>
      </c>
      <c r="R80" s="33" t="s">
        <v>95</v>
      </c>
      <c r="S80" s="33" t="s">
        <v>95</v>
      </c>
      <c r="T80" s="89" t="s">
        <v>95</v>
      </c>
      <c r="U80" s="524" t="s">
        <v>92</v>
      </c>
      <c r="V80" s="524" t="s">
        <v>294</v>
      </c>
      <c r="W80" s="89" t="s">
        <v>294</v>
      </c>
      <c r="X80" s="89" t="s">
        <v>294</v>
      </c>
      <c r="Y80" s="33" t="s">
        <v>66</v>
      </c>
      <c r="Z80" s="33" t="s">
        <v>66</v>
      </c>
      <c r="AA80" s="89" t="s">
        <v>294</v>
      </c>
      <c r="AB80" s="89" t="s">
        <v>294</v>
      </c>
      <c r="AC80" s="89" t="s">
        <v>294</v>
      </c>
      <c r="AD80" s="89" t="s">
        <v>294</v>
      </c>
      <c r="AE80" s="89" t="s">
        <v>294</v>
      </c>
      <c r="AF80" s="33" t="s">
        <v>66</v>
      </c>
      <c r="AG80" s="33" t="s">
        <v>66</v>
      </c>
      <c r="AH80" s="89" t="s">
        <v>294</v>
      </c>
      <c r="AI80" s="525" t="s">
        <v>294</v>
      </c>
      <c r="AJ80" s="26" t="e">
        <f>_xlfn.CONCAT(#REF!,#REF!)</f>
        <v>#REF!</v>
      </c>
      <c r="AK80" s="27">
        <f t="shared" si="15"/>
        <v>139.5</v>
      </c>
      <c r="AL80" s="28">
        <f t="shared" si="11"/>
        <v>0</v>
      </c>
      <c r="AM80">
        <f t="shared" si="12"/>
        <v>168</v>
      </c>
      <c r="AN80" s="29">
        <f t="shared" si="13"/>
        <v>80</v>
      </c>
      <c r="AO80" s="1">
        <f t="shared" si="14"/>
        <v>0</v>
      </c>
    </row>
    <row r="81" spans="1:44" ht="15.9">
      <c r="A81" s="1" t="s">
        <v>157</v>
      </c>
      <c r="B81" s="1" t="s">
        <v>64</v>
      </c>
      <c r="C81" s="292" t="s">
        <v>32</v>
      </c>
      <c r="D81" s="86">
        <v>88</v>
      </c>
      <c r="E81" s="31"/>
      <c r="F81" s="89" t="s">
        <v>294</v>
      </c>
      <c r="G81" s="89" t="s">
        <v>294</v>
      </c>
      <c r="H81" s="89" t="s">
        <v>294</v>
      </c>
      <c r="I81" s="89" t="s">
        <v>294</v>
      </c>
      <c r="J81" s="89" t="s">
        <v>294</v>
      </c>
      <c r="K81" s="33" t="s">
        <v>66</v>
      </c>
      <c r="L81" s="33" t="s">
        <v>66</v>
      </c>
      <c r="M81" s="89" t="s">
        <v>294</v>
      </c>
      <c r="N81" s="89" t="s">
        <v>294</v>
      </c>
      <c r="O81" s="89" t="s">
        <v>294</v>
      </c>
      <c r="P81" s="89" t="s">
        <v>294</v>
      </c>
      <c r="Q81" s="89" t="s">
        <v>294</v>
      </c>
      <c r="R81" s="33" t="s">
        <v>66</v>
      </c>
      <c r="S81" s="33" t="s">
        <v>66</v>
      </c>
      <c r="T81" s="89" t="s">
        <v>294</v>
      </c>
      <c r="U81" s="524" t="s">
        <v>294</v>
      </c>
      <c r="V81" s="524" t="s">
        <v>294</v>
      </c>
      <c r="W81" s="89" t="s">
        <v>294</v>
      </c>
      <c r="X81" s="89" t="s">
        <v>294</v>
      </c>
      <c r="Y81" s="33" t="s">
        <v>66</v>
      </c>
      <c r="Z81" s="33" t="s">
        <v>66</v>
      </c>
      <c r="AA81" s="89" t="s">
        <v>294</v>
      </c>
      <c r="AB81" s="89"/>
      <c r="AC81" s="89"/>
      <c r="AD81" s="89"/>
      <c r="AE81" s="89"/>
      <c r="AF81" s="33"/>
      <c r="AG81" s="33"/>
      <c r="AH81" s="89"/>
      <c r="AI81" s="525"/>
      <c r="AJ81" s="26" t="e">
        <f>_xlfn.CONCAT(#REF!,#REF!)</f>
        <v>#REF!</v>
      </c>
      <c r="AK81" s="27">
        <f t="shared" si="15"/>
        <v>48</v>
      </c>
      <c r="AL81" s="28">
        <f t="shared" si="11"/>
        <v>0</v>
      </c>
      <c r="AM81">
        <f t="shared" si="12"/>
        <v>0</v>
      </c>
      <c r="AN81" s="29">
        <f t="shared" si="13"/>
        <v>128</v>
      </c>
      <c r="AO81" s="1">
        <f t="shared" si="14"/>
        <v>0</v>
      </c>
    </row>
    <row r="82" spans="1:44" ht="15.9">
      <c r="A82" s="1" t="s">
        <v>155</v>
      </c>
      <c r="B82" s="1" t="s">
        <v>73</v>
      </c>
      <c r="C82" s="298" t="s">
        <v>33</v>
      </c>
      <c r="D82" s="86">
        <v>-8</v>
      </c>
      <c r="E82" s="31"/>
      <c r="F82" s="89" t="s">
        <v>69</v>
      </c>
      <c r="G82" s="89" t="s">
        <v>70</v>
      </c>
      <c r="H82" s="89" t="s">
        <v>70</v>
      </c>
      <c r="I82" s="89" t="s">
        <v>70</v>
      </c>
      <c r="J82" s="89" t="s">
        <v>69</v>
      </c>
      <c r="K82" s="33"/>
      <c r="L82" s="33"/>
      <c r="M82" s="89"/>
      <c r="N82" s="89"/>
      <c r="O82" s="89"/>
      <c r="P82" s="89"/>
      <c r="Q82" s="89" t="s">
        <v>301</v>
      </c>
      <c r="R82" s="33"/>
      <c r="S82" s="33"/>
      <c r="T82" s="89"/>
      <c r="U82" s="524"/>
      <c r="V82" s="524"/>
      <c r="W82" s="89">
        <v>18</v>
      </c>
      <c r="X82" s="89" t="s">
        <v>98</v>
      </c>
      <c r="Y82" s="33">
        <v>15</v>
      </c>
      <c r="Z82" s="33"/>
      <c r="AA82" s="89"/>
      <c r="AB82" s="89"/>
      <c r="AC82" s="89"/>
      <c r="AD82" s="89"/>
      <c r="AE82" s="89"/>
      <c r="AF82" s="33"/>
      <c r="AG82" s="33"/>
      <c r="AH82" s="89"/>
      <c r="AI82" s="525"/>
      <c r="AJ82" s="26" t="e">
        <f>_xlfn.CONCAT(#REF!,#REF!)</f>
        <v>#REF!</v>
      </c>
      <c r="AK82" s="27">
        <f t="shared" si="15"/>
        <v>-23</v>
      </c>
      <c r="AL82" s="28">
        <f t="shared" si="11"/>
        <v>0</v>
      </c>
      <c r="AM82">
        <f t="shared" si="12"/>
        <v>120</v>
      </c>
      <c r="AN82" s="29">
        <f t="shared" si="13"/>
        <v>33</v>
      </c>
      <c r="AO82" s="1">
        <f t="shared" si="14"/>
        <v>0</v>
      </c>
    </row>
    <row r="83" spans="1:44" ht="15.9">
      <c r="A83" s="1" t="s">
        <v>152</v>
      </c>
      <c r="B83" s="1" t="s">
        <v>64</v>
      </c>
      <c r="C83" s="292" t="s">
        <v>34</v>
      </c>
      <c r="D83" s="86">
        <v>101</v>
      </c>
      <c r="E83" s="31" t="s">
        <v>154</v>
      </c>
      <c r="F83" s="89" t="s">
        <v>154</v>
      </c>
      <c r="G83" s="89" t="s">
        <v>153</v>
      </c>
      <c r="H83" s="89"/>
      <c r="I83" s="89"/>
      <c r="J83" s="89"/>
      <c r="K83" s="33"/>
      <c r="L83" s="33"/>
      <c r="M83" s="89" t="s">
        <v>301</v>
      </c>
      <c r="N83" s="89"/>
      <c r="O83" s="89"/>
      <c r="P83" s="89"/>
      <c r="Q83" s="89" t="s">
        <v>92</v>
      </c>
      <c r="R83" s="33" t="s">
        <v>95</v>
      </c>
      <c r="S83" s="33" t="s">
        <v>95</v>
      </c>
      <c r="T83" s="89" t="s">
        <v>95</v>
      </c>
      <c r="U83" s="524" t="s">
        <v>92</v>
      </c>
      <c r="V83" s="524"/>
      <c r="W83" s="89"/>
      <c r="X83" s="89"/>
      <c r="Y83" s="33"/>
      <c r="Z83" s="33"/>
      <c r="AA83" s="89"/>
      <c r="AB83" s="89" t="s">
        <v>301</v>
      </c>
      <c r="AC83" s="89"/>
      <c r="AD83" s="89"/>
      <c r="AE83" s="89"/>
      <c r="AF83" s="33"/>
      <c r="AG83" s="33"/>
      <c r="AH83" s="89"/>
      <c r="AI83" s="525"/>
      <c r="AJ83" s="26" t="e">
        <f>_xlfn.CONCAT(#REF!,#REF!)</f>
        <v>#REF!</v>
      </c>
      <c r="AK83" s="27">
        <f t="shared" si="15"/>
        <v>89</v>
      </c>
      <c r="AL83" s="28">
        <f t="shared" ref="AL83:AL102" si="16">COUNTIF(E83:AI83,"D")*24+COUNTIF(E83:AI83,"12g")*12</f>
        <v>0</v>
      </c>
      <c r="AM83">
        <f t="shared" ref="AM83:AM102" si="17">SUM(COUNTIF(E83:AI83,"k")+COUNTIF(E83:AI83,"s")+COUNTIF(E83:AI83,"wse"))*24+SUM(COUNTIF(E83:AI83,"Pk")+COUNTIF(E83:AI83,"Ps"))*12</f>
        <v>156</v>
      </c>
      <c r="AN83" s="29">
        <f t="shared" ref="AN83:AN102" si="18">SUM(E83:AI83)+COUNTIF(E83:AI83,"uw")*8+COUNTIF(E83:AI83,"us")*8+COUNTIF(E83:AI83,"uz")*8</f>
        <v>0</v>
      </c>
      <c r="AO83" s="1">
        <f t="shared" ref="AO83:AO102" si="19">COUNTIF(E83:AI83,"DT")*8</f>
        <v>0</v>
      </c>
    </row>
    <row r="84" spans="1:44" ht="15.9">
      <c r="A84" s="1" t="s">
        <v>156</v>
      </c>
      <c r="B84" s="1" t="s">
        <v>64</v>
      </c>
      <c r="C84" s="292" t="s">
        <v>35</v>
      </c>
      <c r="D84" s="86">
        <v>-11</v>
      </c>
      <c r="E84" s="31"/>
      <c r="F84" s="89"/>
      <c r="G84" s="89"/>
      <c r="H84" s="89"/>
      <c r="I84" s="89"/>
      <c r="J84" s="89"/>
      <c r="K84" s="33" t="s">
        <v>331</v>
      </c>
      <c r="L84" s="33"/>
      <c r="M84" s="89" t="s">
        <v>294</v>
      </c>
      <c r="N84" s="89" t="s">
        <v>294</v>
      </c>
      <c r="O84" s="89" t="s">
        <v>294</v>
      </c>
      <c r="P84" s="89" t="s">
        <v>294</v>
      </c>
      <c r="Q84" s="89" t="s">
        <v>294</v>
      </c>
      <c r="R84" s="33" t="s">
        <v>66</v>
      </c>
      <c r="S84" s="33" t="s">
        <v>66</v>
      </c>
      <c r="T84" s="89" t="s">
        <v>294</v>
      </c>
      <c r="U84" s="524" t="s">
        <v>294</v>
      </c>
      <c r="V84" s="524" t="s">
        <v>294</v>
      </c>
      <c r="W84" s="89" t="s">
        <v>294</v>
      </c>
      <c r="X84" s="89" t="s">
        <v>294</v>
      </c>
      <c r="Y84" s="33"/>
      <c r="Z84" s="33"/>
      <c r="AA84" s="89"/>
      <c r="AB84" s="89"/>
      <c r="AC84" s="89"/>
      <c r="AD84" s="89"/>
      <c r="AE84" s="89"/>
      <c r="AF84" s="33"/>
      <c r="AG84" s="33" t="s">
        <v>113</v>
      </c>
      <c r="AH84" s="89"/>
      <c r="AI84" s="525"/>
      <c r="AJ84" s="26" t="e">
        <f>_xlfn.CONCAT(#REF!,#REF!)</f>
        <v>#REF!</v>
      </c>
      <c r="AK84" s="27">
        <f t="shared" si="15"/>
        <v>-63</v>
      </c>
      <c r="AL84" s="28">
        <f t="shared" si="16"/>
        <v>36</v>
      </c>
      <c r="AM84">
        <f t="shared" si="17"/>
        <v>0</v>
      </c>
      <c r="AN84" s="29">
        <f t="shared" si="18"/>
        <v>80</v>
      </c>
      <c r="AO84" s="1">
        <f t="shared" si="19"/>
        <v>0</v>
      </c>
    </row>
    <row r="85" spans="1:44" ht="15.9">
      <c r="A85" s="1" t="s">
        <v>156</v>
      </c>
      <c r="B85" s="1" t="s">
        <v>59</v>
      </c>
      <c r="C85" s="292" t="s">
        <v>36</v>
      </c>
      <c r="D85" s="86">
        <v>-50</v>
      </c>
      <c r="E85" s="31"/>
      <c r="F85" s="89"/>
      <c r="G85" s="89"/>
      <c r="H85" s="89"/>
      <c r="I85" s="89"/>
      <c r="J85" s="89"/>
      <c r="K85" s="33"/>
      <c r="L85" s="33"/>
      <c r="M85" s="89"/>
      <c r="N85" s="89"/>
      <c r="O85" s="89"/>
      <c r="P85" s="89"/>
      <c r="Q85" s="89"/>
      <c r="R85" s="33"/>
      <c r="S85" s="33"/>
      <c r="T85" s="89"/>
      <c r="U85" s="524"/>
      <c r="V85" s="524"/>
      <c r="W85" s="89"/>
      <c r="X85" s="89" t="s">
        <v>66</v>
      </c>
      <c r="Y85" s="33" t="s">
        <v>66</v>
      </c>
      <c r="Z85" s="33" t="s">
        <v>66</v>
      </c>
      <c r="AA85" s="89" t="s">
        <v>66</v>
      </c>
      <c r="AB85" s="89" t="s">
        <v>92</v>
      </c>
      <c r="AC85" s="89" t="s">
        <v>95</v>
      </c>
      <c r="AD85" s="89" t="s">
        <v>95</v>
      </c>
      <c r="AE85" s="89" t="s">
        <v>95</v>
      </c>
      <c r="AF85" s="33" t="s">
        <v>95</v>
      </c>
      <c r="AG85" s="33" t="s">
        <v>95</v>
      </c>
      <c r="AH85" s="89" t="s">
        <v>95</v>
      </c>
      <c r="AI85" s="525" t="s">
        <v>92</v>
      </c>
      <c r="AJ85" s="26" t="e">
        <f>_xlfn.CONCAT(#REF!,#REF!)</f>
        <v>#REF!</v>
      </c>
      <c r="AK85" s="27">
        <f t="shared" si="15"/>
        <v>-50</v>
      </c>
      <c r="AL85" s="28">
        <f t="shared" si="16"/>
        <v>0</v>
      </c>
      <c r="AM85">
        <f t="shared" si="17"/>
        <v>168</v>
      </c>
      <c r="AN85" s="29">
        <f t="shared" si="18"/>
        <v>0</v>
      </c>
      <c r="AO85" s="1">
        <f t="shared" si="19"/>
        <v>0</v>
      </c>
    </row>
    <row r="86" spans="1:44" ht="15.9">
      <c r="A86" s="1" t="s">
        <v>152</v>
      </c>
      <c r="B86" s="1" t="s">
        <v>93</v>
      </c>
      <c r="C86" s="291" t="s">
        <v>37</v>
      </c>
      <c r="D86" s="86">
        <v>14.5</v>
      </c>
      <c r="E86" s="31"/>
      <c r="F86" s="89"/>
      <c r="G86" s="89"/>
      <c r="H86" s="89"/>
      <c r="I86" s="89"/>
      <c r="J86" s="89" t="s">
        <v>69</v>
      </c>
      <c r="K86" s="33" t="s">
        <v>70</v>
      </c>
      <c r="L86" s="33" t="s">
        <v>70</v>
      </c>
      <c r="M86" s="89" t="s">
        <v>69</v>
      </c>
      <c r="N86" s="89"/>
      <c r="O86" s="89"/>
      <c r="P86" s="89"/>
      <c r="Q86" s="89" t="s">
        <v>294</v>
      </c>
      <c r="R86" s="33" t="s">
        <v>66</v>
      </c>
      <c r="S86" s="33" t="s">
        <v>66</v>
      </c>
      <c r="T86" s="89" t="s">
        <v>294</v>
      </c>
      <c r="U86" s="524" t="s">
        <v>294</v>
      </c>
      <c r="V86" s="524" t="s">
        <v>294</v>
      </c>
      <c r="W86" s="89" t="s">
        <v>294</v>
      </c>
      <c r="X86" s="89" t="s">
        <v>294</v>
      </c>
      <c r="Y86" s="33" t="s">
        <v>66</v>
      </c>
      <c r="Z86" s="33" t="s">
        <v>66</v>
      </c>
      <c r="AA86" s="89" t="s">
        <v>294</v>
      </c>
      <c r="AB86" s="89" t="s">
        <v>294</v>
      </c>
      <c r="AC86" s="89" t="s">
        <v>294</v>
      </c>
      <c r="AD86" s="89" t="s">
        <v>294</v>
      </c>
      <c r="AE86" s="89" t="s">
        <v>294</v>
      </c>
      <c r="AF86" s="33" t="s">
        <v>66</v>
      </c>
      <c r="AG86" s="33" t="s">
        <v>66</v>
      </c>
      <c r="AH86" s="89" t="s">
        <v>294</v>
      </c>
      <c r="AI86" s="525" t="s">
        <v>294</v>
      </c>
      <c r="AJ86" s="26" t="e">
        <f>_xlfn.CONCAT(#REF!,#REF!)</f>
        <v>#REF!</v>
      </c>
      <c r="AK86" s="27">
        <f t="shared" si="15"/>
        <v>22.5</v>
      </c>
      <c r="AL86" s="28">
        <f t="shared" si="16"/>
        <v>0</v>
      </c>
      <c r="AM86">
        <f t="shared" si="17"/>
        <v>72</v>
      </c>
      <c r="AN86" s="29">
        <f t="shared" si="18"/>
        <v>104</v>
      </c>
      <c r="AO86" s="1">
        <f t="shared" si="19"/>
        <v>0</v>
      </c>
    </row>
    <row r="87" spans="1:44" ht="15.9">
      <c r="A87" s="1" t="s">
        <v>152</v>
      </c>
      <c r="B87" s="1" t="s">
        <v>64</v>
      </c>
      <c r="C87" s="291" t="s">
        <v>38</v>
      </c>
      <c r="D87" s="86">
        <v>10</v>
      </c>
      <c r="E87" s="31"/>
      <c r="F87" s="89"/>
      <c r="G87" s="89"/>
      <c r="H87" s="89"/>
      <c r="I87" s="89"/>
      <c r="J87" s="89" t="s">
        <v>69</v>
      </c>
      <c r="K87" s="33" t="s">
        <v>70</v>
      </c>
      <c r="L87" s="33" t="s">
        <v>70</v>
      </c>
      <c r="M87" s="89" t="s">
        <v>69</v>
      </c>
      <c r="N87" s="89"/>
      <c r="O87" s="89"/>
      <c r="P87" s="89"/>
      <c r="Q87" s="89"/>
      <c r="R87" s="33"/>
      <c r="S87" s="33"/>
      <c r="T87" s="89"/>
      <c r="U87" s="524"/>
      <c r="V87" s="524"/>
      <c r="W87" s="89"/>
      <c r="X87" s="89"/>
      <c r="Y87" s="33"/>
      <c r="Z87" s="33" t="s">
        <v>113</v>
      </c>
      <c r="AA87" s="89"/>
      <c r="AB87" s="89"/>
      <c r="AC87" s="89"/>
      <c r="AD87" s="89"/>
      <c r="AE87" s="89"/>
      <c r="AF87" s="33"/>
      <c r="AG87" s="33"/>
      <c r="AH87" s="89"/>
      <c r="AI87" s="525" t="s">
        <v>92</v>
      </c>
      <c r="AJ87" s="26" t="e">
        <f>_xlfn.CONCAT(#REF!,#REF!)</f>
        <v>#REF!</v>
      </c>
      <c r="AK87" s="27">
        <f t="shared" si="15"/>
        <v>-50</v>
      </c>
      <c r="AL87" s="28">
        <f t="shared" si="16"/>
        <v>24</v>
      </c>
      <c r="AM87">
        <f t="shared" si="17"/>
        <v>84</v>
      </c>
      <c r="AN87" s="29">
        <f t="shared" si="18"/>
        <v>0</v>
      </c>
      <c r="AO87" s="1">
        <f t="shared" si="19"/>
        <v>0</v>
      </c>
    </row>
    <row r="88" spans="1:44" ht="15.9">
      <c r="A88" s="1" t="s">
        <v>58</v>
      </c>
      <c r="B88" s="1" t="s">
        <v>64</v>
      </c>
      <c r="C88" s="203" t="s">
        <v>161</v>
      </c>
      <c r="D88" s="86">
        <v>-53.5</v>
      </c>
      <c r="E88" s="31"/>
      <c r="F88" s="89" t="s">
        <v>294</v>
      </c>
      <c r="G88" s="89" t="s">
        <v>294</v>
      </c>
      <c r="H88" s="89" t="s">
        <v>294</v>
      </c>
      <c r="I88" s="89" t="s">
        <v>294</v>
      </c>
      <c r="J88" s="89" t="s">
        <v>294</v>
      </c>
      <c r="K88" s="33" t="s">
        <v>66</v>
      </c>
      <c r="L88" s="33" t="s">
        <v>66</v>
      </c>
      <c r="M88" s="89" t="s">
        <v>294</v>
      </c>
      <c r="N88" s="89" t="s">
        <v>294</v>
      </c>
      <c r="O88" s="89" t="s">
        <v>294</v>
      </c>
      <c r="P88" s="89" t="s">
        <v>294</v>
      </c>
      <c r="Q88" s="89" t="s">
        <v>294</v>
      </c>
      <c r="R88" s="33" t="s">
        <v>66</v>
      </c>
      <c r="S88" s="33" t="s">
        <v>66</v>
      </c>
      <c r="T88" s="89" t="s">
        <v>294</v>
      </c>
      <c r="U88" s="524" t="s">
        <v>294</v>
      </c>
      <c r="V88" s="524" t="s">
        <v>294</v>
      </c>
      <c r="W88" s="89" t="s">
        <v>294</v>
      </c>
      <c r="X88" s="89"/>
      <c r="Y88" s="33"/>
      <c r="Z88" s="33"/>
      <c r="AA88" s="89"/>
      <c r="AB88" s="89"/>
      <c r="AC88" s="89" t="s">
        <v>113</v>
      </c>
      <c r="AD88" s="89"/>
      <c r="AE88" s="89"/>
      <c r="AF88" s="33"/>
      <c r="AG88" s="33" t="s">
        <v>76</v>
      </c>
      <c r="AH88" s="89"/>
      <c r="AI88" s="525"/>
      <c r="AJ88" s="26" t="e">
        <f>_xlfn.CONCAT(#REF!,Tabela13[[#This Row],[FUNKCJONARIUSZ]])</f>
        <v>#REF!</v>
      </c>
      <c r="AK88" s="27">
        <f>D88+AL88+AM88+AN88-$AK$1+AO88+AP88</f>
        <v>-73.5</v>
      </c>
      <c r="AL88" s="28">
        <f t="shared" si="16"/>
        <v>36</v>
      </c>
      <c r="AM88">
        <f t="shared" si="17"/>
        <v>0</v>
      </c>
      <c r="AN88" s="29">
        <f t="shared" si="18"/>
        <v>112</v>
      </c>
      <c r="AO88" s="1">
        <f t="shared" si="19"/>
        <v>0</v>
      </c>
      <c r="AP88" s="1">
        <v>0</v>
      </c>
    </row>
    <row r="89" spans="1:44" ht="15.9">
      <c r="A89" s="1" t="s">
        <v>155</v>
      </c>
      <c r="B89" s="1" t="s">
        <v>93</v>
      </c>
      <c r="C89" s="290" t="s">
        <v>39</v>
      </c>
      <c r="D89" s="86">
        <v>0</v>
      </c>
      <c r="E89" s="31" t="s">
        <v>66</v>
      </c>
      <c r="F89" s="89" t="s">
        <v>66</v>
      </c>
      <c r="G89" s="89" t="s">
        <v>66</v>
      </c>
      <c r="H89" s="89" t="s">
        <v>66</v>
      </c>
      <c r="I89" s="89" t="s">
        <v>66</v>
      </c>
      <c r="J89" s="89" t="s">
        <v>66</v>
      </c>
      <c r="K89" s="33" t="s">
        <v>66</v>
      </c>
      <c r="L89" s="33" t="s">
        <v>66</v>
      </c>
      <c r="M89" s="89" t="s">
        <v>66</v>
      </c>
      <c r="N89" s="89" t="s">
        <v>66</v>
      </c>
      <c r="O89" s="89" t="s">
        <v>66</v>
      </c>
      <c r="P89" s="89" t="s">
        <v>66</v>
      </c>
      <c r="Q89" s="89" t="s">
        <v>66</v>
      </c>
      <c r="R89" s="33" t="s">
        <v>66</v>
      </c>
      <c r="S89" s="33" t="s">
        <v>66</v>
      </c>
      <c r="T89" s="89" t="s">
        <v>66</v>
      </c>
      <c r="U89" s="524" t="s">
        <v>66</v>
      </c>
      <c r="V89" s="524" t="s">
        <v>66</v>
      </c>
      <c r="W89" s="89" t="s">
        <v>66</v>
      </c>
      <c r="X89" s="89" t="s">
        <v>66</v>
      </c>
      <c r="Y89" s="33" t="s">
        <v>66</v>
      </c>
      <c r="Z89" s="33" t="s">
        <v>66</v>
      </c>
      <c r="AA89" s="89" t="s">
        <v>66</v>
      </c>
      <c r="AB89" s="89" t="s">
        <v>66</v>
      </c>
      <c r="AC89" s="89" t="s">
        <v>66</v>
      </c>
      <c r="AD89" s="89" t="s">
        <v>66</v>
      </c>
      <c r="AE89" s="89" t="s">
        <v>66</v>
      </c>
      <c r="AF89" s="33" t="s">
        <v>66</v>
      </c>
      <c r="AG89" s="33" t="s">
        <v>66</v>
      </c>
      <c r="AH89" s="89" t="s">
        <v>66</v>
      </c>
      <c r="AI89" s="525" t="s">
        <v>66</v>
      </c>
      <c r="AJ89" s="26" t="e">
        <f>_xlfn.CONCAT(#REF!,#REF!)</f>
        <v>#REF!</v>
      </c>
      <c r="AK89" s="27">
        <f>D89+AL89+AM89+AN89-$AK$50+AO89+AP89</f>
        <v>-168</v>
      </c>
      <c r="AL89" s="28">
        <f t="shared" si="16"/>
        <v>0</v>
      </c>
      <c r="AM89">
        <f t="shared" si="17"/>
        <v>0</v>
      </c>
      <c r="AN89" s="29">
        <f t="shared" si="18"/>
        <v>0</v>
      </c>
      <c r="AO89" s="1">
        <f t="shared" si="19"/>
        <v>0</v>
      </c>
    </row>
    <row r="90" spans="1:44" ht="15.9">
      <c r="A90" s="1" t="s">
        <v>155</v>
      </c>
      <c r="B90" s="1" t="s">
        <v>64</v>
      </c>
      <c r="C90" s="290" t="s">
        <v>40</v>
      </c>
      <c r="D90" s="86">
        <v>-8</v>
      </c>
      <c r="E90" s="31"/>
      <c r="F90" s="89"/>
      <c r="G90" s="89"/>
      <c r="H90" s="89"/>
      <c r="I90" s="89"/>
      <c r="J90" s="89"/>
      <c r="K90" s="33" t="s">
        <v>76</v>
      </c>
      <c r="L90" s="33"/>
      <c r="M90" s="89"/>
      <c r="N90" s="89"/>
      <c r="O90" s="89"/>
      <c r="P90" s="89"/>
      <c r="Q90" s="89" t="s">
        <v>92</v>
      </c>
      <c r="R90" s="33" t="s">
        <v>95</v>
      </c>
      <c r="S90" s="33" t="s">
        <v>95</v>
      </c>
      <c r="T90" s="89" t="s">
        <v>95</v>
      </c>
      <c r="U90" s="524" t="s">
        <v>92</v>
      </c>
      <c r="V90" s="524"/>
      <c r="W90" s="89"/>
      <c r="X90" s="89"/>
      <c r="Y90" s="33"/>
      <c r="Z90" s="33"/>
      <c r="AA90" s="89"/>
      <c r="AB90" s="89"/>
      <c r="AC90" s="89"/>
      <c r="AD90" s="89"/>
      <c r="AE90" s="89"/>
      <c r="AF90" s="33"/>
      <c r="AG90" s="33"/>
      <c r="AH90" s="89" t="s">
        <v>294</v>
      </c>
      <c r="AI90" s="525" t="s">
        <v>294</v>
      </c>
      <c r="AJ90" s="26" t="e">
        <f>_xlfn.CONCAT(#REF!,#REF!)</f>
        <v>#REF!</v>
      </c>
      <c r="AK90" s="27">
        <f>D90+AL90+AM90+AN90-$AK$50+AO90+AP90</f>
        <v>-52</v>
      </c>
      <c r="AL90" s="28">
        <f t="shared" si="16"/>
        <v>12</v>
      </c>
      <c r="AM90">
        <f t="shared" si="17"/>
        <v>96</v>
      </c>
      <c r="AN90" s="29">
        <f t="shared" si="18"/>
        <v>16</v>
      </c>
      <c r="AO90" s="1">
        <f t="shared" si="19"/>
        <v>0</v>
      </c>
      <c r="AR90" s="1" t="s">
        <v>356</v>
      </c>
    </row>
    <row r="91" spans="1:44" ht="15.9">
      <c r="A91" s="1" t="s">
        <v>191</v>
      </c>
      <c r="B91" s="1" t="s">
        <v>93</v>
      </c>
      <c r="C91" s="290" t="s">
        <v>42</v>
      </c>
      <c r="D91" s="86">
        <v>32</v>
      </c>
      <c r="E91" s="31"/>
      <c r="F91" s="89"/>
      <c r="G91" s="89"/>
      <c r="H91" s="89"/>
      <c r="I91" s="89"/>
      <c r="J91" s="89"/>
      <c r="K91" s="33"/>
      <c r="L91" s="33" t="s">
        <v>113</v>
      </c>
      <c r="M91" s="89"/>
      <c r="N91" s="89"/>
      <c r="O91" s="89"/>
      <c r="P91" s="89"/>
      <c r="Q91" s="89"/>
      <c r="R91" s="33"/>
      <c r="S91" s="33"/>
      <c r="T91" s="89"/>
      <c r="U91" s="524" t="s">
        <v>92</v>
      </c>
      <c r="V91" s="524" t="s">
        <v>95</v>
      </c>
      <c r="W91" s="89" t="s">
        <v>95</v>
      </c>
      <c r="X91" s="89" t="s">
        <v>95</v>
      </c>
      <c r="Y91" s="33" t="s">
        <v>95</v>
      </c>
      <c r="Z91" s="33" t="s">
        <v>95</v>
      </c>
      <c r="AA91" s="89" t="s">
        <v>95</v>
      </c>
      <c r="AB91" s="89" t="s">
        <v>92</v>
      </c>
      <c r="AC91" s="89"/>
      <c r="AD91" s="89"/>
      <c r="AE91" s="89"/>
      <c r="AF91" s="33"/>
      <c r="AG91" s="33"/>
      <c r="AH91" s="89"/>
      <c r="AI91" s="525"/>
      <c r="AJ91" s="26" t="e">
        <f>_xlfn.CONCAT(#REF!,#REF!)</f>
        <v>#REF!</v>
      </c>
      <c r="AK91" s="27">
        <f>D91+AL91+AM91+AN91-$AK$50+AO91+AP91</f>
        <v>56</v>
      </c>
      <c r="AL91" s="28">
        <f t="shared" si="16"/>
        <v>24</v>
      </c>
      <c r="AM91">
        <f t="shared" si="17"/>
        <v>168</v>
      </c>
      <c r="AN91" s="29">
        <f t="shared" si="18"/>
        <v>0</v>
      </c>
      <c r="AO91" s="1">
        <f t="shared" si="19"/>
        <v>0</v>
      </c>
    </row>
    <row r="92" spans="1:44" ht="15.9">
      <c r="A92" s="1" t="s">
        <v>155</v>
      </c>
      <c r="B92" s="1" t="s">
        <v>73</v>
      </c>
      <c r="C92" s="290" t="s">
        <v>43</v>
      </c>
      <c r="D92" s="86">
        <v>-32.5</v>
      </c>
      <c r="E92" s="31" t="s">
        <v>66</v>
      </c>
      <c r="F92" s="89" t="s">
        <v>294</v>
      </c>
      <c r="G92" s="89" t="s">
        <v>294</v>
      </c>
      <c r="H92" s="89" t="s">
        <v>294</v>
      </c>
      <c r="I92" s="89" t="s">
        <v>294</v>
      </c>
      <c r="J92" s="89" t="s">
        <v>294</v>
      </c>
      <c r="K92" s="33"/>
      <c r="L92" s="33"/>
      <c r="M92" s="89"/>
      <c r="N92" s="89" t="s">
        <v>153</v>
      </c>
      <c r="O92" s="89" t="s">
        <v>154</v>
      </c>
      <c r="P92" s="89" t="s">
        <v>154</v>
      </c>
      <c r="Q92" s="89" t="s">
        <v>153</v>
      </c>
      <c r="R92" s="33" t="s">
        <v>66</v>
      </c>
      <c r="S92" s="33" t="s">
        <v>66</v>
      </c>
      <c r="T92" s="89" t="s">
        <v>66</v>
      </c>
      <c r="U92" s="524"/>
      <c r="V92" s="524"/>
      <c r="W92" s="89"/>
      <c r="X92" s="89"/>
      <c r="Y92" s="33"/>
      <c r="Z92" s="33"/>
      <c r="AA92" s="89"/>
      <c r="AB92" s="89"/>
      <c r="AC92" s="89"/>
      <c r="AD92" s="89"/>
      <c r="AE92" s="89"/>
      <c r="AF92" s="33"/>
      <c r="AG92" s="33" t="s">
        <v>76</v>
      </c>
      <c r="AH92" s="89"/>
      <c r="AI92" s="525"/>
      <c r="AJ92" s="26" t="e">
        <f>_xlfn.CONCAT(#REF!,#REF!)</f>
        <v>#REF!</v>
      </c>
      <c r="AK92" s="27">
        <f>D92+AL92+AM92+AN92-$AK$50+AO92+AP92</f>
        <v>-76.5</v>
      </c>
      <c r="AL92" s="28">
        <f t="shared" si="16"/>
        <v>12</v>
      </c>
      <c r="AM92">
        <f t="shared" si="17"/>
        <v>72</v>
      </c>
      <c r="AN92" s="29">
        <f t="shared" si="18"/>
        <v>40</v>
      </c>
      <c r="AO92" s="1">
        <f t="shared" si="19"/>
        <v>0</v>
      </c>
    </row>
    <row r="93" spans="1:44" ht="15.9">
      <c r="A93" s="1" t="s">
        <v>152</v>
      </c>
      <c r="B93" s="1" t="s">
        <v>64</v>
      </c>
      <c r="C93" s="291" t="s">
        <v>44</v>
      </c>
      <c r="D93" s="86">
        <v>-35</v>
      </c>
      <c r="E93" s="31"/>
      <c r="F93" s="89"/>
      <c r="G93" s="89" t="s">
        <v>301</v>
      </c>
      <c r="H93" s="89"/>
      <c r="I93" s="89"/>
      <c r="J93" s="89"/>
      <c r="K93" s="33"/>
      <c r="L93" s="33"/>
      <c r="M93" s="89"/>
      <c r="N93" s="89" t="s">
        <v>75</v>
      </c>
      <c r="O93" s="89" t="s">
        <v>75</v>
      </c>
      <c r="P93" s="89" t="s">
        <v>75</v>
      </c>
      <c r="Q93" s="89" t="s">
        <v>75</v>
      </c>
      <c r="R93" s="33" t="s">
        <v>66</v>
      </c>
      <c r="S93" s="33" t="s">
        <v>66</v>
      </c>
      <c r="T93" s="89" t="s">
        <v>75</v>
      </c>
      <c r="U93" s="524" t="s">
        <v>75</v>
      </c>
      <c r="V93" s="524" t="s">
        <v>75</v>
      </c>
      <c r="W93" s="89" t="s">
        <v>75</v>
      </c>
      <c r="X93" s="89" t="s">
        <v>75</v>
      </c>
      <c r="Y93" s="33" t="s">
        <v>66</v>
      </c>
      <c r="Z93" s="33" t="s">
        <v>66</v>
      </c>
      <c r="AA93" s="89" t="s">
        <v>75</v>
      </c>
      <c r="AB93" s="89" t="s">
        <v>75</v>
      </c>
      <c r="AC93" s="89" t="s">
        <v>75</v>
      </c>
      <c r="AD93" s="89" t="s">
        <v>75</v>
      </c>
      <c r="AE93" s="89" t="s">
        <v>75</v>
      </c>
      <c r="AF93" s="33" t="s">
        <v>66</v>
      </c>
      <c r="AG93" s="33" t="s">
        <v>66</v>
      </c>
      <c r="AH93" s="89" t="s">
        <v>75</v>
      </c>
      <c r="AI93" s="525" t="s">
        <v>75</v>
      </c>
      <c r="AJ93" s="26" t="e">
        <f>_xlfn.CONCAT(#REF!,#REF!)</f>
        <v>#REF!</v>
      </c>
      <c r="AK93" s="27">
        <f>D93+AL93+AM93+AN93-$AK$50+AO93+AP93</f>
        <v>-75</v>
      </c>
      <c r="AL93" s="28">
        <f t="shared" si="16"/>
        <v>0</v>
      </c>
      <c r="AM93">
        <f t="shared" si="17"/>
        <v>0</v>
      </c>
      <c r="AN93" s="29">
        <f t="shared" si="18"/>
        <v>128</v>
      </c>
      <c r="AO93" s="1">
        <f t="shared" si="19"/>
        <v>0</v>
      </c>
    </row>
    <row r="94" spans="1:44" ht="15.9">
      <c r="A94" s="1" t="s">
        <v>63</v>
      </c>
      <c r="B94" s="1" t="s">
        <v>59</v>
      </c>
      <c r="C94" s="203" t="s">
        <v>162</v>
      </c>
      <c r="D94" s="86">
        <v>-1</v>
      </c>
      <c r="E94" s="31"/>
      <c r="F94" s="89" t="s">
        <v>75</v>
      </c>
      <c r="G94" s="89" t="s">
        <v>75</v>
      </c>
      <c r="H94" s="89" t="s">
        <v>75</v>
      </c>
      <c r="I94" s="89" t="s">
        <v>75</v>
      </c>
      <c r="J94" s="89" t="s">
        <v>75</v>
      </c>
      <c r="K94" s="33" t="s">
        <v>66</v>
      </c>
      <c r="L94" s="33" t="s">
        <v>66</v>
      </c>
      <c r="M94" s="89" t="s">
        <v>75</v>
      </c>
      <c r="N94" s="89" t="s">
        <v>75</v>
      </c>
      <c r="O94" s="89" t="s">
        <v>75</v>
      </c>
      <c r="P94" s="89" t="s">
        <v>75</v>
      </c>
      <c r="Q94" s="89" t="s">
        <v>75</v>
      </c>
      <c r="R94" s="33"/>
      <c r="S94" s="33"/>
      <c r="T94" s="89"/>
      <c r="U94" s="524"/>
      <c r="V94" s="524"/>
      <c r="W94" s="89">
        <v>18</v>
      </c>
      <c r="X94" s="89" t="s">
        <v>98</v>
      </c>
      <c r="Y94" s="33">
        <v>15</v>
      </c>
      <c r="Z94" s="33"/>
      <c r="AA94" s="89"/>
      <c r="AB94" s="89"/>
      <c r="AC94" s="89"/>
      <c r="AD94" s="89"/>
      <c r="AE94" s="89"/>
      <c r="AF94" s="33"/>
      <c r="AG94" s="33"/>
      <c r="AH94" s="89" t="s">
        <v>294</v>
      </c>
      <c r="AI94" s="525" t="s">
        <v>294</v>
      </c>
      <c r="AJ94" s="26" t="e">
        <f>_xlfn.CONCAT(#REF!,Tabela13[[#This Row],[FUNKCJONARIUSZ]])</f>
        <v>#REF!</v>
      </c>
      <c r="AK94" s="27">
        <f>D94+AL94+AM94+AN94-$AK$1+AO94+AP94</f>
        <v>-16</v>
      </c>
      <c r="AL94" s="28">
        <f t="shared" si="16"/>
        <v>0</v>
      </c>
      <c r="AM94">
        <f t="shared" si="17"/>
        <v>24</v>
      </c>
      <c r="AN94" s="29">
        <f t="shared" si="18"/>
        <v>129</v>
      </c>
      <c r="AO94" s="1">
        <f t="shared" si="19"/>
        <v>0</v>
      </c>
      <c r="AP94" s="1">
        <v>0</v>
      </c>
    </row>
    <row r="95" spans="1:44" ht="15.9">
      <c r="A95" s="1" t="s">
        <v>152</v>
      </c>
      <c r="B95" s="1" t="s">
        <v>73</v>
      </c>
      <c r="C95" s="291" t="s">
        <v>163</v>
      </c>
      <c r="D95" s="86">
        <v>24</v>
      </c>
      <c r="E95" s="31"/>
      <c r="F95" s="89"/>
      <c r="G95" s="89"/>
      <c r="H95" s="89"/>
      <c r="I95" s="89"/>
      <c r="J95" s="89" t="s">
        <v>69</v>
      </c>
      <c r="K95" s="33" t="s">
        <v>70</v>
      </c>
      <c r="L95" s="33" t="s">
        <v>70</v>
      </c>
      <c r="M95" s="89" t="s">
        <v>69</v>
      </c>
      <c r="N95" s="89"/>
      <c r="O95" s="89"/>
      <c r="P95" s="89"/>
      <c r="Q95" s="89"/>
      <c r="R95" s="33"/>
      <c r="S95" s="33"/>
      <c r="T95" s="89" t="s">
        <v>294</v>
      </c>
      <c r="U95" s="524" t="s">
        <v>294</v>
      </c>
      <c r="V95" s="524" t="s">
        <v>294</v>
      </c>
      <c r="W95" s="89" t="s">
        <v>294</v>
      </c>
      <c r="X95" s="89" t="s">
        <v>294</v>
      </c>
      <c r="Y95" s="33"/>
      <c r="Z95" s="33"/>
      <c r="AA95" s="89"/>
      <c r="AB95" s="89"/>
      <c r="AC95" s="89"/>
      <c r="AD95" s="89" t="s">
        <v>301</v>
      </c>
      <c r="AE95" s="89"/>
      <c r="AF95" s="33"/>
      <c r="AG95" s="33"/>
      <c r="AH95" s="89"/>
      <c r="AI95" s="525"/>
      <c r="AJ95" s="26" t="e">
        <f>_xlfn.CONCAT(#REF!,#REF!)</f>
        <v>#REF!</v>
      </c>
      <c r="AK95" s="27">
        <f t="shared" ref="AK95:AK102" si="20">D95+AL95+AM95+AN95-$AK$50+AO95+AP95</f>
        <v>-32</v>
      </c>
      <c r="AL95" s="28">
        <f t="shared" si="16"/>
        <v>0</v>
      </c>
      <c r="AM95">
        <f t="shared" si="17"/>
        <v>72</v>
      </c>
      <c r="AN95" s="29">
        <f t="shared" si="18"/>
        <v>40</v>
      </c>
      <c r="AO95" s="1">
        <f t="shared" si="19"/>
        <v>0</v>
      </c>
    </row>
    <row r="96" spans="1:44" ht="15.9">
      <c r="A96" s="1" t="s">
        <v>152</v>
      </c>
      <c r="B96" s="1" t="s">
        <v>64</v>
      </c>
      <c r="C96" s="291" t="s">
        <v>45</v>
      </c>
      <c r="D96" s="86">
        <v>14</v>
      </c>
      <c r="E96" s="31"/>
      <c r="F96" s="89" t="s">
        <v>113</v>
      </c>
      <c r="G96" s="89"/>
      <c r="H96" s="89"/>
      <c r="I96" s="89" t="s">
        <v>113</v>
      </c>
      <c r="J96" s="89"/>
      <c r="K96" s="33"/>
      <c r="L96" s="33"/>
      <c r="M96" s="89"/>
      <c r="N96" s="89"/>
      <c r="O96" s="89"/>
      <c r="P96" s="89"/>
      <c r="Q96" s="89"/>
      <c r="R96" s="33"/>
      <c r="S96" s="33"/>
      <c r="T96" s="89"/>
      <c r="U96" s="524"/>
      <c r="V96" s="524"/>
      <c r="W96" s="89"/>
      <c r="X96" s="89"/>
      <c r="Y96" s="33"/>
      <c r="Z96" s="33"/>
      <c r="AA96" s="89" t="s">
        <v>294</v>
      </c>
      <c r="AB96" s="89" t="s">
        <v>294</v>
      </c>
      <c r="AC96" s="89" t="s">
        <v>294</v>
      </c>
      <c r="AD96" s="89" t="s">
        <v>294</v>
      </c>
      <c r="AE96" s="89" t="s">
        <v>294</v>
      </c>
      <c r="AF96" s="33" t="s">
        <v>66</v>
      </c>
      <c r="AG96" s="33" t="s">
        <v>66</v>
      </c>
      <c r="AH96" s="89" t="s">
        <v>294</v>
      </c>
      <c r="AI96" s="525" t="s">
        <v>75</v>
      </c>
      <c r="AJ96" s="26" t="e">
        <f>_xlfn.CONCAT(#REF!,#REF!)</f>
        <v>#REF!</v>
      </c>
      <c r="AK96" s="27">
        <f t="shared" si="20"/>
        <v>-50</v>
      </c>
      <c r="AL96" s="28">
        <f t="shared" si="16"/>
        <v>48</v>
      </c>
      <c r="AM96">
        <f t="shared" si="17"/>
        <v>0</v>
      </c>
      <c r="AN96" s="29">
        <f t="shared" si="18"/>
        <v>56</v>
      </c>
      <c r="AO96" s="1">
        <f t="shared" si="19"/>
        <v>0</v>
      </c>
    </row>
    <row r="97" spans="1:42" ht="15.9">
      <c r="A97" s="1" t="s">
        <v>152</v>
      </c>
      <c r="B97" s="1" t="s">
        <v>93</v>
      </c>
      <c r="C97" s="291" t="s">
        <v>46</v>
      </c>
      <c r="D97" s="86">
        <v>-11</v>
      </c>
      <c r="E97" s="31"/>
      <c r="F97" s="89"/>
      <c r="G97" s="89"/>
      <c r="H97" s="89"/>
      <c r="I97" s="89"/>
      <c r="J97" s="89" t="s">
        <v>301</v>
      </c>
      <c r="K97" s="33"/>
      <c r="L97" s="33"/>
      <c r="M97" s="89"/>
      <c r="N97" s="89"/>
      <c r="O97" s="89"/>
      <c r="P97" s="89" t="s">
        <v>301</v>
      </c>
      <c r="Q97" s="89"/>
      <c r="R97" s="33"/>
      <c r="S97" s="33"/>
      <c r="T97" s="89"/>
      <c r="U97" s="524"/>
      <c r="V97" s="524"/>
      <c r="W97" s="89"/>
      <c r="X97" s="89"/>
      <c r="Y97" s="33"/>
      <c r="Z97" s="33"/>
      <c r="AA97" s="89"/>
      <c r="AB97" s="89"/>
      <c r="AC97" s="89"/>
      <c r="AD97" s="89"/>
      <c r="AE97" s="89"/>
      <c r="AF97" s="33"/>
      <c r="AG97" s="33"/>
      <c r="AH97" s="89" t="s">
        <v>301</v>
      </c>
      <c r="AI97" s="525"/>
      <c r="AJ97" s="26" t="e">
        <f>_xlfn.CONCAT(#REF!,#REF!)</f>
        <v>#REF!</v>
      </c>
      <c r="AK97" s="27">
        <f t="shared" si="20"/>
        <v>-179</v>
      </c>
      <c r="AL97" s="28">
        <f t="shared" si="16"/>
        <v>0</v>
      </c>
      <c r="AM97">
        <f t="shared" si="17"/>
        <v>0</v>
      </c>
      <c r="AN97" s="29">
        <f t="shared" si="18"/>
        <v>0</v>
      </c>
      <c r="AO97" s="1">
        <f t="shared" si="19"/>
        <v>0</v>
      </c>
    </row>
    <row r="98" spans="1:42" ht="15.9">
      <c r="A98" s="1" t="s">
        <v>152</v>
      </c>
      <c r="B98" s="1" t="s">
        <v>64</v>
      </c>
      <c r="C98" s="291" t="s">
        <v>47</v>
      </c>
      <c r="D98" s="86">
        <v>56</v>
      </c>
      <c r="E98" s="31"/>
      <c r="F98" s="89"/>
      <c r="G98" s="89"/>
      <c r="H98" s="89"/>
      <c r="I98" s="89"/>
      <c r="J98" s="89"/>
      <c r="K98" s="33" t="s">
        <v>301</v>
      </c>
      <c r="L98" s="33"/>
      <c r="M98" s="89"/>
      <c r="N98" s="89" t="s">
        <v>301</v>
      </c>
      <c r="O98" s="89"/>
      <c r="P98" s="89"/>
      <c r="Q98" s="89"/>
      <c r="R98" s="33"/>
      <c r="S98" s="33"/>
      <c r="T98" s="89"/>
      <c r="U98" s="524" t="s">
        <v>301</v>
      </c>
      <c r="V98" s="524"/>
      <c r="W98" s="89"/>
      <c r="X98" s="89"/>
      <c r="Y98" s="33"/>
      <c r="Z98" s="33"/>
      <c r="AA98" s="89"/>
      <c r="AB98" s="89"/>
      <c r="AC98" s="89"/>
      <c r="AD98" s="89"/>
      <c r="AE98" s="89"/>
      <c r="AF98" s="33"/>
      <c r="AG98" s="33"/>
      <c r="AH98" s="89"/>
      <c r="AI98" s="525"/>
      <c r="AJ98" s="26" t="e">
        <f>_xlfn.CONCAT(#REF!,#REF!)</f>
        <v>#REF!</v>
      </c>
      <c r="AK98" s="27">
        <f t="shared" si="20"/>
        <v>-112</v>
      </c>
      <c r="AL98" s="28">
        <f t="shared" si="16"/>
        <v>0</v>
      </c>
      <c r="AM98">
        <f t="shared" si="17"/>
        <v>0</v>
      </c>
      <c r="AN98" s="29">
        <f t="shared" si="18"/>
        <v>0</v>
      </c>
      <c r="AO98" s="1">
        <f t="shared" si="19"/>
        <v>0</v>
      </c>
    </row>
    <row r="99" spans="1:42" ht="15.9">
      <c r="A99" s="1" t="s">
        <v>152</v>
      </c>
      <c r="B99" s="1" t="s">
        <v>64</v>
      </c>
      <c r="C99" s="291" t="s">
        <v>48</v>
      </c>
      <c r="D99" s="86">
        <v>26.5</v>
      </c>
      <c r="E99" s="31"/>
      <c r="F99" s="89" t="s">
        <v>294</v>
      </c>
      <c r="G99" s="89" t="s">
        <v>294</v>
      </c>
      <c r="H99" s="89" t="s">
        <v>294</v>
      </c>
      <c r="I99" s="89" t="s">
        <v>294</v>
      </c>
      <c r="J99" s="89" t="s">
        <v>294</v>
      </c>
      <c r="K99" s="33" t="s">
        <v>66</v>
      </c>
      <c r="L99" s="33" t="s">
        <v>66</v>
      </c>
      <c r="M99" s="89" t="s">
        <v>294</v>
      </c>
      <c r="N99" s="89" t="s">
        <v>294</v>
      </c>
      <c r="O99" s="89" t="s">
        <v>294</v>
      </c>
      <c r="P99" s="89" t="s">
        <v>294</v>
      </c>
      <c r="Q99" s="89" t="s">
        <v>294</v>
      </c>
      <c r="R99" s="33" t="s">
        <v>66</v>
      </c>
      <c r="S99" s="33" t="s">
        <v>66</v>
      </c>
      <c r="T99" s="89" t="s">
        <v>294</v>
      </c>
      <c r="U99" s="524" t="s">
        <v>294</v>
      </c>
      <c r="V99" s="524"/>
      <c r="W99" s="89">
        <v>18</v>
      </c>
      <c r="X99" s="89" t="s">
        <v>98</v>
      </c>
      <c r="Y99" s="33">
        <v>15</v>
      </c>
      <c r="Z99" s="33" t="s">
        <v>103</v>
      </c>
      <c r="AA99" s="89"/>
      <c r="AB99" s="89"/>
      <c r="AC99" s="89"/>
      <c r="AD99" s="89"/>
      <c r="AE99" s="89"/>
      <c r="AF99" s="33"/>
      <c r="AG99" s="33" t="s">
        <v>301</v>
      </c>
      <c r="AH99" s="89"/>
      <c r="AI99" s="525"/>
      <c r="AJ99" s="26" t="e">
        <f>_xlfn.CONCAT(#REF!,#REF!)</f>
        <v>#REF!</v>
      </c>
      <c r="AK99" s="27">
        <f t="shared" si="20"/>
        <v>11.5</v>
      </c>
      <c r="AL99" s="28">
        <f t="shared" si="16"/>
        <v>0</v>
      </c>
      <c r="AM99">
        <f t="shared" si="17"/>
        <v>24</v>
      </c>
      <c r="AN99" s="29">
        <f t="shared" si="18"/>
        <v>129</v>
      </c>
      <c r="AO99" s="1">
        <f t="shared" si="19"/>
        <v>0</v>
      </c>
    </row>
    <row r="100" spans="1:42" ht="15.9">
      <c r="A100" s="1" t="s">
        <v>58</v>
      </c>
      <c r="B100" s="1" t="s">
        <v>73</v>
      </c>
      <c r="C100" s="290" t="s">
        <v>49</v>
      </c>
      <c r="D100" s="86">
        <v>24</v>
      </c>
      <c r="E100" s="31" t="s">
        <v>66</v>
      </c>
      <c r="F100" s="89" t="s">
        <v>294</v>
      </c>
      <c r="G100" s="89" t="s">
        <v>294</v>
      </c>
      <c r="H100" s="89" t="s">
        <v>294</v>
      </c>
      <c r="I100" s="89" t="s">
        <v>294</v>
      </c>
      <c r="J100" s="89" t="s">
        <v>294</v>
      </c>
      <c r="K100" s="33" t="s">
        <v>66</v>
      </c>
      <c r="L100" s="33" t="s">
        <v>66</v>
      </c>
      <c r="M100" s="89" t="s">
        <v>294</v>
      </c>
      <c r="N100" s="89" t="s">
        <v>294</v>
      </c>
      <c r="O100" s="89" t="s">
        <v>294</v>
      </c>
      <c r="P100" s="89" t="s">
        <v>294</v>
      </c>
      <c r="Q100" s="89" t="s">
        <v>75</v>
      </c>
      <c r="R100" s="33"/>
      <c r="S100" s="33"/>
      <c r="T100" s="89"/>
      <c r="U100" s="524" t="s">
        <v>153</v>
      </c>
      <c r="V100" s="524" t="s">
        <v>95</v>
      </c>
      <c r="W100" s="89" t="s">
        <v>95</v>
      </c>
      <c r="X100" s="89" t="s">
        <v>95</v>
      </c>
      <c r="Y100" s="33" t="s">
        <v>95</v>
      </c>
      <c r="Z100" s="33" t="s">
        <v>95</v>
      </c>
      <c r="AA100" s="89" t="s">
        <v>95</v>
      </c>
      <c r="AB100" s="89" t="s">
        <v>92</v>
      </c>
      <c r="AC100" s="89"/>
      <c r="AD100" s="89"/>
      <c r="AE100" s="89"/>
      <c r="AF100" s="33"/>
      <c r="AG100" s="33"/>
      <c r="AH100" s="89"/>
      <c r="AI100" s="525"/>
      <c r="AJ100" s="26" t="e">
        <f>_xlfn.CONCAT(#REF!,#REF!)</f>
        <v>#REF!</v>
      </c>
      <c r="AK100" s="27">
        <f t="shared" si="20"/>
        <v>104</v>
      </c>
      <c r="AL100" s="28">
        <f t="shared" si="16"/>
        <v>0</v>
      </c>
      <c r="AM100">
        <f t="shared" si="17"/>
        <v>168</v>
      </c>
      <c r="AN100" s="29">
        <f t="shared" si="18"/>
        <v>80</v>
      </c>
      <c r="AO100" s="1">
        <f t="shared" si="19"/>
        <v>0</v>
      </c>
    </row>
    <row r="101" spans="1:42" ht="15.9">
      <c r="A101" s="1" t="s">
        <v>155</v>
      </c>
      <c r="B101" s="1" t="s">
        <v>73</v>
      </c>
      <c r="C101" s="290" t="s">
        <v>50</v>
      </c>
      <c r="D101" s="86">
        <v>31</v>
      </c>
      <c r="E101" s="31" t="s">
        <v>154</v>
      </c>
      <c r="F101" s="89" t="s">
        <v>154</v>
      </c>
      <c r="G101" s="89" t="s">
        <v>153</v>
      </c>
      <c r="H101" s="89"/>
      <c r="I101" s="89"/>
      <c r="J101" s="89"/>
      <c r="K101" s="33"/>
      <c r="L101" s="33"/>
      <c r="M101" s="89"/>
      <c r="N101" s="89"/>
      <c r="O101" s="89"/>
      <c r="P101" s="89"/>
      <c r="Q101" s="89" t="s">
        <v>113</v>
      </c>
      <c r="R101" s="33"/>
      <c r="S101" s="33"/>
      <c r="T101" s="89" t="s">
        <v>294</v>
      </c>
      <c r="U101" s="524" t="s">
        <v>294</v>
      </c>
      <c r="V101" s="524" t="s">
        <v>294</v>
      </c>
      <c r="W101" s="89" t="s">
        <v>294</v>
      </c>
      <c r="X101" s="89" t="s">
        <v>294</v>
      </c>
      <c r="Y101" s="33" t="s">
        <v>66</v>
      </c>
      <c r="Z101" s="33" t="s">
        <v>66</v>
      </c>
      <c r="AA101" s="89" t="s">
        <v>294</v>
      </c>
      <c r="AB101" s="89" t="s">
        <v>294</v>
      </c>
      <c r="AC101" s="89" t="s">
        <v>294</v>
      </c>
      <c r="AD101" s="89" t="s">
        <v>294</v>
      </c>
      <c r="AE101" s="89" t="s">
        <v>294</v>
      </c>
      <c r="AF101" s="33" t="s">
        <v>66</v>
      </c>
      <c r="AG101" s="33" t="s">
        <v>66</v>
      </c>
      <c r="AH101" s="89" t="s">
        <v>294</v>
      </c>
      <c r="AI101" s="525" t="s">
        <v>294</v>
      </c>
      <c r="AJ101" s="26" t="e">
        <f>_xlfn.CONCAT(#REF!,#REF!)</f>
        <v>#REF!</v>
      </c>
      <c r="AK101" s="27">
        <f t="shared" si="20"/>
        <v>43</v>
      </c>
      <c r="AL101" s="28">
        <f t="shared" si="16"/>
        <v>24</v>
      </c>
      <c r="AM101">
        <f t="shared" si="17"/>
        <v>60</v>
      </c>
      <c r="AN101" s="29">
        <f t="shared" si="18"/>
        <v>96</v>
      </c>
      <c r="AO101" s="1">
        <f t="shared" si="19"/>
        <v>0</v>
      </c>
    </row>
    <row r="102" spans="1:42" ht="15.9">
      <c r="A102" s="1" t="s">
        <v>155</v>
      </c>
      <c r="B102" s="1" t="s">
        <v>59</v>
      </c>
      <c r="C102" s="304" t="s">
        <v>51</v>
      </c>
      <c r="D102" s="86">
        <v>53</v>
      </c>
      <c r="E102" s="50"/>
      <c r="F102" s="94"/>
      <c r="G102" s="94"/>
      <c r="H102" s="94"/>
      <c r="I102" s="94"/>
      <c r="J102" s="94"/>
      <c r="K102" s="52"/>
      <c r="L102" s="52"/>
      <c r="M102" s="94"/>
      <c r="N102" s="94"/>
      <c r="O102" s="94"/>
      <c r="P102" s="94"/>
      <c r="Q102" s="94" t="s">
        <v>153</v>
      </c>
      <c r="R102" s="52" t="s">
        <v>154</v>
      </c>
      <c r="S102" s="52" t="s">
        <v>154</v>
      </c>
      <c r="T102" s="94" t="s">
        <v>154</v>
      </c>
      <c r="U102" s="526" t="s">
        <v>153</v>
      </c>
      <c r="V102" s="526"/>
      <c r="W102" s="94"/>
      <c r="X102" s="94"/>
      <c r="Y102" s="52"/>
      <c r="Z102" s="52"/>
      <c r="AA102" s="94"/>
      <c r="AB102" s="94"/>
      <c r="AC102" s="94"/>
      <c r="AD102" s="94"/>
      <c r="AE102" s="94"/>
      <c r="AF102" s="52"/>
      <c r="AG102" s="52"/>
      <c r="AH102" s="94"/>
      <c r="AI102" s="527"/>
      <c r="AJ102" s="305" t="e">
        <f>_xlfn.CONCAT(#REF!,#REF!)</f>
        <v>#REF!</v>
      </c>
      <c r="AK102" s="27">
        <f t="shared" si="20"/>
        <v>-19</v>
      </c>
      <c r="AL102" s="28">
        <f t="shared" si="16"/>
        <v>0</v>
      </c>
      <c r="AM102">
        <f t="shared" si="17"/>
        <v>96</v>
      </c>
      <c r="AN102" s="29">
        <f t="shared" si="18"/>
        <v>0</v>
      </c>
      <c r="AO102" s="1">
        <f t="shared" si="19"/>
        <v>0</v>
      </c>
    </row>
    <row r="103" spans="1:42" ht="15.9">
      <c r="C103" s="56"/>
      <c r="D103" s="57"/>
      <c r="E103" s="58" t="s">
        <v>113</v>
      </c>
      <c r="F103" s="58"/>
      <c r="G103" s="58" t="s">
        <v>113</v>
      </c>
      <c r="H103" s="58"/>
      <c r="I103" s="58"/>
      <c r="J103" s="58" t="s">
        <v>113</v>
      </c>
      <c r="K103" s="58"/>
      <c r="L103" s="58"/>
      <c r="M103" s="58" t="s">
        <v>113</v>
      </c>
      <c r="N103" s="58"/>
      <c r="O103" s="58"/>
      <c r="P103" s="58"/>
      <c r="Q103" s="58"/>
      <c r="R103" s="58"/>
      <c r="S103" s="58"/>
      <c r="T103" s="58" t="s">
        <v>113</v>
      </c>
      <c r="U103" s="58" t="s">
        <v>113</v>
      </c>
      <c r="V103" s="58"/>
      <c r="W103" s="58"/>
      <c r="X103" s="58" t="s">
        <v>113</v>
      </c>
      <c r="Y103" s="58"/>
      <c r="Z103" s="58" t="s">
        <v>113</v>
      </c>
      <c r="AA103" s="58"/>
      <c r="AB103" s="58"/>
      <c r="AC103" s="58" t="s">
        <v>113</v>
      </c>
      <c r="AD103" s="58" t="s">
        <v>113</v>
      </c>
      <c r="AE103" s="58" t="s">
        <v>113</v>
      </c>
      <c r="AF103" s="58"/>
      <c r="AG103" s="59"/>
      <c r="AH103" s="27" t="s">
        <v>113</v>
      </c>
      <c r="AI103" s="27"/>
      <c r="AJ103" s="60"/>
      <c r="AK103" s="27"/>
      <c r="AL103" s="28"/>
      <c r="AM103"/>
      <c r="AN103" s="29"/>
    </row>
    <row r="104" spans="1:42" ht="15.9">
      <c r="B104" s="61"/>
      <c r="C104" s="62" t="s">
        <v>120</v>
      </c>
      <c r="D104" s="63"/>
      <c r="E104" s="64">
        <f t="shared" ref="E104:AI104" si="21">E31</f>
        <v>1</v>
      </c>
      <c r="F104" s="64">
        <f t="shared" si="21"/>
        <v>1</v>
      </c>
      <c r="G104" s="64">
        <f t="shared" si="21"/>
        <v>1</v>
      </c>
      <c r="H104" s="64">
        <f t="shared" si="21"/>
        <v>1</v>
      </c>
      <c r="I104" s="64">
        <f t="shared" si="21"/>
        <v>1</v>
      </c>
      <c r="J104" s="64">
        <f t="shared" si="21"/>
        <v>1</v>
      </c>
      <c r="K104" s="64">
        <f t="shared" si="21"/>
        <v>1</v>
      </c>
      <c r="L104" s="64">
        <f t="shared" si="21"/>
        <v>1</v>
      </c>
      <c r="M104" s="64">
        <f t="shared" si="21"/>
        <v>1</v>
      </c>
      <c r="N104" s="64">
        <f t="shared" si="21"/>
        <v>1</v>
      </c>
      <c r="O104" s="64">
        <f t="shared" si="21"/>
        <v>1</v>
      </c>
      <c r="P104" s="64">
        <f t="shared" si="21"/>
        <v>1</v>
      </c>
      <c r="Q104" s="64">
        <f t="shared" si="21"/>
        <v>1</v>
      </c>
      <c r="R104" s="64">
        <f t="shared" si="21"/>
        <v>1</v>
      </c>
      <c r="S104" s="64">
        <f t="shared" si="21"/>
        <v>1</v>
      </c>
      <c r="T104" s="64">
        <f t="shared" si="21"/>
        <v>1</v>
      </c>
      <c r="U104" s="64">
        <f t="shared" si="21"/>
        <v>1</v>
      </c>
      <c r="V104" s="64">
        <f t="shared" si="21"/>
        <v>1</v>
      </c>
      <c r="W104" s="64">
        <f t="shared" si="21"/>
        <v>1</v>
      </c>
      <c r="X104" s="64">
        <f t="shared" si="21"/>
        <v>1</v>
      </c>
      <c r="Y104" s="64">
        <f t="shared" si="21"/>
        <v>1</v>
      </c>
      <c r="Z104" s="64">
        <f t="shared" si="21"/>
        <v>1</v>
      </c>
      <c r="AA104" s="64">
        <f t="shared" si="21"/>
        <v>1</v>
      </c>
      <c r="AB104" s="64">
        <f t="shared" si="21"/>
        <v>1</v>
      </c>
      <c r="AC104" s="64">
        <f t="shared" si="21"/>
        <v>1</v>
      </c>
      <c r="AD104" s="64">
        <f t="shared" si="21"/>
        <v>1</v>
      </c>
      <c r="AE104" s="64">
        <f t="shared" si="21"/>
        <v>2</v>
      </c>
      <c r="AF104" s="64">
        <f t="shared" si="21"/>
        <v>0</v>
      </c>
      <c r="AG104" s="64">
        <f t="shared" si="21"/>
        <v>1</v>
      </c>
      <c r="AH104" s="64">
        <f t="shared" si="21"/>
        <v>1</v>
      </c>
      <c r="AI104" s="64">
        <f t="shared" si="21"/>
        <v>0</v>
      </c>
      <c r="AJ104"/>
      <c r="AK104" s="27"/>
      <c r="AL104" s="28"/>
      <c r="AM104"/>
      <c r="AN104" s="29"/>
    </row>
    <row r="105" spans="1:42" ht="15.9">
      <c r="B105" s="61"/>
      <c r="C105" s="65" t="s">
        <v>121</v>
      </c>
      <c r="D105" s="66"/>
      <c r="E105" s="64">
        <f t="shared" ref="E105:AI105" si="22">E32</f>
        <v>2</v>
      </c>
      <c r="F105" s="64">
        <f t="shared" si="22"/>
        <v>2</v>
      </c>
      <c r="G105" s="64">
        <f t="shared" si="22"/>
        <v>2</v>
      </c>
      <c r="H105" s="64">
        <f t="shared" si="22"/>
        <v>2</v>
      </c>
      <c r="I105" s="64">
        <f t="shared" si="22"/>
        <v>2</v>
      </c>
      <c r="J105" s="64">
        <f t="shared" si="22"/>
        <v>2</v>
      </c>
      <c r="K105" s="64">
        <f t="shared" si="22"/>
        <v>2</v>
      </c>
      <c r="L105" s="64">
        <f t="shared" si="22"/>
        <v>2</v>
      </c>
      <c r="M105" s="64">
        <f t="shared" si="22"/>
        <v>2</v>
      </c>
      <c r="N105" s="64">
        <f t="shared" si="22"/>
        <v>2</v>
      </c>
      <c r="O105" s="64">
        <f t="shared" si="22"/>
        <v>2</v>
      </c>
      <c r="P105" s="64">
        <f t="shared" si="22"/>
        <v>2</v>
      </c>
      <c r="Q105" s="64">
        <f t="shared" si="22"/>
        <v>2</v>
      </c>
      <c r="R105" s="64">
        <f t="shared" si="22"/>
        <v>2</v>
      </c>
      <c r="S105" s="64">
        <f t="shared" si="22"/>
        <v>2</v>
      </c>
      <c r="T105" s="64">
        <f t="shared" si="22"/>
        <v>1</v>
      </c>
      <c r="U105" s="64">
        <f t="shared" si="22"/>
        <v>2</v>
      </c>
      <c r="V105" s="64">
        <f t="shared" si="22"/>
        <v>2</v>
      </c>
      <c r="W105" s="64">
        <f t="shared" si="22"/>
        <v>2</v>
      </c>
      <c r="X105" s="64">
        <f t="shared" si="22"/>
        <v>1</v>
      </c>
      <c r="Y105" s="64">
        <f t="shared" si="22"/>
        <v>1</v>
      </c>
      <c r="Z105" s="64">
        <f t="shared" si="22"/>
        <v>2</v>
      </c>
      <c r="AA105" s="64">
        <f t="shared" si="22"/>
        <v>1</v>
      </c>
      <c r="AB105" s="64">
        <f t="shared" si="22"/>
        <v>2</v>
      </c>
      <c r="AC105" s="64">
        <f t="shared" si="22"/>
        <v>3</v>
      </c>
      <c r="AD105" s="64">
        <f t="shared" si="22"/>
        <v>2</v>
      </c>
      <c r="AE105" s="64">
        <f t="shared" si="22"/>
        <v>2</v>
      </c>
      <c r="AF105" s="64">
        <f t="shared" si="22"/>
        <v>2</v>
      </c>
      <c r="AG105" s="64">
        <f t="shared" si="22"/>
        <v>2</v>
      </c>
      <c r="AH105" s="64">
        <f t="shared" si="22"/>
        <v>2</v>
      </c>
      <c r="AI105" s="64">
        <f t="shared" si="22"/>
        <v>2</v>
      </c>
      <c r="AJ105"/>
      <c r="AK105" s="27"/>
      <c r="AL105" s="28"/>
      <c r="AM105"/>
      <c r="AN105" s="29"/>
    </row>
    <row r="106" spans="1:42">
      <c r="C106" s="67" t="s">
        <v>122</v>
      </c>
      <c r="D106" s="68"/>
      <c r="E106" s="64">
        <f t="shared" ref="E106:AI106" si="23">E33</f>
        <v>4</v>
      </c>
      <c r="F106" s="64">
        <f t="shared" si="23"/>
        <v>0</v>
      </c>
      <c r="G106" s="64">
        <f t="shared" si="23"/>
        <v>7</v>
      </c>
      <c r="H106" s="64">
        <f t="shared" si="23"/>
        <v>7</v>
      </c>
      <c r="I106" s="64">
        <f t="shared" si="23"/>
        <v>7</v>
      </c>
      <c r="J106" s="64">
        <f t="shared" si="23"/>
        <v>0</v>
      </c>
      <c r="K106" s="64">
        <f t="shared" si="23"/>
        <v>8</v>
      </c>
      <c r="L106" s="64">
        <f t="shared" si="23"/>
        <v>8</v>
      </c>
      <c r="M106" s="64">
        <f t="shared" si="23"/>
        <v>0</v>
      </c>
      <c r="N106" s="64">
        <f t="shared" si="23"/>
        <v>4</v>
      </c>
      <c r="O106" s="64">
        <f t="shared" si="23"/>
        <v>4</v>
      </c>
      <c r="P106" s="64">
        <f t="shared" si="23"/>
        <v>4</v>
      </c>
      <c r="Q106" s="64">
        <f t="shared" si="23"/>
        <v>3</v>
      </c>
      <c r="R106" s="64">
        <f t="shared" si="23"/>
        <v>4</v>
      </c>
      <c r="S106" s="64">
        <f t="shared" si="23"/>
        <v>4</v>
      </c>
      <c r="T106" s="64">
        <f t="shared" si="23"/>
        <v>0</v>
      </c>
      <c r="U106" s="64">
        <f t="shared" si="23"/>
        <v>4</v>
      </c>
      <c r="V106" s="64">
        <f t="shared" si="23"/>
        <v>4</v>
      </c>
      <c r="W106" s="64">
        <f t="shared" si="23"/>
        <v>4</v>
      </c>
      <c r="X106" s="64">
        <f t="shared" si="23"/>
        <v>2</v>
      </c>
      <c r="Y106" s="64">
        <f t="shared" si="23"/>
        <v>4</v>
      </c>
      <c r="Z106" s="64">
        <f t="shared" si="23"/>
        <v>4</v>
      </c>
      <c r="AA106" s="64">
        <f t="shared" si="23"/>
        <v>0</v>
      </c>
      <c r="AB106" s="64">
        <f t="shared" si="23"/>
        <v>3</v>
      </c>
      <c r="AC106" s="64">
        <f t="shared" si="23"/>
        <v>3</v>
      </c>
      <c r="AD106" s="64">
        <f t="shared" si="23"/>
        <v>3</v>
      </c>
      <c r="AE106" s="64">
        <f t="shared" si="23"/>
        <v>1</v>
      </c>
      <c r="AF106" s="64">
        <f t="shared" si="23"/>
        <v>4</v>
      </c>
      <c r="AG106" s="64">
        <f t="shared" si="23"/>
        <v>4</v>
      </c>
      <c r="AH106" s="64">
        <f t="shared" si="23"/>
        <v>0</v>
      </c>
      <c r="AI106" s="64">
        <f t="shared" si="23"/>
        <v>4</v>
      </c>
      <c r="AJ106"/>
      <c r="AK106" s="27"/>
      <c r="AL106" s="28"/>
      <c r="AM106"/>
      <c r="AN106" s="29"/>
    </row>
    <row r="107" spans="1:42">
      <c r="C107" s="69" t="s">
        <v>123</v>
      </c>
      <c r="D107" s="70"/>
      <c r="E107" s="64">
        <f t="shared" ref="E107:AI107" si="24">E34</f>
        <v>4</v>
      </c>
      <c r="F107" s="64">
        <f t="shared" si="24"/>
        <v>4</v>
      </c>
      <c r="G107" s="64">
        <f t="shared" si="24"/>
        <v>0</v>
      </c>
      <c r="H107" s="64">
        <f t="shared" si="24"/>
        <v>4</v>
      </c>
      <c r="I107" s="64">
        <f t="shared" si="24"/>
        <v>4</v>
      </c>
      <c r="J107" s="64">
        <f t="shared" si="24"/>
        <v>4</v>
      </c>
      <c r="K107" s="64">
        <f t="shared" si="24"/>
        <v>4</v>
      </c>
      <c r="L107" s="64">
        <f t="shared" si="24"/>
        <v>4</v>
      </c>
      <c r="M107" s="64">
        <f t="shared" si="24"/>
        <v>4</v>
      </c>
      <c r="N107" s="64">
        <f t="shared" si="24"/>
        <v>0</v>
      </c>
      <c r="O107" s="64">
        <f t="shared" si="24"/>
        <v>3</v>
      </c>
      <c r="P107" s="64">
        <f t="shared" si="24"/>
        <v>3</v>
      </c>
      <c r="Q107" s="64">
        <f t="shared" si="24"/>
        <v>0</v>
      </c>
      <c r="R107" s="64">
        <f t="shared" si="24"/>
        <v>4</v>
      </c>
      <c r="S107" s="64">
        <f t="shared" si="24"/>
        <v>4</v>
      </c>
      <c r="T107" s="64">
        <f t="shared" si="24"/>
        <v>4</v>
      </c>
      <c r="U107" s="64">
        <f t="shared" si="24"/>
        <v>0</v>
      </c>
      <c r="V107" s="64">
        <f t="shared" si="24"/>
        <v>4</v>
      </c>
      <c r="W107" s="64">
        <f t="shared" si="24"/>
        <v>4</v>
      </c>
      <c r="X107" s="64">
        <f t="shared" si="24"/>
        <v>3</v>
      </c>
      <c r="Y107" s="64">
        <f t="shared" si="24"/>
        <v>4</v>
      </c>
      <c r="Z107" s="64">
        <f t="shared" si="24"/>
        <v>4</v>
      </c>
      <c r="AA107" s="64">
        <f t="shared" si="24"/>
        <v>4</v>
      </c>
      <c r="AB107" s="64">
        <f t="shared" si="24"/>
        <v>0</v>
      </c>
      <c r="AC107" s="64">
        <f t="shared" si="24"/>
        <v>4</v>
      </c>
      <c r="AD107" s="64">
        <f t="shared" si="24"/>
        <v>4</v>
      </c>
      <c r="AE107" s="64">
        <f t="shared" si="24"/>
        <v>4</v>
      </c>
      <c r="AF107" s="64">
        <f t="shared" si="24"/>
        <v>4</v>
      </c>
      <c r="AG107" s="64">
        <f t="shared" si="24"/>
        <v>4</v>
      </c>
      <c r="AH107" s="64">
        <f t="shared" si="24"/>
        <v>4</v>
      </c>
      <c r="AI107" s="64">
        <f t="shared" si="24"/>
        <v>0</v>
      </c>
      <c r="AJ107"/>
      <c r="AK107" s="27"/>
      <c r="AL107" s="28"/>
      <c r="AM107"/>
      <c r="AN107" s="29"/>
    </row>
    <row r="108" spans="1:42" ht="15.9">
      <c r="C108" s="56"/>
      <c r="D108" s="57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97"/>
      <c r="AH108" s="98"/>
      <c r="AI108" s="27"/>
      <c r="AJ108"/>
      <c r="AK108" s="27"/>
      <c r="AL108" s="28"/>
      <c r="AM108"/>
      <c r="AN108" s="29"/>
    </row>
    <row r="109" spans="1:42" s="73" customFormat="1">
      <c r="C109" s="660" t="s">
        <v>122</v>
      </c>
      <c r="D109" s="660"/>
      <c r="E109" s="99"/>
      <c r="F109" s="661"/>
      <c r="G109" s="661"/>
      <c r="H109" s="661"/>
      <c r="I109" s="100"/>
      <c r="J109" s="661"/>
      <c r="K109" s="661"/>
      <c r="L109" s="100"/>
      <c r="M109" s="661"/>
      <c r="N109" s="661"/>
      <c r="O109" s="661"/>
      <c r="P109" s="100"/>
      <c r="Q109" s="661"/>
      <c r="R109" s="661"/>
      <c r="S109" s="100"/>
      <c r="T109" s="661"/>
      <c r="U109" s="661"/>
      <c r="V109" s="661"/>
      <c r="W109" s="100"/>
      <c r="X109" s="661"/>
      <c r="Y109" s="661"/>
      <c r="Z109" s="100"/>
      <c r="AA109" s="661"/>
      <c r="AB109" s="661"/>
      <c r="AC109" s="661"/>
      <c r="AD109" s="100"/>
      <c r="AE109" s="658"/>
      <c r="AF109" s="658"/>
      <c r="AG109" s="101"/>
      <c r="AH109" s="658"/>
      <c r="AI109" s="658"/>
      <c r="AJ109" s="80"/>
      <c r="AK109" s="27"/>
      <c r="AL109" s="28"/>
      <c r="AM109"/>
      <c r="AN109" s="29"/>
      <c r="AO109" s="1"/>
      <c r="AP109" s="1"/>
    </row>
    <row r="110" spans="1:42" s="73" customFormat="1">
      <c r="C110" s="660"/>
      <c r="D110" s="660"/>
      <c r="E110" s="102"/>
      <c r="F110" s="653"/>
      <c r="G110" s="653"/>
      <c r="H110" s="653"/>
      <c r="I110" s="103"/>
      <c r="J110" s="653"/>
      <c r="K110" s="653"/>
      <c r="L110" s="103"/>
      <c r="M110" s="653"/>
      <c r="N110" s="653"/>
      <c r="O110" s="653"/>
      <c r="P110" s="103"/>
      <c r="Q110" s="653"/>
      <c r="R110" s="653"/>
      <c r="S110" s="103"/>
      <c r="T110" s="653"/>
      <c r="U110" s="653"/>
      <c r="V110" s="653"/>
      <c r="W110" s="103"/>
      <c r="X110" s="653"/>
      <c r="Y110" s="653"/>
      <c r="Z110" s="103"/>
      <c r="AA110" s="653"/>
      <c r="AB110" s="653"/>
      <c r="AC110" s="653"/>
      <c r="AD110" s="103"/>
      <c r="AE110" s="648"/>
      <c r="AF110" s="648"/>
      <c r="AG110" s="104"/>
      <c r="AH110" s="648"/>
      <c r="AI110" s="648"/>
      <c r="AJ110" s="80"/>
      <c r="AK110" s="27"/>
      <c r="AL110" s="28"/>
      <c r="AM110"/>
      <c r="AN110" s="29"/>
      <c r="AO110" s="1"/>
      <c r="AP110" s="1"/>
    </row>
    <row r="111" spans="1:42" s="73" customFormat="1">
      <c r="C111" s="660"/>
      <c r="D111" s="660"/>
      <c r="E111" s="102"/>
      <c r="F111" s="653"/>
      <c r="G111" s="653"/>
      <c r="H111" s="653"/>
      <c r="I111" s="103"/>
      <c r="J111" s="653"/>
      <c r="K111" s="653"/>
      <c r="L111" s="103"/>
      <c r="M111" s="653"/>
      <c r="N111" s="653"/>
      <c r="O111" s="653"/>
      <c r="P111" s="103"/>
      <c r="Q111" s="653"/>
      <c r="R111" s="653"/>
      <c r="S111" s="103"/>
      <c r="T111" s="653"/>
      <c r="U111" s="653"/>
      <c r="V111" s="653"/>
      <c r="W111" s="103"/>
      <c r="X111" s="653"/>
      <c r="Y111" s="653"/>
      <c r="Z111" s="103"/>
      <c r="AA111" s="653"/>
      <c r="AB111" s="653"/>
      <c r="AC111" s="653"/>
      <c r="AD111" s="103"/>
      <c r="AE111" s="648"/>
      <c r="AF111" s="648"/>
      <c r="AG111" s="105"/>
      <c r="AH111" s="648"/>
      <c r="AI111" s="648"/>
      <c r="AJ111" s="80"/>
      <c r="AK111" s="27"/>
      <c r="AL111" s="28"/>
      <c r="AM111"/>
      <c r="AN111" s="29"/>
      <c r="AO111" s="1"/>
      <c r="AP111" s="1"/>
    </row>
    <row r="112" spans="1:42" s="73" customFormat="1">
      <c r="C112" s="660"/>
      <c r="D112" s="660"/>
      <c r="E112" s="106"/>
      <c r="F112" s="649"/>
      <c r="G112" s="649"/>
      <c r="H112" s="649"/>
      <c r="I112" s="107"/>
      <c r="J112" s="649"/>
      <c r="K112" s="649"/>
      <c r="L112" s="107"/>
      <c r="M112" s="649"/>
      <c r="N112" s="649"/>
      <c r="O112" s="649"/>
      <c r="P112" s="107"/>
      <c r="Q112" s="649"/>
      <c r="R112" s="649"/>
      <c r="S112" s="107"/>
      <c r="T112" s="649"/>
      <c r="U112" s="649"/>
      <c r="V112" s="649"/>
      <c r="W112" s="107"/>
      <c r="X112" s="649"/>
      <c r="Y112" s="649"/>
      <c r="Z112" s="107"/>
      <c r="AA112" s="649"/>
      <c r="AB112" s="649"/>
      <c r="AC112" s="649"/>
      <c r="AD112" s="107"/>
      <c r="AE112" s="651"/>
      <c r="AF112" s="651"/>
      <c r="AG112" s="108"/>
      <c r="AH112" s="651"/>
      <c r="AI112" s="651"/>
      <c r="AJ112" s="80"/>
      <c r="AK112" s="27"/>
      <c r="AL112" s="28"/>
      <c r="AM112"/>
      <c r="AN112" s="29"/>
      <c r="AO112" s="1"/>
      <c r="AP112" s="1"/>
    </row>
    <row r="113" spans="3:42" s="73" customFormat="1">
      <c r="C113" s="77"/>
      <c r="D113" s="77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109"/>
      <c r="AH113" s="110"/>
      <c r="AI113" s="79"/>
      <c r="AJ113" s="80"/>
      <c r="AK113" s="27"/>
      <c r="AL113" s="28"/>
      <c r="AM113"/>
      <c r="AN113" s="29"/>
      <c r="AO113" s="1"/>
      <c r="AP113" s="1"/>
    </row>
    <row r="114" spans="3:42" s="73" customFormat="1" ht="11.25" customHeight="1">
      <c r="C114" s="655" t="s">
        <v>123</v>
      </c>
      <c r="D114" s="655"/>
      <c r="E114" s="99"/>
      <c r="F114" s="656"/>
      <c r="G114" s="656"/>
      <c r="H114" s="656"/>
      <c r="I114" s="100"/>
      <c r="J114" s="657"/>
      <c r="K114" s="657"/>
      <c r="L114" s="100"/>
      <c r="M114" s="656"/>
      <c r="N114" s="656"/>
      <c r="O114" s="656"/>
      <c r="P114" s="100"/>
      <c r="Q114" s="657"/>
      <c r="R114" s="657"/>
      <c r="S114" s="100"/>
      <c r="T114" s="656"/>
      <c r="U114" s="656"/>
      <c r="V114" s="656"/>
      <c r="W114" s="100"/>
      <c r="X114" s="656"/>
      <c r="Y114" s="656"/>
      <c r="Z114" s="100"/>
      <c r="AA114" s="656"/>
      <c r="AB114" s="656"/>
      <c r="AC114" s="656"/>
      <c r="AD114" s="100"/>
      <c r="AE114" s="652"/>
      <c r="AF114" s="652"/>
      <c r="AG114" s="113"/>
      <c r="AH114" s="652"/>
      <c r="AI114" s="652"/>
      <c r="AJ114" s="80"/>
      <c r="AK114" s="27"/>
      <c r="AL114" s="28"/>
      <c r="AM114"/>
      <c r="AN114" s="29"/>
      <c r="AO114" s="1"/>
      <c r="AP114" s="1"/>
    </row>
    <row r="115" spans="3:42" s="73" customFormat="1" ht="11.25" customHeight="1">
      <c r="C115" s="655"/>
      <c r="D115" s="655"/>
      <c r="E115" s="102"/>
      <c r="F115" s="653"/>
      <c r="G115" s="653"/>
      <c r="H115" s="653"/>
      <c r="I115" s="103"/>
      <c r="J115" s="654"/>
      <c r="K115" s="654"/>
      <c r="L115" s="103"/>
      <c r="M115" s="653"/>
      <c r="N115" s="653"/>
      <c r="O115" s="653"/>
      <c r="P115" s="103"/>
      <c r="Q115" s="654"/>
      <c r="R115" s="654"/>
      <c r="S115" s="103"/>
      <c r="T115" s="653"/>
      <c r="U115" s="653"/>
      <c r="V115" s="653"/>
      <c r="W115" s="103"/>
      <c r="X115" s="653"/>
      <c r="Y115" s="653"/>
      <c r="Z115" s="103"/>
      <c r="AA115" s="653"/>
      <c r="AB115" s="653"/>
      <c r="AC115" s="653"/>
      <c r="AD115" s="103"/>
      <c r="AE115" s="648"/>
      <c r="AF115" s="648"/>
      <c r="AG115" s="104"/>
      <c r="AH115" s="648"/>
      <c r="AI115" s="648"/>
      <c r="AJ115" s="80"/>
      <c r="AK115" s="27"/>
      <c r="AL115" s="28"/>
      <c r="AM115"/>
      <c r="AN115" s="29"/>
      <c r="AO115" s="1"/>
      <c r="AP115" s="1"/>
    </row>
    <row r="116" spans="3:42" s="73" customFormat="1" ht="11.25" customHeight="1">
      <c r="C116" s="655"/>
      <c r="D116" s="655"/>
      <c r="E116" s="102"/>
      <c r="F116" s="653"/>
      <c r="G116" s="653"/>
      <c r="H116" s="653"/>
      <c r="I116" s="103"/>
      <c r="J116" s="654"/>
      <c r="K116" s="654"/>
      <c r="L116" s="103"/>
      <c r="M116" s="653"/>
      <c r="N116" s="653"/>
      <c r="O116" s="653"/>
      <c r="P116" s="103"/>
      <c r="Q116" s="654"/>
      <c r="R116" s="654"/>
      <c r="S116" s="103"/>
      <c r="T116" s="653"/>
      <c r="U116" s="653"/>
      <c r="V116" s="653"/>
      <c r="W116" s="103"/>
      <c r="X116" s="653"/>
      <c r="Y116" s="653"/>
      <c r="Z116" s="103"/>
      <c r="AA116" s="653"/>
      <c r="AB116" s="653"/>
      <c r="AC116" s="653"/>
      <c r="AD116" s="103"/>
      <c r="AE116" s="648"/>
      <c r="AF116" s="648"/>
      <c r="AG116" s="104"/>
      <c r="AH116" s="648"/>
      <c r="AI116" s="648"/>
      <c r="AJ116" s="80"/>
      <c r="AK116" s="27"/>
      <c r="AL116" s="28"/>
      <c r="AM116"/>
      <c r="AN116" s="29"/>
      <c r="AO116" s="1"/>
      <c r="AP116" s="1"/>
    </row>
    <row r="117" spans="3:42" s="73" customFormat="1" ht="11.25" customHeight="1">
      <c r="C117" s="655"/>
      <c r="D117" s="655"/>
      <c r="E117" s="106"/>
      <c r="F117" s="649"/>
      <c r="G117" s="649"/>
      <c r="H117" s="649"/>
      <c r="I117" s="107"/>
      <c r="J117" s="650"/>
      <c r="K117" s="650"/>
      <c r="L117" s="107"/>
      <c r="M117" s="649"/>
      <c r="N117" s="649"/>
      <c r="O117" s="649"/>
      <c r="P117" s="107"/>
      <c r="Q117" s="650"/>
      <c r="R117" s="650"/>
      <c r="S117" s="107"/>
      <c r="T117" s="649"/>
      <c r="U117" s="649"/>
      <c r="V117" s="649"/>
      <c r="W117" s="107"/>
      <c r="X117" s="649"/>
      <c r="Y117" s="649"/>
      <c r="Z117" s="107"/>
      <c r="AA117" s="649"/>
      <c r="AB117" s="649"/>
      <c r="AC117" s="649"/>
      <c r="AD117" s="107"/>
      <c r="AE117" s="651"/>
      <c r="AF117" s="651"/>
      <c r="AG117" s="108"/>
      <c r="AH117" s="651"/>
      <c r="AI117" s="651"/>
      <c r="AJ117" s="80"/>
      <c r="AK117" s="27"/>
      <c r="AL117" s="28"/>
      <c r="AM117"/>
      <c r="AN117" s="29"/>
      <c r="AO117" s="1"/>
      <c r="AP117" s="1"/>
    </row>
    <row r="118" spans="3:42" ht="15.9">
      <c r="C118" s="61"/>
      <c r="D118" s="81"/>
      <c r="AK118" s="27"/>
      <c r="AL118" s="28"/>
      <c r="AM118"/>
      <c r="AN118" s="29"/>
    </row>
  </sheetData>
  <mergeCells count="152">
    <mergeCell ref="C36:D39"/>
    <mergeCell ref="F36:H36"/>
    <mergeCell ref="J36:K36"/>
    <mergeCell ref="M36:O36"/>
    <mergeCell ref="Q36:R36"/>
    <mergeCell ref="T36:V36"/>
    <mergeCell ref="X36:Y36"/>
    <mergeCell ref="AA36:AC36"/>
    <mergeCell ref="AE36:AF36"/>
    <mergeCell ref="F38:H38"/>
    <mergeCell ref="J38:K38"/>
    <mergeCell ref="M38:O38"/>
    <mergeCell ref="Q38:R38"/>
    <mergeCell ref="T38:V38"/>
    <mergeCell ref="X38:Y38"/>
    <mergeCell ref="AA38:AC38"/>
    <mergeCell ref="AE38:AF38"/>
    <mergeCell ref="AH36:AI36"/>
    <mergeCell ref="F37:H37"/>
    <mergeCell ref="J37:K37"/>
    <mergeCell ref="M37:O37"/>
    <mergeCell ref="Q37:R37"/>
    <mergeCell ref="T37:V37"/>
    <mergeCell ref="X37:Y37"/>
    <mergeCell ref="AA37:AC37"/>
    <mergeCell ref="AE37:AF37"/>
    <mergeCell ref="AH37:AI37"/>
    <mergeCell ref="AH38:AI38"/>
    <mergeCell ref="F39:H39"/>
    <mergeCell ref="J39:K39"/>
    <mergeCell ref="M39:O39"/>
    <mergeCell ref="Q39:R39"/>
    <mergeCell ref="T39:V39"/>
    <mergeCell ref="X39:Y39"/>
    <mergeCell ref="AA39:AC39"/>
    <mergeCell ref="AE39:AF39"/>
    <mergeCell ref="AH39:AI39"/>
    <mergeCell ref="F40:H40"/>
    <mergeCell ref="F41:H41"/>
    <mergeCell ref="F42:H42"/>
    <mergeCell ref="C44:D47"/>
    <mergeCell ref="F44:H44"/>
    <mergeCell ref="J44:K44"/>
    <mergeCell ref="M44:O44"/>
    <mergeCell ref="Q44:R44"/>
    <mergeCell ref="T44:V44"/>
    <mergeCell ref="F46:H46"/>
    <mergeCell ref="J46:K46"/>
    <mergeCell ref="M46:O46"/>
    <mergeCell ref="Q46:R46"/>
    <mergeCell ref="T46:V46"/>
    <mergeCell ref="X44:Y44"/>
    <mergeCell ref="AA44:AC44"/>
    <mergeCell ref="AE44:AF44"/>
    <mergeCell ref="AH44:AI44"/>
    <mergeCell ref="F45:H45"/>
    <mergeCell ref="J45:K45"/>
    <mergeCell ref="M45:O45"/>
    <mergeCell ref="Q45:R45"/>
    <mergeCell ref="T45:V45"/>
    <mergeCell ref="X45:Y45"/>
    <mergeCell ref="AA45:AC45"/>
    <mergeCell ref="AE45:AF45"/>
    <mergeCell ref="AH45:AI45"/>
    <mergeCell ref="X46:Y46"/>
    <mergeCell ref="AA46:AC46"/>
    <mergeCell ref="AE46:AF46"/>
    <mergeCell ref="AH46:AI46"/>
    <mergeCell ref="F47:H47"/>
    <mergeCell ref="J47:K47"/>
    <mergeCell ref="M47:O47"/>
    <mergeCell ref="Q47:R47"/>
    <mergeCell ref="T47:V47"/>
    <mergeCell ref="X47:Y47"/>
    <mergeCell ref="AA47:AC47"/>
    <mergeCell ref="AE47:AF47"/>
    <mergeCell ref="AH47:AI47"/>
    <mergeCell ref="T49:X49"/>
    <mergeCell ref="C109:D112"/>
    <mergeCell ref="F109:H109"/>
    <mergeCell ref="J109:K109"/>
    <mergeCell ref="M109:O109"/>
    <mergeCell ref="Q109:R109"/>
    <mergeCell ref="T109:V109"/>
    <mergeCell ref="X109:Y109"/>
    <mergeCell ref="AA109:AC109"/>
    <mergeCell ref="F111:H111"/>
    <mergeCell ref="J111:K111"/>
    <mergeCell ref="M111:O111"/>
    <mergeCell ref="Q111:R111"/>
    <mergeCell ref="T111:V111"/>
    <mergeCell ref="X111:Y111"/>
    <mergeCell ref="AA111:AC111"/>
    <mergeCell ref="AE109:AF109"/>
    <mergeCell ref="AH109:AI109"/>
    <mergeCell ref="F110:H110"/>
    <mergeCell ref="J110:K110"/>
    <mergeCell ref="M110:O110"/>
    <mergeCell ref="Q110:R110"/>
    <mergeCell ref="T110:V110"/>
    <mergeCell ref="X110:Y110"/>
    <mergeCell ref="AA110:AC110"/>
    <mergeCell ref="AE110:AF110"/>
    <mergeCell ref="AH110:AI110"/>
    <mergeCell ref="AE111:AF111"/>
    <mergeCell ref="AH111:AI111"/>
    <mergeCell ref="F112:H112"/>
    <mergeCell ref="J112:K112"/>
    <mergeCell ref="M112:O112"/>
    <mergeCell ref="Q112:R112"/>
    <mergeCell ref="T112:V112"/>
    <mergeCell ref="X112:Y112"/>
    <mergeCell ref="AA112:AC112"/>
    <mergeCell ref="AE112:AF112"/>
    <mergeCell ref="AH112:AI112"/>
    <mergeCell ref="C114:D117"/>
    <mergeCell ref="F114:H114"/>
    <mergeCell ref="J114:K114"/>
    <mergeCell ref="M114:O114"/>
    <mergeCell ref="Q114:R114"/>
    <mergeCell ref="T114:V114"/>
    <mergeCell ref="X114:Y114"/>
    <mergeCell ref="AA114:AC114"/>
    <mergeCell ref="AE114:AF114"/>
    <mergeCell ref="F116:H116"/>
    <mergeCell ref="J116:K116"/>
    <mergeCell ref="M116:O116"/>
    <mergeCell ref="Q116:R116"/>
    <mergeCell ref="T116:V116"/>
    <mergeCell ref="X116:Y116"/>
    <mergeCell ref="AA116:AC116"/>
    <mergeCell ref="AE116:AF116"/>
    <mergeCell ref="AH114:AI114"/>
    <mergeCell ref="F115:H115"/>
    <mergeCell ref="J115:K115"/>
    <mergeCell ref="M115:O115"/>
    <mergeCell ref="Q115:R115"/>
    <mergeCell ref="T115:V115"/>
    <mergeCell ref="X115:Y115"/>
    <mergeCell ref="AA115:AC115"/>
    <mergeCell ref="AE115:AF115"/>
    <mergeCell ref="AH115:AI115"/>
    <mergeCell ref="AH116:AI116"/>
    <mergeCell ref="F117:H117"/>
    <mergeCell ref="J117:K117"/>
    <mergeCell ref="M117:O117"/>
    <mergeCell ref="Q117:R117"/>
    <mergeCell ref="T117:V117"/>
    <mergeCell ref="X117:Y117"/>
    <mergeCell ref="AA117:AC117"/>
    <mergeCell ref="AE117:AF117"/>
    <mergeCell ref="AH117:AI117"/>
  </mergeCells>
  <conditionalFormatting sqref="A2:A30 A88 A94">
    <cfRule type="containsText" dxfId="340" priority="116" operator="containsText" text="SG212">
      <formula>NOT(ISERROR(SEARCH("SG212",A2)))</formula>
    </cfRule>
    <cfRule type="containsText" dxfId="339" priority="114" operator="containsText" text="SG068">
      <formula>NOT(ISERROR(SEARCH("SG068",A2)))</formula>
    </cfRule>
    <cfRule type="containsText" dxfId="338" priority="115" operator="containsText" text="SG214">
      <formula>NOT(ISERROR(SEARCH("SG214",A2)))</formula>
    </cfRule>
    <cfRule type="containsText" dxfId="337" priority="113" operator="containsText" text="SG007">
      <formula>NOT(ISERROR(SEARCH("SG007",A2)))</formula>
    </cfRule>
  </conditionalFormatting>
  <conditionalFormatting sqref="A5:A30 A88 A94">
    <cfRule type="containsText" dxfId="336" priority="117" operator="containsText" text="SG070">
      <formula>NOT(ISERROR(SEARCH("SG070",A5)))</formula>
    </cfRule>
  </conditionalFormatting>
  <conditionalFormatting sqref="A103">
    <cfRule type="containsText" dxfId="335" priority="127" operator="containsText" text="SG070">
      <formula>NOT(ISERROR(SEARCH("SG070",A103)))</formula>
    </cfRule>
    <cfRule type="containsText" dxfId="334" priority="126" operator="containsText" text="SG212">
      <formula>NOT(ISERROR(SEARCH("SG212",A103)))</formula>
    </cfRule>
    <cfRule type="containsText" dxfId="333" priority="125" operator="containsText" text="SG214">
      <formula>NOT(ISERROR(SEARCH("SG214",A103)))</formula>
    </cfRule>
    <cfRule type="containsText" dxfId="332" priority="123" operator="containsText" text="SG007">
      <formula>NOT(ISERROR(SEARCH("SG007",A103)))</formula>
    </cfRule>
    <cfRule type="containsText" dxfId="331" priority="124" operator="containsText" text="SG068">
      <formula>NOT(ISERROR(SEARCH("SG068",A103)))</formula>
    </cfRule>
  </conditionalFormatting>
  <conditionalFormatting sqref="E30:I30 L30:P30 S30:W30 Z30:AD30">
    <cfRule type="cellIs" dxfId="330" priority="58" operator="greaterThan">
      <formula>0</formula>
    </cfRule>
  </conditionalFormatting>
  <conditionalFormatting sqref="E103:K103">
    <cfRule type="containsText" dxfId="329" priority="72" operator="containsText" text="s">
      <formula>NOT(ISERROR(SEARCH("s",E103)))</formula>
    </cfRule>
    <cfRule type="containsText" dxfId="328" priority="71" operator="containsText" text="u">
      <formula>NOT(ISERROR(SEARCH("u",E103)))</formula>
    </cfRule>
    <cfRule type="containsText" dxfId="327" priority="70" operator="containsText" text="k">
      <formula>NOT(ISERROR(SEARCH("k",E103)))</formula>
    </cfRule>
    <cfRule type="containsText" dxfId="326" priority="69" operator="containsText" text="wse">
      <formula>NOT(ISERROR(SEARCH("wse",E103)))</formula>
    </cfRule>
    <cfRule type="containsText" dxfId="325" priority="73" operator="containsText" text="d">
      <formula>NOT(ISERROR(SEARCH("d",E103)))</formula>
    </cfRule>
  </conditionalFormatting>
  <conditionalFormatting sqref="E30:AF30">
    <cfRule type="containsText" dxfId="323" priority="19" operator="containsText" text="12g">
      <formula>NOT(ISERROR(SEARCH("12g",E30)))</formula>
    </cfRule>
    <cfRule type="containsText" dxfId="321" priority="21" operator="containsText" text="wse">
      <formula>NOT(ISERROR(SEARCH("wse",E30)))</formula>
    </cfRule>
    <cfRule type="containsText" dxfId="320" priority="22" operator="containsText" text="k">
      <formula>NOT(ISERROR(SEARCH("k",E30)))</formula>
    </cfRule>
    <cfRule type="containsText" dxfId="319" priority="23" operator="containsText" text="u">
      <formula>NOT(ISERROR(SEARCH("u",E30)))</formula>
    </cfRule>
    <cfRule type="containsText" dxfId="318" priority="24" operator="containsText" text="s">
      <formula>NOT(ISERROR(SEARCH("s",E30)))</formula>
    </cfRule>
    <cfRule type="containsText" dxfId="317" priority="25" operator="containsText" text="d">
      <formula>NOT(ISERROR(SEARCH("d",E30)))</formula>
    </cfRule>
    <cfRule type="containsText" dxfId="316" priority="18" operator="containsText" text="l4">
      <formula>NOT(ISERROR(SEARCH("l4",E30)))</formula>
    </cfRule>
  </conditionalFormatting>
  <conditionalFormatting sqref="E103:AF103">
    <cfRule type="containsText" dxfId="315" priority="66" operator="containsText" text="l4">
      <formula>NOT(ISERROR(SEARCH("l4",E103)))</formula>
    </cfRule>
    <cfRule type="containsText" dxfId="314" priority="67" operator="containsText" text="12g">
      <formula>NOT(ISERROR(SEARCH("12g",E103)))</formula>
    </cfRule>
  </conditionalFormatting>
  <conditionalFormatting sqref="E2:AI29">
    <cfRule type="containsText" dxfId="313" priority="137" operator="containsText" text="wse">
      <formula>NOT(ISERROR(SEARCH("wse",E2)))</formula>
    </cfRule>
    <cfRule type="containsText" dxfId="312" priority="138" operator="containsText" text="L4">
      <formula>NOT(ISERROR(SEARCH("L4",E2)))</formula>
    </cfRule>
    <cfRule type="containsText" dxfId="311" priority="139" operator="containsText" text="S">
      <formula>NOT(ISERROR(SEARCH("S",E2)))</formula>
    </cfRule>
    <cfRule type="containsText" dxfId="310" priority="140" operator="containsText" text="UW">
      <formula>NOT(ISERROR(SEARCH("UW",E2)))</formula>
    </cfRule>
    <cfRule type="containsText" dxfId="309" priority="141" operator="containsText" text="D">
      <formula>NOT(ISERROR(SEARCH("D",E2)))</formula>
    </cfRule>
  </conditionalFormatting>
  <conditionalFormatting sqref="E2:AI102">
    <cfRule type="containsText" dxfId="308" priority="145" operator="containsText" text="sg112">
      <formula>NOT(ISERROR(SEARCH("sg112",E2)))</formula>
    </cfRule>
    <cfRule type="containsText" dxfId="307" priority="143" operator="containsText" text="sg046">
      <formula>NOT(ISERROR(SEARCH("sg046",E2)))</formula>
    </cfRule>
    <cfRule type="containsText" dxfId="306" priority="144" operator="containsText" text="sg068">
      <formula>NOT(ISERROR(SEARCH("sg068",E2)))</formula>
    </cfRule>
  </conditionalFormatting>
  <conditionalFormatting sqref="E4:AI102">
    <cfRule type="containsText" dxfId="305" priority="142" operator="containsText" text="sg312">
      <formula>NOT(ISERROR(SEARCH("sg312",E4)))</formula>
    </cfRule>
  </conditionalFormatting>
  <conditionalFormatting sqref="E31:AI31">
    <cfRule type="cellIs" dxfId="304" priority="62" operator="greaterThan">
      <formula>1.5</formula>
    </cfRule>
  </conditionalFormatting>
  <conditionalFormatting sqref="E31:AI32">
    <cfRule type="cellIs" dxfId="303" priority="59" operator="between">
      <formula>0.5</formula>
      <formula>1.5</formula>
    </cfRule>
  </conditionalFormatting>
  <conditionalFormatting sqref="E31:AI34">
    <cfRule type="cellIs" dxfId="302" priority="60" operator="equal">
      <formula>0</formula>
    </cfRule>
  </conditionalFormatting>
  <conditionalFormatting sqref="E32:AI32">
    <cfRule type="cellIs" dxfId="301" priority="63" operator="greaterThan">
      <formula>1.5</formula>
    </cfRule>
  </conditionalFormatting>
  <conditionalFormatting sqref="E33:AI33">
    <cfRule type="cellIs" dxfId="300" priority="64" operator="greaterThan">
      <formula>3.5</formula>
    </cfRule>
  </conditionalFormatting>
  <conditionalFormatting sqref="E34:AI34">
    <cfRule type="cellIs" dxfId="299" priority="17" operator="greaterThan">
      <formula>3.5</formula>
    </cfRule>
  </conditionalFormatting>
  <conditionalFormatting sqref="E51:AI102">
    <cfRule type="containsText" dxfId="298" priority="135" operator="containsText" text="d">
      <formula>NOT(ISERROR(SEARCH("d",E51)))</formula>
    </cfRule>
    <cfRule type="cellIs" dxfId="297" priority="136" operator="greaterThan">
      <formula>0</formula>
    </cfRule>
    <cfRule type="containsText" dxfId="296" priority="128" operator="containsText" text="l4">
      <formula>NOT(ISERROR(SEARCH("l4",E51)))</formula>
    </cfRule>
    <cfRule type="containsText" dxfId="295" priority="133" operator="containsText" text="u">
      <formula>NOT(ISERROR(SEARCH("u",E51)))</formula>
    </cfRule>
    <cfRule type="containsText" dxfId="294" priority="129" operator="containsText" text="12g">
      <formula>NOT(ISERROR(SEARCH("12g",E51)))</formula>
    </cfRule>
    <cfRule type="containsText" dxfId="292" priority="131" operator="containsText" text="wse">
      <formula>NOT(ISERROR(SEARCH("wse",E51)))</formula>
    </cfRule>
    <cfRule type="containsText" dxfId="291" priority="132" operator="containsText" text="k">
      <formula>NOT(ISERROR(SEARCH("k",E51)))</formula>
    </cfRule>
    <cfRule type="containsText" dxfId="290" priority="134" operator="containsText" text="s">
      <formula>NOT(ISERROR(SEARCH("s",E51)))</formula>
    </cfRule>
  </conditionalFormatting>
  <conditionalFormatting sqref="E104:AI104">
    <cfRule type="cellIs" dxfId="289" priority="110" operator="greaterThan">
      <formula>1.5</formula>
    </cfRule>
  </conditionalFormatting>
  <conditionalFormatting sqref="E104:AI105">
    <cfRule type="cellIs" dxfId="288" priority="107" operator="between">
      <formula>0.5</formula>
      <formula>1.5</formula>
    </cfRule>
  </conditionalFormatting>
  <conditionalFormatting sqref="E104:AI107">
    <cfRule type="cellIs" dxfId="287" priority="108" operator="equal">
      <formula>0</formula>
    </cfRule>
  </conditionalFormatting>
  <conditionalFormatting sqref="E105:AI105">
    <cfRule type="cellIs" dxfId="286" priority="111" operator="greaterThan">
      <formula>1.5</formula>
    </cfRule>
  </conditionalFormatting>
  <conditionalFormatting sqref="E106:AI106">
    <cfRule type="cellIs" dxfId="285" priority="112" operator="greaterThan">
      <formula>3.5</formula>
    </cfRule>
  </conditionalFormatting>
  <conditionalFormatting sqref="E107:AI107">
    <cfRule type="cellIs" dxfId="284" priority="65" operator="greaterThan">
      <formula>3.5</formula>
    </cfRule>
  </conditionalFormatting>
  <conditionalFormatting sqref="L103:R103">
    <cfRule type="containsText" dxfId="283" priority="77" operator="containsText" text="wse">
      <formula>NOT(ISERROR(SEARCH("wse",L103)))</formula>
    </cfRule>
    <cfRule type="containsText" dxfId="282" priority="78" operator="containsText" text="k">
      <formula>NOT(ISERROR(SEARCH("k",L103)))</formula>
    </cfRule>
    <cfRule type="containsText" dxfId="281" priority="79" operator="containsText" text="u">
      <formula>NOT(ISERROR(SEARCH("u",L103)))</formula>
    </cfRule>
    <cfRule type="containsText" dxfId="280" priority="80" operator="containsText" text="s">
      <formula>NOT(ISERROR(SEARCH("s",L103)))</formula>
    </cfRule>
    <cfRule type="containsText" dxfId="279" priority="81" operator="containsText" text="d">
      <formula>NOT(ISERROR(SEARCH("d",L103)))</formula>
    </cfRule>
  </conditionalFormatting>
  <conditionalFormatting sqref="S103:W103 Z103:AD103 L103:P103 E103:I103">
    <cfRule type="cellIs" dxfId="277" priority="106" operator="greaterThan">
      <formula>0</formula>
    </cfRule>
  </conditionalFormatting>
  <conditionalFormatting sqref="S103:W103">
    <cfRule type="containsText" dxfId="276" priority="104" operator="containsText" text="s">
      <formula>NOT(ISERROR(SEARCH("s",S103)))</formula>
    </cfRule>
    <cfRule type="containsText" dxfId="275" priority="105" operator="containsText" text="d">
      <formula>NOT(ISERROR(SEARCH("d",S103)))</formula>
    </cfRule>
    <cfRule type="containsText" dxfId="274" priority="103" operator="containsText" text="u">
      <formula>NOT(ISERROR(SEARCH("u",S103)))</formula>
    </cfRule>
    <cfRule type="containsText" dxfId="272" priority="101" operator="containsText" text="wse">
      <formula>NOT(ISERROR(SEARCH("wse",S103)))</formula>
    </cfRule>
    <cfRule type="containsText" dxfId="271" priority="102" operator="containsText" text="k">
      <formula>NOT(ISERROR(SEARCH("k",S103)))</formula>
    </cfRule>
  </conditionalFormatting>
  <conditionalFormatting sqref="X103:Y103">
    <cfRule type="containsText" dxfId="270" priority="88" operator="containsText" text="s">
      <formula>NOT(ISERROR(SEARCH("s",X103)))</formula>
    </cfRule>
    <cfRule type="containsText" dxfId="269" priority="89" operator="containsText" text="d">
      <formula>NOT(ISERROR(SEARCH("d",X103)))</formula>
    </cfRule>
    <cfRule type="containsText" dxfId="268" priority="87" operator="containsText" text="u">
      <formula>NOT(ISERROR(SEARCH("u",X103)))</formula>
    </cfRule>
    <cfRule type="containsText" dxfId="267" priority="86" operator="containsText" text="k">
      <formula>NOT(ISERROR(SEARCH("k",X103)))</formula>
    </cfRule>
    <cfRule type="containsText" dxfId="266" priority="85" operator="containsText" text="wse">
      <formula>NOT(ISERROR(SEARCH("wse",X103)))</formula>
    </cfRule>
  </conditionalFormatting>
  <conditionalFormatting sqref="Z103:AF103">
    <cfRule type="containsText" dxfId="264" priority="95" operator="containsText" text="u">
      <formula>NOT(ISERROR(SEARCH("u",Z103)))</formula>
    </cfRule>
    <cfRule type="containsText" dxfId="263" priority="96" operator="containsText" text="s">
      <formula>NOT(ISERROR(SEARCH("s",Z103)))</formula>
    </cfRule>
    <cfRule type="containsText" dxfId="262" priority="97" operator="containsText" text="d">
      <formula>NOT(ISERROR(SEARCH("d",Z103)))</formula>
    </cfRule>
    <cfRule type="containsText" dxfId="260" priority="93" operator="containsText" text="wse">
      <formula>NOT(ISERROR(SEARCH("wse",Z103)))</formula>
    </cfRule>
    <cfRule type="containsText" dxfId="259" priority="94" operator="containsText" text="k">
      <formula>NOT(ISERROR(SEARCH("k",Z103)))</formula>
    </cfRule>
  </conditionalFormatting>
  <conditionalFormatting sqref="AQ5:AQ14">
    <cfRule type="containsText" dxfId="258" priority="8" operator="containsText" text="d">
      <formula>NOT(ISERROR(SEARCH("d",AQ5)))</formula>
    </cfRule>
    <cfRule type="containsText" dxfId="257" priority="7" operator="containsText" text="s">
      <formula>NOT(ISERROR(SEARCH("s",AQ5)))</formula>
    </cfRule>
    <cfRule type="containsText" dxfId="256" priority="6" operator="containsText" text="u">
      <formula>NOT(ISERROR(SEARCH("u",AQ5)))</formula>
    </cfRule>
    <cfRule type="containsText" dxfId="255" priority="5" operator="containsText" text="k">
      <formula>NOT(ISERROR(SEARCH("k",AQ5)))</formula>
    </cfRule>
    <cfRule type="containsText" dxfId="254" priority="4" operator="containsText" text="wse">
      <formula>NOT(ISERROR(SEARCH("wse",AQ5)))</formula>
    </cfRule>
    <cfRule type="containsText" dxfId="252" priority="2" operator="containsText" text="12g">
      <formula>NOT(ISERROR(SEARCH("12g",AQ5)))</formula>
    </cfRule>
  </conditionalFormatting>
  <conditionalFormatting sqref="AQ15">
    <cfRule type="containsText" dxfId="251" priority="12" operator="containsText" text="wse">
      <formula>NOT(ISERROR(SEARCH("wse",AQ15)))</formula>
    </cfRule>
    <cfRule type="containsText" dxfId="249" priority="10" operator="containsText" text="12g">
      <formula>NOT(ISERROR(SEARCH("12g",AQ15)))</formula>
    </cfRule>
    <cfRule type="containsText" dxfId="248" priority="9" operator="containsText" text="l4">
      <formula>NOT(ISERROR(SEARCH("l4",AQ15)))</formula>
    </cfRule>
    <cfRule type="containsText" dxfId="247" priority="14" operator="containsText" text="u">
      <formula>NOT(ISERROR(SEARCH("u",AQ15)))</formula>
    </cfRule>
    <cfRule type="containsText" dxfId="246" priority="16" operator="containsText" text="d">
      <formula>NOT(ISERROR(SEARCH("d",AQ15)))</formula>
    </cfRule>
    <cfRule type="containsText" dxfId="245" priority="15" operator="containsText" text="s">
      <formula>NOT(ISERROR(SEARCH("s",AQ15)))</formula>
    </cfRule>
    <cfRule type="containsText" dxfId="244" priority="13" operator="containsText" text="k">
      <formula>NOT(ISERROR(SEARCH("k",AQ15)))</formula>
    </cfRule>
  </conditionalFormatting>
  <pageMargins left="0" right="0" top="0" bottom="0" header="0.51180555555555496" footer="0.51180555555555496"/>
  <pageSetup paperSize="9" orientation="landscape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8" operator="containsText" id="{4F8D5545-49E5-461A-B1DE-D25D4EC07971}">
            <xm:f>NOT(ISERROR(SEARCH("-",E103)))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E103:P103</xm:sqref>
        </x14:conditionalFormatting>
        <x14:conditionalFormatting xmlns:xm="http://schemas.microsoft.com/office/excel/2006/main">
          <x14:cfRule type="containsText" priority="20" operator="containsText" id="{3D47B92B-1F8A-403B-BDD0-A04270F8D5D7}">
            <xm:f>NOT(ISERROR(SEARCH("-",E30)))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E30:AF30</xm:sqref>
        </x14:conditionalFormatting>
        <x14:conditionalFormatting xmlns:xm="http://schemas.microsoft.com/office/excel/2006/main">
          <x14:cfRule type="containsText" priority="130" operator="containsText" id="{862E1B31-C57A-4E9D-B4CA-54BAC08FC63A}">
            <xm:f>NOT(ISERROR(SEARCH("-",E51)))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E51:AI102</xm:sqref>
        </x14:conditionalFormatting>
        <x14:conditionalFormatting xmlns:xm="http://schemas.microsoft.com/office/excel/2006/main">
          <x14:cfRule type="containsText" priority="76" operator="containsText" id="{1F707BDA-54A6-447F-836D-77CB41C921C4}">
            <xm:f>NOT(ISERROR(SEARCH("-",Q103)))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Q103:R103</xm:sqref>
        </x14:conditionalFormatting>
        <x14:conditionalFormatting xmlns:xm="http://schemas.microsoft.com/office/excel/2006/main">
          <x14:cfRule type="containsText" priority="100" operator="containsText" id="{53DCF0C5-E995-4DAB-A345-1752D5891170}">
            <xm:f>NOT(ISERROR(SEARCH("-",S103)))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S103:W103</xm:sqref>
        </x14:conditionalFormatting>
        <x14:conditionalFormatting xmlns:xm="http://schemas.microsoft.com/office/excel/2006/main">
          <x14:cfRule type="containsText" priority="84" operator="containsText" id="{B6C71CC2-C4D6-42B7-9A46-676C7AE73911}">
            <xm:f>NOT(ISERROR(SEARCH("-",X103)))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X103:Y103</xm:sqref>
        </x14:conditionalFormatting>
        <x14:conditionalFormatting xmlns:xm="http://schemas.microsoft.com/office/excel/2006/main">
          <x14:cfRule type="containsText" priority="92" operator="containsText" id="{B2C75D6F-EEBE-4E2A-8593-16FE24AC85E9}">
            <xm:f>NOT(ISERROR(SEARCH("-",Z103)))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Z103:AF103</xm:sqref>
        </x14:conditionalFormatting>
        <x14:conditionalFormatting xmlns:xm="http://schemas.microsoft.com/office/excel/2006/main">
          <x14:cfRule type="containsText" priority="3" operator="containsText" id="{4FDD4180-CD38-4633-8975-F5AE8C3B40A1}">
            <xm:f>NOT(ISERROR(SEARCH("-",AQ5)))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AQ5:AQ14</xm:sqref>
        </x14:conditionalFormatting>
        <x14:conditionalFormatting xmlns:xm="http://schemas.microsoft.com/office/excel/2006/main">
          <x14:cfRule type="containsText" priority="11" operator="containsText" id="{2155FE75-375A-4043-93ED-7A60259D10C4}">
            <xm:f>NOT(ISERROR(SEARCH("-",AQ15)))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AQ15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34"/>
  <sheetViews>
    <sheetView zoomScaleNormal="100" workbookViewId="0"/>
  </sheetViews>
  <sheetFormatPr defaultColWidth="8.69140625" defaultRowHeight="14.6"/>
  <cols>
    <col min="1" max="1" width="3.84375" style="176" customWidth="1"/>
    <col min="2" max="2" width="6" style="177" customWidth="1"/>
    <col min="3" max="3" width="28.84375" style="178" customWidth="1"/>
    <col min="4" max="4" width="23.84375" customWidth="1"/>
    <col min="5" max="5" width="24.53515625" customWidth="1"/>
    <col min="7" max="7" width="20.3046875" customWidth="1"/>
    <col min="8" max="8" width="4" customWidth="1"/>
    <col min="9" max="9" width="20.3046875" customWidth="1"/>
    <col min="10" max="11" width="4" customWidth="1"/>
    <col min="12" max="12" width="20.3046875" customWidth="1"/>
    <col min="13" max="13" width="4" customWidth="1"/>
    <col min="14" max="14" width="20.3046875" customWidth="1"/>
  </cols>
  <sheetData>
    <row r="1" spans="1:14" ht="30.9">
      <c r="B1" s="686" t="s">
        <v>357</v>
      </c>
      <c r="C1" s="686"/>
      <c r="D1" s="686"/>
      <c r="E1" s="686"/>
      <c r="G1" s="694" t="s">
        <v>275</v>
      </c>
      <c r="H1" s="694"/>
      <c r="I1" s="694"/>
      <c r="J1" s="694"/>
      <c r="K1" s="694"/>
      <c r="L1" s="694"/>
      <c r="M1" s="694"/>
      <c r="N1" s="694"/>
    </row>
    <row r="2" spans="1:14" ht="28.3">
      <c r="A2" s="687" t="s">
        <v>178</v>
      </c>
      <c r="B2" s="687"/>
      <c r="C2" s="687"/>
      <c r="D2" s="687"/>
      <c r="E2" s="687"/>
      <c r="G2" s="695" t="s">
        <v>221</v>
      </c>
      <c r="H2" s="695"/>
      <c r="I2" s="695"/>
      <c r="J2" s="234"/>
      <c r="K2" s="235"/>
      <c r="L2" s="696" t="s">
        <v>222</v>
      </c>
      <c r="M2" s="696"/>
      <c r="N2" s="696"/>
    </row>
    <row r="3" spans="1:14" ht="23.15">
      <c r="A3" s="688">
        <v>44409</v>
      </c>
      <c r="B3" s="688"/>
      <c r="C3" s="180" t="s">
        <v>179</v>
      </c>
      <c r="D3" s="181" t="s">
        <v>180</v>
      </c>
      <c r="E3" s="181" t="s">
        <v>180</v>
      </c>
      <c r="G3" s="28"/>
      <c r="J3" s="29"/>
      <c r="K3" s="28"/>
      <c r="N3" s="29"/>
    </row>
    <row r="4" spans="1:14" ht="19.3">
      <c r="A4" s="374">
        <v>1</v>
      </c>
      <c r="B4" s="190" t="s">
        <v>341</v>
      </c>
      <c r="C4" s="191" t="str">
        <f>VLOOKUP("D",SIERPIEŃ!$E$2:$AJ$32,32,0)</f>
        <v>F-sz 007</v>
      </c>
      <c r="D4" s="237"/>
      <c r="E4" s="237"/>
      <c r="G4" s="238"/>
      <c r="I4" s="238"/>
      <c r="J4" s="29"/>
      <c r="K4" s="28"/>
      <c r="L4" s="238"/>
      <c r="N4" s="238"/>
    </row>
    <row r="5" spans="1:14" ht="19.3">
      <c r="A5" s="189">
        <v>2</v>
      </c>
      <c r="B5" s="190" t="s">
        <v>342</v>
      </c>
      <c r="C5" s="191" t="str">
        <f>VLOOKUP("D",SIERPIEŃ!F$2:$AJ$31,31,0)</f>
        <v>F-sz 005</v>
      </c>
      <c r="D5" s="240" t="s">
        <v>358</v>
      </c>
      <c r="E5" s="192"/>
      <c r="G5" s="307" t="str">
        <f>LIPIEC!F37</f>
        <v>JAKIMIAK</v>
      </c>
      <c r="I5" s="308" t="str">
        <f>LIPIEC!J37</f>
        <v>ŚWIREPO</v>
      </c>
      <c r="J5" s="29"/>
      <c r="K5" s="28"/>
      <c r="L5" s="309" t="str">
        <f>LIPIEC!F42</f>
        <v>KUKIEŁKA</v>
      </c>
      <c r="N5" s="310" t="str">
        <f>LIPIEC!J42</f>
        <v>MAJCHER</v>
      </c>
    </row>
    <row r="6" spans="1:14" ht="21.75" customHeight="1">
      <c r="A6" s="189">
        <v>3</v>
      </c>
      <c r="B6" s="190" t="s">
        <v>343</v>
      </c>
      <c r="C6" s="191" t="str">
        <f>VLOOKUP("D",SIERPIEŃ!G$2:$AJ$29,30,0)</f>
        <v>F-sz 016</v>
      </c>
      <c r="D6" s="192" t="s">
        <v>359</v>
      </c>
      <c r="E6" s="192"/>
      <c r="G6" s="307" t="str">
        <f>LIPIEC!F38</f>
        <v>PALUCH</v>
      </c>
      <c r="I6" s="308" t="str">
        <f>LIPIEC!J38</f>
        <v>SZYMAŃSKI</v>
      </c>
      <c r="J6" s="29"/>
      <c r="K6" s="28"/>
      <c r="L6" s="309" t="str">
        <f>LIPIEC!F43</f>
        <v>STOPA</v>
      </c>
      <c r="N6" s="310" t="str">
        <f>LIPIEC!J43</f>
        <v>PIEŃKOWSKI</v>
      </c>
    </row>
    <row r="7" spans="1:14" ht="21.75" customHeight="1">
      <c r="A7" s="189">
        <v>4</v>
      </c>
      <c r="B7" s="190" t="s">
        <v>344</v>
      </c>
      <c r="C7" s="191" t="str">
        <f>VLOOKUP("D",SIERPIEŃ!H$2:$AJ$30,29,0)</f>
        <v>F-sz 004</v>
      </c>
      <c r="D7" s="192"/>
      <c r="E7" s="192"/>
      <c r="G7" s="307" t="str">
        <f>LIPIEC!F39</f>
        <v>ZEMBRZUSKI</v>
      </c>
      <c r="I7" s="308" t="str">
        <f>LIPIEC!J39</f>
        <v>ZAWOLIK</v>
      </c>
      <c r="J7" s="29"/>
      <c r="K7" s="28"/>
      <c r="L7" s="309" t="str">
        <f>LIPIEC!F44</f>
        <v>ORZECHOWSKI</v>
      </c>
      <c r="N7" s="310" t="str">
        <f>LIPIEC!J44</f>
        <v>MATUK</v>
      </c>
    </row>
    <row r="8" spans="1:14" ht="21.75" customHeight="1">
      <c r="A8" s="189">
        <v>5</v>
      </c>
      <c r="B8" s="190" t="s">
        <v>338</v>
      </c>
      <c r="C8" s="191" t="str">
        <f>VLOOKUP("D",SIERPIEŃ!I$2:$AJ$30,28,0)</f>
        <v>F-sz 028</v>
      </c>
      <c r="D8" s="192"/>
      <c r="E8" s="192"/>
      <c r="G8" s="307" t="str">
        <f>LIPIEC!F40</f>
        <v>DRGAS</v>
      </c>
      <c r="I8" s="308" t="str">
        <f>LIPIEC!J40</f>
        <v>ZATWARNICKA</v>
      </c>
      <c r="J8" s="29"/>
      <c r="K8" s="28"/>
      <c r="L8" s="309" t="str">
        <f>LIPIEC!F45</f>
        <v>WITCZAK</v>
      </c>
      <c r="N8" s="310" t="str">
        <f>LIPIEC!J45</f>
        <v>KOMOSA</v>
      </c>
    </row>
    <row r="9" spans="1:14" ht="21.75" customHeight="1">
      <c r="A9" s="189">
        <v>6</v>
      </c>
      <c r="B9" s="190" t="s">
        <v>339</v>
      </c>
      <c r="C9" s="191" t="str">
        <f>VLOOKUP("D",SIERPIEŃ!J$2:$AJ$30,27,0)</f>
        <v>F-sz 014</v>
      </c>
      <c r="D9" s="192"/>
      <c r="E9" s="192"/>
      <c r="G9" s="28"/>
      <c r="J9" s="29"/>
      <c r="K9" s="28"/>
      <c r="N9" s="29"/>
    </row>
    <row r="10" spans="1:14" ht="21.75" customHeight="1">
      <c r="A10" s="189">
        <v>7</v>
      </c>
      <c r="B10" s="190" t="s">
        <v>340</v>
      </c>
      <c r="C10" s="191" t="str">
        <f>VLOOKUP("D",SIERPIEŃ!K$2:$AJ$30,26,0)</f>
        <v>F-sz 009</v>
      </c>
      <c r="D10" s="192"/>
      <c r="E10" s="192"/>
      <c r="G10" s="249"/>
      <c r="I10" s="249"/>
      <c r="J10" s="29"/>
      <c r="K10" s="28"/>
      <c r="L10" s="249"/>
      <c r="N10" s="249"/>
    </row>
    <row r="11" spans="1:14" ht="21.75" customHeight="1">
      <c r="A11" s="189">
        <v>8</v>
      </c>
      <c r="B11" s="190" t="s">
        <v>341</v>
      </c>
      <c r="C11" s="191" t="str">
        <f>VLOOKUP("D",SIERPIEŃ!L$2:$AJ$30,25,0)</f>
        <v>F-sz 005</v>
      </c>
      <c r="D11" s="193"/>
      <c r="E11" s="192"/>
      <c r="G11" s="307" t="str">
        <f>LIPIEC!M37</f>
        <v>JAKIMIAK</v>
      </c>
      <c r="I11" s="308" t="str">
        <f>LIPIEC!Q37</f>
        <v>MOSKALONEK</v>
      </c>
      <c r="J11" s="29"/>
      <c r="K11" s="28"/>
      <c r="L11" s="310" t="str">
        <f>LIPIEC!N42</f>
        <v>MAJCHER</v>
      </c>
      <c r="N11" s="310" t="str">
        <f>LIPIEC!Q42</f>
        <v>CHŁOPECKI</v>
      </c>
    </row>
    <row r="12" spans="1:14" ht="21.75" customHeight="1">
      <c r="A12" s="189">
        <v>9</v>
      </c>
      <c r="B12" s="190" t="s">
        <v>342</v>
      </c>
      <c r="C12" s="191" t="str">
        <f>VLOOKUP("D",SIERPIEŃ!M$2:$AJ$30,24,0)</f>
        <v>F-sz 019</v>
      </c>
      <c r="D12" s="192"/>
      <c r="E12" s="192"/>
      <c r="G12" s="307" t="str">
        <f>LIPIEC!M38</f>
        <v>SZYMAŃSKI</v>
      </c>
      <c r="I12" s="308" t="str">
        <f>LIPIEC!Q38</f>
        <v>ZAJĄC</v>
      </c>
      <c r="J12" s="29"/>
      <c r="K12" s="28"/>
      <c r="L12" s="310" t="str">
        <f>LIPIEC!N43</f>
        <v>GĘBALA</v>
      </c>
      <c r="N12" s="310" t="str">
        <f>LIPIEC!Q43</f>
        <v>BUDZISŁAWSKI</v>
      </c>
    </row>
    <row r="13" spans="1:14" ht="21.75" customHeight="1">
      <c r="A13" s="189">
        <v>10</v>
      </c>
      <c r="B13" s="190" t="s">
        <v>343</v>
      </c>
      <c r="C13" s="191" t="str">
        <f>VLOOKUP("D",SIERPIEŃ!N$2:$AJ$30,23,0)</f>
        <v>F-sz 021</v>
      </c>
      <c r="D13" s="192"/>
      <c r="E13" s="192"/>
      <c r="G13" s="307" t="str">
        <f>LIPIEC!M39</f>
        <v>ZAWOLIK</v>
      </c>
      <c r="I13" s="308" t="str">
        <f>LIPIEC!Q39</f>
        <v>SPRUTTA</v>
      </c>
      <c r="J13" s="29"/>
      <c r="K13" s="28"/>
      <c r="L13" s="310" t="str">
        <f>LIPIEC!N44</f>
        <v>MATUK</v>
      </c>
      <c r="N13" s="310" t="str">
        <f>LIPIEC!Q44</f>
        <v>PEZAŁA</v>
      </c>
    </row>
    <row r="14" spans="1:14" ht="21.75" customHeight="1">
      <c r="A14" s="189">
        <v>11</v>
      </c>
      <c r="B14" s="190" t="s">
        <v>344</v>
      </c>
      <c r="C14" s="191" t="str">
        <f>VLOOKUP("D",SIERPIEŃ!O$2:$AJ$30,22,0)</f>
        <v>F-sz 020</v>
      </c>
      <c r="D14" s="192"/>
      <c r="E14" s="192"/>
      <c r="G14" s="307" t="str">
        <f>LIPIEC!M40</f>
        <v>ZATWARNICKA</v>
      </c>
      <c r="I14" s="308" t="str">
        <f>LIPIEC!Q40</f>
        <v>PRYCA</v>
      </c>
      <c r="J14" s="29"/>
      <c r="K14" s="28"/>
      <c r="L14" s="310" t="str">
        <f>LIPIEC!N45</f>
        <v>KOMOSA</v>
      </c>
      <c r="N14" s="310" t="str">
        <f>LIPIEC!Q45</f>
        <v>ROZMYTAŃSKA</v>
      </c>
    </row>
    <row r="15" spans="1:14" ht="21.75" customHeight="1">
      <c r="A15" s="189">
        <v>12</v>
      </c>
      <c r="B15" s="190" t="s">
        <v>338</v>
      </c>
      <c r="C15" s="191" t="str">
        <f>VLOOKUP("D",SIERPIEŃ!P$2:$AJ$30,21,0)</f>
        <v>F-sz 004</v>
      </c>
      <c r="D15" s="192"/>
      <c r="E15" s="192"/>
      <c r="G15" s="28"/>
      <c r="J15" s="29"/>
      <c r="K15" s="28"/>
      <c r="N15" s="29"/>
    </row>
    <row r="16" spans="1:14" ht="21.75" customHeight="1">
      <c r="A16" s="189">
        <v>13</v>
      </c>
      <c r="B16" s="190" t="s">
        <v>339</v>
      </c>
      <c r="C16" s="191" t="str">
        <f>VLOOKUP("D",SIERPIEŃ!Q$2:$AJ$30,20,0)</f>
        <v>F-sz 016</v>
      </c>
      <c r="D16" s="192"/>
      <c r="E16" s="192"/>
      <c r="G16" s="249"/>
      <c r="I16" s="249"/>
      <c r="J16" s="29"/>
      <c r="K16" s="28"/>
      <c r="L16" s="249"/>
      <c r="N16" s="249"/>
    </row>
    <row r="17" spans="1:14" ht="21.75" customHeight="1">
      <c r="A17" s="189">
        <v>14</v>
      </c>
      <c r="B17" s="190" t="s">
        <v>340</v>
      </c>
      <c r="C17" s="191" t="str">
        <f>VLOOKUP("D",SIERPIEŃ!R$2:$AJ$30,19,0)</f>
        <v>F-sz 015</v>
      </c>
      <c r="D17" s="192"/>
      <c r="E17" s="192"/>
      <c r="G17" s="307" t="str">
        <f>LIPIEC!T37</f>
        <v>PALUCH</v>
      </c>
      <c r="I17" s="308" t="str">
        <f>LIPIEC!X37</f>
        <v>GRZESIAK</v>
      </c>
      <c r="J17" s="29"/>
      <c r="K17" s="28"/>
      <c r="L17" s="309" t="str">
        <f>LIPIEC!U42</f>
        <v>PADJAS</v>
      </c>
      <c r="N17" s="309" t="str">
        <f>LIPIEC!X42</f>
        <v>ZWOLIŃSKI</v>
      </c>
    </row>
    <row r="18" spans="1:14" ht="21.75" customHeight="1">
      <c r="A18" s="189">
        <v>15</v>
      </c>
      <c r="B18" s="190" t="s">
        <v>341</v>
      </c>
      <c r="C18" s="191" t="str">
        <f>VLOOKUP("D",SIERPIEŃ!S$2:$AJ$30,18,0)</f>
        <v>F-sz 021</v>
      </c>
      <c r="D18" s="192"/>
      <c r="E18" s="192"/>
      <c r="G18" s="307" t="str">
        <f>LIPIEC!T38</f>
        <v>ZAJĄC</v>
      </c>
      <c r="I18" s="308" t="str">
        <f>LIPIEC!X38</f>
        <v>STRANC</v>
      </c>
      <c r="J18" s="29"/>
      <c r="K18" s="28"/>
      <c r="L18" s="309" t="str">
        <f>LIPIEC!U43</f>
        <v>CHŁOPECKI</v>
      </c>
      <c r="N18" s="309" t="str">
        <f>LIPIEC!X43</f>
        <v>KOSTRZEWSKI</v>
      </c>
    </row>
    <row r="19" spans="1:14" ht="21.75" customHeight="1">
      <c r="A19" s="189">
        <v>16</v>
      </c>
      <c r="B19" s="190" t="s">
        <v>342</v>
      </c>
      <c r="C19" s="191" t="str">
        <f>VLOOKUP("D",SIERPIEŃ!T$2:$AJ$30,17,0)</f>
        <v>F-sz 016</v>
      </c>
      <c r="D19" s="192"/>
      <c r="E19" s="192"/>
      <c r="G19" s="307" t="str">
        <f>LIPIEC!T39</f>
        <v>SPRUTTA</v>
      </c>
      <c r="I19" s="308" t="str">
        <f>LIPIEC!X39</f>
        <v>ŁUKACZ</v>
      </c>
      <c r="J19" s="29"/>
      <c r="K19" s="28"/>
      <c r="L19" s="309" t="str">
        <f>LIPIEC!U44</f>
        <v>BUDZISŁ</v>
      </c>
      <c r="N19" s="309" t="str">
        <f>LIPIEC!X44</f>
        <v>PAWLAK</v>
      </c>
    </row>
    <row r="20" spans="1:14" ht="21.75" customHeight="1">
      <c r="A20" s="189">
        <v>17</v>
      </c>
      <c r="B20" s="190" t="s">
        <v>343</v>
      </c>
      <c r="C20" s="191" t="str">
        <f>VLOOKUP("D",SIERPIEŃ!U$2:$AJ$30,16,0)</f>
        <v>F-sz 020</v>
      </c>
      <c r="D20" s="192"/>
      <c r="E20" s="192"/>
      <c r="G20" s="307" t="str">
        <f>LIPIEC!T40</f>
        <v>PRYCA</v>
      </c>
      <c r="I20" s="308" t="str">
        <f>LIPIEC!X40</f>
        <v>PAWŁOWSKA</v>
      </c>
      <c r="J20" s="29"/>
      <c r="K20" s="28"/>
      <c r="L20" s="309" t="str">
        <f>LIPIEC!U45</f>
        <v>LISEWSKI</v>
      </c>
      <c r="N20" s="309" t="str">
        <f>LIPIEC!X45</f>
        <v>SKALSKA</v>
      </c>
    </row>
    <row r="21" spans="1:14" ht="21.75" customHeight="1">
      <c r="A21" s="189">
        <v>18</v>
      </c>
      <c r="B21" s="190" t="s">
        <v>344</v>
      </c>
      <c r="C21" s="191" t="str">
        <f>VLOOKUP("D",SIERPIEŃ!V$2:$AJ$30,15,0)</f>
        <v>F-sz 001</v>
      </c>
      <c r="D21" s="192"/>
      <c r="E21" s="192"/>
      <c r="G21" s="28"/>
      <c r="J21" s="29"/>
      <c r="K21" s="28"/>
      <c r="N21" s="29"/>
    </row>
    <row r="22" spans="1:14" ht="21.75" customHeight="1">
      <c r="A22" s="189">
        <v>19</v>
      </c>
      <c r="B22" s="190" t="s">
        <v>338</v>
      </c>
      <c r="C22" s="191" t="str">
        <f>VLOOKUP("D",SIERPIEŃ!W$2:$AJ$30,14,0)</f>
        <v>F-sz 025</v>
      </c>
      <c r="D22" s="192"/>
      <c r="E22" s="192"/>
      <c r="G22" s="249"/>
      <c r="I22" s="249"/>
      <c r="J22" s="29"/>
      <c r="K22" s="28"/>
      <c r="L22" s="249"/>
      <c r="N22" s="249"/>
    </row>
    <row r="23" spans="1:14" ht="21.75" customHeight="1">
      <c r="A23" s="189">
        <v>20</v>
      </c>
      <c r="B23" s="190" t="s">
        <v>339</v>
      </c>
      <c r="C23" s="191" t="str">
        <f>VLOOKUP("D",SIERPIEŃ!X$2:$AJ$30,13,0)</f>
        <v>F-sz 021</v>
      </c>
      <c r="D23" s="192"/>
      <c r="E23" s="192"/>
      <c r="G23" s="307" t="str">
        <f>LIPIEC!AA37</f>
        <v>SZCZEPANIAK</v>
      </c>
      <c r="I23" s="308" t="str">
        <f>LIPIEC!AE37</f>
        <v>KALITA</v>
      </c>
      <c r="J23" s="29"/>
      <c r="K23" s="28"/>
      <c r="L23" s="309" t="str">
        <f>LIPIEC!X42</f>
        <v>ZWOLIŃSKI</v>
      </c>
      <c r="N23" s="310" t="str">
        <f>LIPIEC!AE42</f>
        <v>KUKIEŁKA</v>
      </c>
    </row>
    <row r="24" spans="1:14" ht="21.75" customHeight="1">
      <c r="A24" s="189">
        <v>21</v>
      </c>
      <c r="B24" s="190" t="s">
        <v>340</v>
      </c>
      <c r="C24" s="191" t="str">
        <f>VLOOKUP("D",SIERPIEŃ!Y$2:$AJ$30,12,0)</f>
        <v>F-sz 013</v>
      </c>
      <c r="D24" s="192"/>
      <c r="E24" s="192"/>
      <c r="G24" s="307" t="str">
        <f>LIPIEC!AA38</f>
        <v>KUSIAK</v>
      </c>
      <c r="I24" s="308" t="str">
        <f>LIPIEC!AE38</f>
        <v>WALKOWIAK</v>
      </c>
      <c r="J24" s="29"/>
      <c r="K24" s="28"/>
      <c r="L24" s="309" t="str">
        <f>LIPIEC!X43</f>
        <v>KOSTRZEWSKI</v>
      </c>
      <c r="N24" s="310" t="str">
        <f>LIPIEC!AE43</f>
        <v>PERKOWSKI</v>
      </c>
    </row>
    <row r="25" spans="1:14" ht="21.75" customHeight="1">
      <c r="A25" s="189">
        <v>22</v>
      </c>
      <c r="B25" s="190" t="s">
        <v>341</v>
      </c>
      <c r="C25" s="191" t="str">
        <f>VLOOKUP("D",SIERPIEŃ!Z$2:$AJ$30,11,0)</f>
        <v>F-sz 015</v>
      </c>
      <c r="D25" s="192"/>
      <c r="E25" s="192"/>
      <c r="G25" s="307" t="str">
        <f>LIPIEC!AA39</f>
        <v>ŁUKACZ</v>
      </c>
      <c r="I25" s="308" t="str">
        <f>LIPIEC!AE39</f>
        <v>WITWICKI</v>
      </c>
      <c r="J25" s="29"/>
      <c r="K25" s="28"/>
      <c r="L25" s="309" t="str">
        <f>LIPIEC!X44</f>
        <v>PAWLAK</v>
      </c>
      <c r="N25" s="310" t="str">
        <f>LIPIEC!AE44</f>
        <v>ZIEMKOWSKI</v>
      </c>
    </row>
    <row r="26" spans="1:14" ht="21.75" customHeight="1">
      <c r="A26" s="189">
        <v>23</v>
      </c>
      <c r="B26" s="190" t="s">
        <v>342</v>
      </c>
      <c r="C26" s="191" t="str">
        <f>VLOOKUP("D",SIERPIEŃ!AA$2:$AJ$30,10,0)</f>
        <v>F-sz 006</v>
      </c>
      <c r="D26" s="192"/>
      <c r="E26" s="192"/>
      <c r="G26" s="307" t="str">
        <f>LIPIEC!AA40</f>
        <v>PAWŁOWSKA</v>
      </c>
      <c r="H26" s="319"/>
      <c r="I26" s="308" t="str">
        <f>LIPIEC!AE40</f>
        <v>NOWICKI</v>
      </c>
      <c r="J26" s="320"/>
      <c r="K26" s="321"/>
      <c r="L26" s="309" t="str">
        <f>LIPIEC!X45</f>
        <v>SKALSKA</v>
      </c>
      <c r="M26" s="319"/>
      <c r="N26" s="310" t="str">
        <f>LIPIEC!AE45</f>
        <v>KOSIŃSKI</v>
      </c>
    </row>
    <row r="27" spans="1:14" ht="21.75" customHeight="1">
      <c r="A27" s="189">
        <v>24</v>
      </c>
      <c r="B27" s="190" t="s">
        <v>343</v>
      </c>
      <c r="C27" s="191" t="str">
        <f>VLOOKUP("D",SIERPIEŃ!AB$2:$AJ$29,9,0)</f>
        <v>F-sz 024</v>
      </c>
      <c r="D27" s="192"/>
      <c r="E27" s="192"/>
      <c r="G27" s="322"/>
      <c r="H27" s="323"/>
      <c r="I27" s="323"/>
      <c r="J27" s="324"/>
      <c r="K27" s="322"/>
      <c r="L27" s="323"/>
      <c r="M27" s="323"/>
      <c r="N27" s="324"/>
    </row>
    <row r="28" spans="1:14" ht="21.75" customHeight="1">
      <c r="A28" s="189">
        <v>25</v>
      </c>
      <c r="B28" s="190" t="s">
        <v>344</v>
      </c>
      <c r="C28" s="191" t="str">
        <f>VLOOKUP("D",SIERPIEŃ!AC$2:$AJ$30,8,0)</f>
        <v>F-sz 010</v>
      </c>
      <c r="D28" s="192"/>
      <c r="E28" s="192"/>
      <c r="G28" s="249"/>
      <c r="I28" s="325"/>
      <c r="J28" s="29"/>
      <c r="K28" s="28"/>
      <c r="L28" s="249"/>
      <c r="N28" s="326"/>
    </row>
    <row r="29" spans="1:14" ht="21.75" customHeight="1">
      <c r="A29" s="189">
        <v>26</v>
      </c>
      <c r="B29" s="190" t="s">
        <v>338</v>
      </c>
      <c r="C29" s="191" t="str">
        <f>VLOOKUP("D",SIERPIEŃ!AD$2:$AJ$30,7,0)</f>
        <v>F-sz 023</v>
      </c>
      <c r="D29" s="192"/>
      <c r="E29" s="192"/>
      <c r="G29" s="309"/>
      <c r="I29" s="121"/>
      <c r="J29" s="29"/>
      <c r="K29" s="28"/>
      <c r="L29" s="309"/>
      <c r="N29" s="327"/>
    </row>
    <row r="30" spans="1:14" ht="21.75" customHeight="1">
      <c r="A30" s="189">
        <v>27</v>
      </c>
      <c r="B30" s="190" t="s">
        <v>339</v>
      </c>
      <c r="C30" s="191" t="str">
        <f>VLOOKUP("D",SIERPIEŃ!AE$2:$AJ$30,6,0)</f>
        <v>F-sz 006</v>
      </c>
      <c r="D30" s="192"/>
      <c r="E30" s="192"/>
      <c r="G30" s="328"/>
      <c r="J30" s="29"/>
      <c r="K30" s="28"/>
      <c r="L30" s="328"/>
      <c r="N30" s="29"/>
    </row>
    <row r="31" spans="1:14" ht="21.75" customHeight="1">
      <c r="A31" s="189">
        <v>28</v>
      </c>
      <c r="B31" s="190" t="s">
        <v>340</v>
      </c>
      <c r="C31" s="191" t="e">
        <f>VLOOKUP("D",SIERPIEŃ!AF$2:$AJ$30,5,0)</f>
        <v>#N/A</v>
      </c>
      <c r="D31" s="192"/>
      <c r="E31" s="192"/>
      <c r="G31" s="329"/>
      <c r="J31" s="29"/>
      <c r="K31" s="28"/>
      <c r="L31" s="329"/>
      <c r="N31" s="29"/>
    </row>
    <row r="32" spans="1:14" ht="21.75" customHeight="1">
      <c r="A32" s="189">
        <v>29</v>
      </c>
      <c r="B32" s="190" t="s">
        <v>341</v>
      </c>
      <c r="C32" s="191" t="str">
        <f>VLOOKUP("D",SIERPIEŃ!AG$2:$AJ$30,4,0)</f>
        <v>F-sz 010</v>
      </c>
      <c r="D32" s="192"/>
      <c r="E32" s="192"/>
      <c r="G32" s="330"/>
      <c r="H32" s="319"/>
      <c r="I32" s="319"/>
      <c r="J32" s="320"/>
      <c r="K32" s="321"/>
      <c r="L32" s="330"/>
      <c r="M32" s="319"/>
      <c r="N32" s="320"/>
    </row>
    <row r="33" spans="1:5" ht="21.75" customHeight="1">
      <c r="A33" s="189">
        <v>30</v>
      </c>
      <c r="B33" s="190" t="s">
        <v>342</v>
      </c>
      <c r="C33" s="191" t="str">
        <f>VLOOKUP("D",SIERPIEŃ!AH$2:$AJ$30,3,0)</f>
        <v>F-sz 005</v>
      </c>
      <c r="D33" s="192"/>
      <c r="E33" s="192"/>
    </row>
    <row r="34" spans="1:5" ht="19.5" customHeight="1">
      <c r="A34" s="189">
        <v>31</v>
      </c>
      <c r="B34" s="190" t="s">
        <v>343</v>
      </c>
      <c r="C34" s="375" t="e">
        <f>VLOOKUP("D",SIERPIEŃ!AI$2:$AJ$30,2,0)</f>
        <v>#N/A</v>
      </c>
      <c r="D34" s="376"/>
      <c r="E34" s="376"/>
    </row>
  </sheetData>
  <mergeCells count="6">
    <mergeCell ref="A3:B3"/>
    <mergeCell ref="B1:E1"/>
    <mergeCell ref="G1:N1"/>
    <mergeCell ref="A2:E2"/>
    <mergeCell ref="G2:I2"/>
    <mergeCell ref="L2:N2"/>
  </mergeCells>
  <pageMargins left="0.23611111111111099" right="0.23611111111111099" top="0.15763888888888899" bottom="0.15763888888888899" header="0.51180555555555496" footer="0.51180555555555496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topLeftCell="A13" zoomScale="80" zoomScaleNormal="80" workbookViewId="0"/>
  </sheetViews>
  <sheetFormatPr defaultColWidth="8.69140625" defaultRowHeight="14.6"/>
  <cols>
    <col min="1" max="2" width="5.4609375" customWidth="1"/>
    <col min="3" max="3" width="34.4609375" customWidth="1"/>
    <col min="4" max="4" width="39.4609375" customWidth="1"/>
    <col min="5" max="5" width="24.15234375" customWidth="1"/>
  </cols>
  <sheetData>
    <row r="1" spans="1:5" ht="27.75" customHeight="1">
      <c r="A1" s="687" t="s">
        <v>178</v>
      </c>
      <c r="B1" s="687"/>
      <c r="C1" s="687"/>
      <c r="D1" s="687"/>
      <c r="E1" s="687"/>
    </row>
    <row r="2" spans="1:5" ht="21.75" customHeight="1">
      <c r="A2" s="755" t="s">
        <v>330</v>
      </c>
      <c r="B2" s="755"/>
      <c r="C2" s="180" t="s">
        <v>179</v>
      </c>
      <c r="D2" s="181" t="s">
        <v>180</v>
      </c>
      <c r="E2" s="181" t="s">
        <v>180</v>
      </c>
    </row>
    <row r="3" spans="1:5" ht="21.75" customHeight="1">
      <c r="A3" s="484">
        <v>1</v>
      </c>
      <c r="B3" s="485" t="s">
        <v>184</v>
      </c>
      <c r="C3" s="486" t="e">
        <f>VLOOKUP("D",LIPIEC!$E$30:$AJ$100,32,0)</f>
        <v>#N/A</v>
      </c>
      <c r="D3" s="486" t="e">
        <f>VLOOKUP("w",LIPIEC!$E$30:$AJ$100,32,0)</f>
        <v>#REF!</v>
      </c>
      <c r="E3" s="313"/>
    </row>
    <row r="4" spans="1:5" ht="21.75" customHeight="1">
      <c r="A4" s="487">
        <v>2</v>
      </c>
      <c r="B4" s="488" t="s">
        <v>185</v>
      </c>
      <c r="C4" s="486" t="e">
        <f>VLOOKUP("D",LIPIEC!$F$30:$AJ$100,31,0)</f>
        <v>#REF!</v>
      </c>
      <c r="D4" s="486" t="e">
        <f>VLOOKUP("w",LIPIEC!$F$30:$AJ$100,31,0)</f>
        <v>#REF!</v>
      </c>
      <c r="E4" s="315"/>
    </row>
    <row r="5" spans="1:5" ht="21.75" customHeight="1">
      <c r="A5" s="487">
        <v>3</v>
      </c>
      <c r="B5" s="488" t="s">
        <v>186</v>
      </c>
      <c r="C5" s="486" t="e">
        <f>VLOOKUP("D",LIPIEC!$G$30:$AJ$100,30,0)</f>
        <v>#REF!</v>
      </c>
      <c r="D5" s="486" t="e">
        <f>VLOOKUP("w",LIPIEC!$G$30:$AJ$100,30,0)</f>
        <v>#REF!</v>
      </c>
      <c r="E5" s="315"/>
    </row>
    <row r="6" spans="1:5" ht="21.75" customHeight="1">
      <c r="A6" s="487">
        <v>4</v>
      </c>
      <c r="B6" s="488" t="s">
        <v>187</v>
      </c>
      <c r="C6" s="486" t="e">
        <f>VLOOKUP("D",LIPIEC!$H$30:$AJ$100,29,0)</f>
        <v>#REF!</v>
      </c>
      <c r="D6" s="486" t="e">
        <f>VLOOKUP("w",LIPIEC!$H$30:$AJ$100,29,0)</f>
        <v>#REF!</v>
      </c>
      <c r="E6" s="315"/>
    </row>
    <row r="7" spans="1:5" ht="21.75" customHeight="1">
      <c r="A7" s="487">
        <v>5</v>
      </c>
      <c r="B7" s="488" t="s">
        <v>181</v>
      </c>
      <c r="C7" s="486" t="e">
        <f>VLOOKUP("D",LIPIEC!$I$30:$AJ$100,28,0)</f>
        <v>#REF!</v>
      </c>
      <c r="D7" s="486" t="e">
        <f>VLOOKUP("w",LIPIEC!$I$30:$AJ$100,28,0)</f>
        <v>#REF!</v>
      </c>
      <c r="E7" s="315"/>
    </row>
    <row r="8" spans="1:5" ht="21.75" customHeight="1">
      <c r="A8" s="487">
        <v>6</v>
      </c>
      <c r="B8" s="488" t="s">
        <v>182</v>
      </c>
      <c r="C8" s="486" t="e">
        <f>VLOOKUP("D",LIPIEC!$J$30:$AJ$100,27,0)</f>
        <v>#REF!</v>
      </c>
      <c r="D8" s="486" t="e">
        <f>VLOOKUP("w",LIPIEC!$J$30:$AJ$100,27,0)</f>
        <v>#REF!</v>
      </c>
      <c r="E8" s="315"/>
    </row>
    <row r="9" spans="1:5" ht="21.75" customHeight="1">
      <c r="A9" s="487">
        <v>7</v>
      </c>
      <c r="B9" s="488" t="s">
        <v>183</v>
      </c>
      <c r="C9" s="486" t="e">
        <f>VLOOKUP("D",LIPIEC!$K$30:$AJ$100,26,0)</f>
        <v>#REF!</v>
      </c>
      <c r="D9" s="486" t="e">
        <f>VLOOKUP("w",LIPIEC!$K$30:$AJ$100,26,0)</f>
        <v>#REF!</v>
      </c>
      <c r="E9" s="315"/>
    </row>
    <row r="10" spans="1:5" ht="21.75" customHeight="1">
      <c r="A10" s="487">
        <v>8</v>
      </c>
      <c r="B10" s="488" t="s">
        <v>184</v>
      </c>
      <c r="C10" s="486" t="e">
        <f>VLOOKUP("D",LIPIEC!$L$30:$AJ$100,25,0)</f>
        <v>#N/A</v>
      </c>
      <c r="D10" s="486" t="e">
        <f>VLOOKUP("w",LIPIEC!$L$30:$AJ$100,25,0)</f>
        <v>#REF!</v>
      </c>
      <c r="E10" s="315"/>
    </row>
    <row r="11" spans="1:5" ht="21.75" customHeight="1">
      <c r="A11" s="487">
        <v>9</v>
      </c>
      <c r="B11" s="488" t="s">
        <v>185</v>
      </c>
      <c r="C11" s="486" t="e">
        <f>VLOOKUP("D",LIPIEC!$M$30:$AJ$100,24,0)</f>
        <v>#REF!</v>
      </c>
      <c r="D11" s="486" t="e">
        <f>VLOOKUP("w",LIPIEC!$M$30:$AJ$100,24,0)</f>
        <v>#REF!</v>
      </c>
      <c r="E11" s="315"/>
    </row>
    <row r="12" spans="1:5" ht="21.75" customHeight="1">
      <c r="A12" s="487">
        <v>10</v>
      </c>
      <c r="B12" s="488" t="s">
        <v>186</v>
      </c>
      <c r="C12" s="486" t="e">
        <f>VLOOKUP("D",LIPIEC!$N$30:$AJ$100,23,0)</f>
        <v>#REF!</v>
      </c>
      <c r="D12" s="486" t="e">
        <f>VLOOKUP("w",LIPIEC!$N$30:$AJ$100,23,0)</f>
        <v>#REF!</v>
      </c>
      <c r="E12" s="315"/>
    </row>
    <row r="13" spans="1:5" ht="21.75" customHeight="1">
      <c r="A13" s="487">
        <v>11</v>
      </c>
      <c r="B13" s="488" t="s">
        <v>187</v>
      </c>
      <c r="C13" s="486" t="e">
        <f>VLOOKUP("D",LIPIEC!$O$30:$AJ$100,22,0)</f>
        <v>#N/A</v>
      </c>
      <c r="D13" s="486" t="e">
        <f>VLOOKUP("w",LIPIEC!$O$30:$AJ$100,22,0)</f>
        <v>#REF!</v>
      </c>
      <c r="E13" s="315"/>
    </row>
    <row r="14" spans="1:5" ht="21.75" customHeight="1">
      <c r="A14" s="487">
        <v>12</v>
      </c>
      <c r="B14" s="488" t="s">
        <v>181</v>
      </c>
      <c r="C14" s="486" t="e">
        <f>VLOOKUP("D",LIPIEC!$P$30:$AJ$100,21,0)</f>
        <v>#N/A</v>
      </c>
      <c r="D14" s="486" t="e">
        <f>VLOOKUP("w",LIPIEC!$P$30:$AJ$100,21,0)</f>
        <v>#REF!</v>
      </c>
      <c r="E14" s="315"/>
    </row>
    <row r="15" spans="1:5" ht="21.75" customHeight="1">
      <c r="A15" s="487">
        <v>13</v>
      </c>
      <c r="B15" s="488" t="s">
        <v>182</v>
      </c>
      <c r="C15" s="486" t="e">
        <f>VLOOKUP("D",LIPIEC!$Q$30:$AJ$100,20,0)</f>
        <v>#REF!</v>
      </c>
      <c r="D15" s="486" t="e">
        <f>VLOOKUP("w",LIPIEC!$Q$30:$AJ$100,20,0)</f>
        <v>#REF!</v>
      </c>
      <c r="E15" s="315"/>
    </row>
    <row r="16" spans="1:5" ht="21.75" customHeight="1">
      <c r="A16" s="487">
        <v>14</v>
      </c>
      <c r="B16" s="488" t="s">
        <v>183</v>
      </c>
      <c r="C16" s="486" t="e">
        <f>VLOOKUP("D",LIPIEC!$R$30:$AJ$100,19,0)</f>
        <v>#N/A</v>
      </c>
      <c r="D16" s="486" t="e">
        <f>VLOOKUP("w",LIPIEC!$R$30:$AJ$100,19,0)</f>
        <v>#REF!</v>
      </c>
      <c r="E16" s="315"/>
    </row>
    <row r="17" spans="1:5" ht="21.75" customHeight="1">
      <c r="A17" s="487">
        <v>15</v>
      </c>
      <c r="B17" s="488" t="s">
        <v>184</v>
      </c>
      <c r="C17" s="486" t="e">
        <f>VLOOKUP("D",LIPIEC!$S$30:$AJ$100,18,0)</f>
        <v>#REF!</v>
      </c>
      <c r="D17" s="486" t="e">
        <f>VLOOKUP("w",LIPIEC!$S$30:$AJ$100,18,0)</f>
        <v>#REF!</v>
      </c>
      <c r="E17" s="315"/>
    </row>
    <row r="18" spans="1:5" ht="21.75" customHeight="1">
      <c r="A18" s="487">
        <v>16</v>
      </c>
      <c r="B18" s="488" t="s">
        <v>185</v>
      </c>
      <c r="C18" s="486" t="e">
        <f>VLOOKUP("D",LIPIEC!$T$30:$AJ$100,17,0)</f>
        <v>#REF!</v>
      </c>
      <c r="D18" s="486" t="e">
        <f>VLOOKUP("w",LIPIEC!$T$30:$AJ$100,17,0)</f>
        <v>#REF!</v>
      </c>
      <c r="E18" s="315"/>
    </row>
    <row r="19" spans="1:5" ht="21.75" customHeight="1">
      <c r="A19" s="487">
        <v>17</v>
      </c>
      <c r="B19" s="488" t="s">
        <v>186</v>
      </c>
      <c r="C19" s="486" t="e">
        <f>VLOOKUP("D",LIPIEC!$U$30:$AJ$100,16,0)</f>
        <v>#REF!</v>
      </c>
      <c r="D19" s="486" t="e">
        <f>VLOOKUP("w",LIPIEC!$U$30:$AJ$100,16,0)</f>
        <v>#REF!</v>
      </c>
      <c r="E19" s="315"/>
    </row>
    <row r="20" spans="1:5" ht="21.75" customHeight="1">
      <c r="A20" s="487">
        <v>18</v>
      </c>
      <c r="B20" s="488" t="s">
        <v>187</v>
      </c>
      <c r="C20" s="486" t="e">
        <f>VLOOKUP("D",LIPIEC!$V$30:$AJ$100,15,0)</f>
        <v>#N/A</v>
      </c>
      <c r="D20" s="486" t="e">
        <f>VLOOKUP("w",LIPIEC!$V$30:$AJ$100,15,0)</f>
        <v>#REF!</v>
      </c>
      <c r="E20" s="315"/>
    </row>
    <row r="21" spans="1:5" ht="21.75" customHeight="1">
      <c r="A21" s="487">
        <v>19</v>
      </c>
      <c r="B21" s="488" t="s">
        <v>181</v>
      </c>
      <c r="C21" s="486" t="e">
        <f>VLOOKUP("D",LIPIEC!$W$30:$AJ$100,14,0)</f>
        <v>#REF!</v>
      </c>
      <c r="D21" s="486" t="e">
        <f>VLOOKUP("w",LIPIEC!$W$30:$AJ$100,14,0)</f>
        <v>#REF!</v>
      </c>
      <c r="E21" s="315"/>
    </row>
    <row r="22" spans="1:5" ht="21.75" customHeight="1">
      <c r="A22" s="487">
        <v>20</v>
      </c>
      <c r="B22" s="488" t="s">
        <v>182</v>
      </c>
      <c r="C22" s="486" t="e">
        <f>VLOOKUP("D",LIPIEC!$X$30:$AJ$100,13,0)</f>
        <v>#REF!</v>
      </c>
      <c r="D22" s="486" t="e">
        <f>VLOOKUP("w",LIPIEC!$X$30:$AJ$100,13,0)</f>
        <v>#REF!</v>
      </c>
      <c r="E22" s="315"/>
    </row>
    <row r="23" spans="1:5" ht="21.75" customHeight="1">
      <c r="A23" s="487">
        <v>21</v>
      </c>
      <c r="B23" s="488" t="s">
        <v>183</v>
      </c>
      <c r="C23" s="486" t="e">
        <f>VLOOKUP("D",LIPIEC!$Y$30:$AJ$100,12,0)</f>
        <v>#REF!</v>
      </c>
      <c r="D23" s="486" t="e">
        <f>VLOOKUP("w",LIPIEC!$Y$30:$AJ$100,12,0)</f>
        <v>#REF!</v>
      </c>
      <c r="E23" s="315"/>
    </row>
    <row r="24" spans="1:5" ht="21.75" customHeight="1">
      <c r="A24" s="487">
        <v>22</v>
      </c>
      <c r="B24" s="488" t="s">
        <v>184</v>
      </c>
      <c r="C24" s="486" t="e">
        <f>VLOOKUP("D",LIPIEC!$Z$30:$AJ$100,11,0)</f>
        <v>#REF!</v>
      </c>
      <c r="D24" s="486" t="e">
        <f>VLOOKUP("w",LIPIEC!$Z$30:$AJ$100,11,0)</f>
        <v>#REF!</v>
      </c>
      <c r="E24" s="315"/>
    </row>
    <row r="25" spans="1:5" ht="21.75" customHeight="1">
      <c r="A25" s="487">
        <v>23</v>
      </c>
      <c r="B25" s="488" t="s">
        <v>185</v>
      </c>
      <c r="C25" s="486" t="e">
        <f>VLOOKUP("D",LIPIEC!$AA$30:$AJ$100,10,0)</f>
        <v>#N/A</v>
      </c>
      <c r="D25" s="486" t="e">
        <f>VLOOKUP("w",LIPIEC!$AA$30:$AJ$100,10,0)</f>
        <v>#REF!</v>
      </c>
      <c r="E25" s="315"/>
    </row>
    <row r="26" spans="1:5" ht="21.75" customHeight="1">
      <c r="A26" s="487">
        <v>24</v>
      </c>
      <c r="B26" s="488" t="s">
        <v>186</v>
      </c>
      <c r="C26" s="486" t="e">
        <f>VLOOKUP("D",LIPIEC!$AB$30:$AJ$100,9,0)</f>
        <v>#REF!</v>
      </c>
      <c r="D26" s="486" t="e">
        <f>VLOOKUP("w",LIPIEC!$AB$30:$AJ$100,9,0)</f>
        <v>#REF!</v>
      </c>
      <c r="E26" s="315"/>
    </row>
    <row r="27" spans="1:5" ht="21.75" customHeight="1">
      <c r="A27" s="487">
        <v>25</v>
      </c>
      <c r="B27" s="488" t="s">
        <v>187</v>
      </c>
      <c r="C27" s="486" t="e">
        <f>VLOOKUP("D",LIPIEC!$AC$30:$AJ$100,8,0)</f>
        <v>#REF!</v>
      </c>
      <c r="D27" s="486" t="e">
        <f>VLOOKUP("w",LIPIEC!$AC$30:$AJ$100,8,0)</f>
        <v>#REF!</v>
      </c>
      <c r="E27" s="315"/>
    </row>
    <row r="28" spans="1:5" ht="21.75" customHeight="1">
      <c r="A28" s="487">
        <v>26</v>
      </c>
      <c r="B28" s="488" t="s">
        <v>181</v>
      </c>
      <c r="C28" s="486" t="e">
        <f>VLOOKUP("D",LIPIEC!$AD$30:$AJ$100,7,0)</f>
        <v>#N/A</v>
      </c>
      <c r="D28" s="486" t="e">
        <f>VLOOKUP("w",LIPIEC!$AD$30:$AJ$100,7,0)</f>
        <v>#REF!</v>
      </c>
      <c r="E28" s="315"/>
    </row>
    <row r="29" spans="1:5" ht="21.75" customHeight="1">
      <c r="A29" s="487">
        <v>27</v>
      </c>
      <c r="B29" s="488" t="s">
        <v>182</v>
      </c>
      <c r="C29" s="486" t="e">
        <f>VLOOKUP("D",LIPIEC!$AE$30:$AJ$100,6,0)</f>
        <v>#REF!</v>
      </c>
      <c r="D29" s="486" t="e">
        <f>VLOOKUP("w",LIPIEC!$AE$30:$AJ$100,6,0)</f>
        <v>#REF!</v>
      </c>
      <c r="E29" s="315"/>
    </row>
    <row r="30" spans="1:5" ht="21.75" customHeight="1">
      <c r="A30" s="487">
        <v>28</v>
      </c>
      <c r="B30" s="488" t="s">
        <v>183</v>
      </c>
      <c r="C30" s="486" t="e">
        <f>VLOOKUP("D",LIPIEC!$AF$30:$AJ$100,5,0)</f>
        <v>#REF!</v>
      </c>
      <c r="D30" s="486" t="e">
        <f>VLOOKUP("w",LIPIEC!$AF$30:$AJ$100,5,0)</f>
        <v>#REF!</v>
      </c>
      <c r="E30" s="315"/>
    </row>
    <row r="31" spans="1:5" ht="21.75" customHeight="1">
      <c r="A31" s="487">
        <v>29</v>
      </c>
      <c r="B31" s="488" t="s">
        <v>184</v>
      </c>
      <c r="C31" s="486" t="e">
        <f>VLOOKUP("D",LIPIEC!$AG$30:$AJ$100,4,0)</f>
        <v>#N/A</v>
      </c>
      <c r="D31" s="486" t="e">
        <f>VLOOKUP("w",LIPIEC!$AG$30:$AJ$100,4,0)</f>
        <v>#REF!</v>
      </c>
      <c r="E31" s="315"/>
    </row>
    <row r="32" spans="1:5" ht="21.75" customHeight="1">
      <c r="A32" s="487">
        <v>30</v>
      </c>
      <c r="B32" s="488" t="s">
        <v>185</v>
      </c>
      <c r="C32" s="486" t="e">
        <f>VLOOKUP("D",LIPIEC!$AH$30:$AJ$100,3,0)</f>
        <v>#REF!</v>
      </c>
      <c r="D32" s="486" t="e">
        <f>VLOOKUP("w",LIPIEC!$AH$30:$AJ$100,3,0)</f>
        <v>#REF!</v>
      </c>
      <c r="E32" s="315"/>
    </row>
    <row r="33" spans="1:5" ht="21.75" customHeight="1">
      <c r="A33" s="489">
        <v>31</v>
      </c>
      <c r="B33" s="490" t="s">
        <v>186</v>
      </c>
      <c r="C33" s="486" t="e">
        <f>VLOOKUP("D",LIPIEC!$AI$30:$AJ$100,2,0)</f>
        <v>#REF!</v>
      </c>
      <c r="D33" s="486" t="e">
        <f>VLOOKUP("w",CZERWIEC!$AI$32:$AJ$101,2,0)</f>
        <v>#N/A</v>
      </c>
      <c r="E33" s="317"/>
    </row>
  </sheetData>
  <mergeCells count="2">
    <mergeCell ref="A1:E1"/>
    <mergeCell ref="A2:B2"/>
  </mergeCells>
  <pageMargins left="0.25" right="0.25" top="0.75" bottom="0.75" header="0.51180555555555496" footer="0.51180555555555496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AMJ116"/>
  <sheetViews>
    <sheetView topLeftCell="B1" zoomScale="90" zoomScaleNormal="90" workbookViewId="0">
      <pane ySplit="1" topLeftCell="A56" activePane="bottomLeft" state="frozen"/>
      <selection activeCell="A85" sqref="A85"/>
      <selection pane="bottomLeft" activeCell="A85" sqref="A85"/>
    </sheetView>
  </sheetViews>
  <sheetFormatPr defaultColWidth="8.84375" defaultRowHeight="14.6"/>
  <cols>
    <col min="1" max="1" width="6" style="1" customWidth="1"/>
    <col min="2" max="2" width="4.3046875" style="1" customWidth="1"/>
    <col min="3" max="3" width="20.4609375" style="7" customWidth="1"/>
    <col min="4" max="4" width="8.53515625" style="1" customWidth="1"/>
    <col min="5" max="34" width="3.53515625" style="1" customWidth="1"/>
    <col min="35" max="35" width="3.53515625" style="1" hidden="1" customWidth="1"/>
    <col min="36" max="36" width="41.4609375" style="1" hidden="1" customWidth="1"/>
    <col min="37" max="37" width="8.84375" style="8"/>
    <col min="38" max="38" width="4.69140625" style="1" customWidth="1"/>
    <col min="39" max="39" width="5.69140625" style="1" customWidth="1"/>
    <col min="40" max="40" width="4.53515625" style="1" customWidth="1"/>
    <col min="41" max="43" width="8.84375" style="1"/>
    <col min="44" max="44" width="20.3046875" style="1" customWidth="1"/>
    <col min="45" max="1024" width="8.84375" style="1"/>
  </cols>
  <sheetData>
    <row r="1" spans="1:45" ht="43.3">
      <c r="A1" s="1" t="s">
        <v>52</v>
      </c>
      <c r="D1" s="9">
        <v>44470</v>
      </c>
      <c r="E1" s="11">
        <v>44470</v>
      </c>
      <c r="F1" s="11">
        <v>44441</v>
      </c>
      <c r="G1" s="11">
        <v>44442</v>
      </c>
      <c r="H1" s="10">
        <v>44443</v>
      </c>
      <c r="I1" s="10">
        <v>44444</v>
      </c>
      <c r="J1" s="11">
        <v>44445</v>
      </c>
      <c r="K1" s="11">
        <v>44446</v>
      </c>
      <c r="L1" s="11">
        <v>44447</v>
      </c>
      <c r="M1" s="11">
        <v>44448</v>
      </c>
      <c r="N1" s="11">
        <v>44449</v>
      </c>
      <c r="O1" s="10">
        <v>44450</v>
      </c>
      <c r="P1" s="10">
        <v>44451</v>
      </c>
      <c r="Q1" s="11">
        <v>44452</v>
      </c>
      <c r="R1" s="11">
        <v>44453</v>
      </c>
      <c r="S1" s="11">
        <v>44454</v>
      </c>
      <c r="T1" s="11">
        <v>44455</v>
      </c>
      <c r="U1" s="11">
        <v>44456</v>
      </c>
      <c r="V1" s="10">
        <v>44457</v>
      </c>
      <c r="W1" s="10">
        <v>44458</v>
      </c>
      <c r="X1" s="11">
        <v>44459</v>
      </c>
      <c r="Y1" s="11">
        <v>44460</v>
      </c>
      <c r="Z1" s="11">
        <v>44461</v>
      </c>
      <c r="AA1" s="11">
        <v>44462</v>
      </c>
      <c r="AB1" s="11">
        <v>44463</v>
      </c>
      <c r="AC1" s="10">
        <v>44464</v>
      </c>
      <c r="AD1" s="10">
        <v>44465</v>
      </c>
      <c r="AE1" s="11">
        <v>44466</v>
      </c>
      <c r="AF1" s="11">
        <v>44467</v>
      </c>
      <c r="AG1" s="11">
        <v>44468</v>
      </c>
      <c r="AH1" s="11">
        <v>44469</v>
      </c>
      <c r="AI1" s="12">
        <v>44470</v>
      </c>
      <c r="AJ1" s="14"/>
      <c r="AK1" s="15">
        <f>22*8</f>
        <v>176</v>
      </c>
      <c r="AL1" s="16" t="s">
        <v>53</v>
      </c>
      <c r="AM1" s="17" t="s">
        <v>54</v>
      </c>
      <c r="AN1" s="18" t="s">
        <v>55</v>
      </c>
      <c r="AO1" s="1" t="s">
        <v>56</v>
      </c>
      <c r="AP1" s="1" t="s">
        <v>57</v>
      </c>
    </row>
    <row r="2" spans="1:45" ht="15.9">
      <c r="A2" s="1" t="s">
        <v>58</v>
      </c>
      <c r="B2" s="1" t="s">
        <v>59</v>
      </c>
      <c r="C2" s="198" t="s">
        <v>60</v>
      </c>
      <c r="D2" s="491">
        <v>85</v>
      </c>
      <c r="E2" s="200"/>
      <c r="F2" s="22" t="s">
        <v>113</v>
      </c>
      <c r="G2" s="22" t="s">
        <v>66</v>
      </c>
      <c r="H2" s="23"/>
      <c r="I2" s="23"/>
      <c r="J2" s="22"/>
      <c r="K2" s="22"/>
      <c r="L2" s="22"/>
      <c r="M2" s="22"/>
      <c r="N2" s="22" t="s">
        <v>75</v>
      </c>
      <c r="O2" s="23" t="s">
        <v>66</v>
      </c>
      <c r="P2" s="23" t="s">
        <v>66</v>
      </c>
      <c r="Q2" s="22" t="s">
        <v>75</v>
      </c>
      <c r="R2" s="22" t="s">
        <v>75</v>
      </c>
      <c r="S2" s="22" t="s">
        <v>75</v>
      </c>
      <c r="T2" s="22" t="s">
        <v>75</v>
      </c>
      <c r="U2" s="22" t="s">
        <v>75</v>
      </c>
      <c r="V2" s="23" t="s">
        <v>66</v>
      </c>
      <c r="W2" s="23" t="s">
        <v>66</v>
      </c>
      <c r="X2" s="22" t="s">
        <v>75</v>
      </c>
      <c r="Y2" s="22" t="s">
        <v>257</v>
      </c>
      <c r="Z2" s="22" t="s">
        <v>257</v>
      </c>
      <c r="AA2" s="22" t="s">
        <v>360</v>
      </c>
      <c r="AB2" s="22" t="s">
        <v>69</v>
      </c>
      <c r="AC2" s="23" t="s">
        <v>70</v>
      </c>
      <c r="AD2" s="23" t="s">
        <v>70</v>
      </c>
      <c r="AE2" s="22" t="s">
        <v>69</v>
      </c>
      <c r="AF2" s="22" t="s">
        <v>66</v>
      </c>
      <c r="AG2" s="22" t="s">
        <v>66</v>
      </c>
      <c r="AH2" s="24" t="s">
        <v>66</v>
      </c>
      <c r="AI2" s="25"/>
      <c r="AJ2" s="26" t="str">
        <f>Tabela13[[#This Row],[FUNKCJONARIUSZ]]</f>
        <v>F-sz 001</v>
      </c>
      <c r="AK2" s="27">
        <f t="shared" ref="AK2:AK12" si="0">D2+AL2+AM2+AN2-$AK$1+AO2+AP2</f>
        <v>61</v>
      </c>
      <c r="AL2" s="28">
        <f t="shared" ref="AL2:AL29" si="1">COUNTIF(E2:AI2,"D")*24+COUNTIF(E2:AI2,"12g")*12</f>
        <v>24</v>
      </c>
      <c r="AM2">
        <f t="shared" ref="AM2:AM29" si="2">SUM(COUNTIF(E2:AI2,"k")+COUNTIF(E2:AI2,"s")+COUNTIF(E2:AI2,"wse"))*24+SUM(COUNTIF(E2:AI2,"Pk")+COUNTIF(E2:AI2,"Ps"))*12</f>
        <v>72</v>
      </c>
      <c r="AN2" s="29">
        <f t="shared" ref="AN2:AN11" si="3">SUM(E2:AI2)+COUNTIF(E2:AI2,"uw")*8+COUNTIF(E2:AI2,"us")*8+COUNTIF(E2:AI2,"uz")*8</f>
        <v>56</v>
      </c>
      <c r="AO2" s="1">
        <f t="shared" ref="AO2:AO29" si="4">COUNTIF(E2:AI2,"DT")*8</f>
        <v>0</v>
      </c>
      <c r="AP2" s="1">
        <v>0</v>
      </c>
    </row>
    <row r="3" spans="1:45" ht="15.9">
      <c r="A3" s="1" t="s">
        <v>63</v>
      </c>
      <c r="B3" s="1" t="s">
        <v>64</v>
      </c>
      <c r="C3" s="203" t="s">
        <v>65</v>
      </c>
      <c r="D3" s="491">
        <v>6</v>
      </c>
      <c r="E3" s="204"/>
      <c r="F3" s="32"/>
      <c r="G3" s="32"/>
      <c r="H3" s="33"/>
      <c r="I3" s="33"/>
      <c r="J3" s="32" t="s">
        <v>75</v>
      </c>
      <c r="K3" s="32" t="s">
        <v>75</v>
      </c>
      <c r="L3" s="32" t="s">
        <v>75</v>
      </c>
      <c r="M3" s="32" t="s">
        <v>75</v>
      </c>
      <c r="N3" s="32" t="s">
        <v>75</v>
      </c>
      <c r="O3" s="33" t="s">
        <v>66</v>
      </c>
      <c r="P3" s="33" t="s">
        <v>66</v>
      </c>
      <c r="Q3" s="32" t="s">
        <v>75</v>
      </c>
      <c r="R3" s="32" t="s">
        <v>75</v>
      </c>
      <c r="S3" s="32" t="s">
        <v>75</v>
      </c>
      <c r="T3" s="32" t="s">
        <v>75</v>
      </c>
      <c r="U3" s="32" t="s">
        <v>75</v>
      </c>
      <c r="V3" s="33" t="s">
        <v>66</v>
      </c>
      <c r="W3" s="33" t="s">
        <v>66</v>
      </c>
      <c r="X3" s="32"/>
      <c r="Y3" s="32"/>
      <c r="Z3" s="32"/>
      <c r="AA3" s="32"/>
      <c r="AB3" s="32" t="s">
        <v>113</v>
      </c>
      <c r="AC3" s="33" t="s">
        <v>66</v>
      </c>
      <c r="AD3" s="33" t="s">
        <v>66</v>
      </c>
      <c r="AE3" s="32" t="s">
        <v>69</v>
      </c>
      <c r="AF3" s="32" t="s">
        <v>70</v>
      </c>
      <c r="AG3" s="32" t="s">
        <v>70</v>
      </c>
      <c r="AH3" s="34" t="s">
        <v>70</v>
      </c>
      <c r="AI3" s="35"/>
      <c r="AJ3" s="26" t="str">
        <f>Tabela13[[#This Row],[FUNKCJONARIUSZ]]</f>
        <v>F-sz 002</v>
      </c>
      <c r="AK3" s="27">
        <f t="shared" si="0"/>
        <v>18</v>
      </c>
      <c r="AL3" s="28">
        <f t="shared" si="1"/>
        <v>24</v>
      </c>
      <c r="AM3">
        <f t="shared" si="2"/>
        <v>84</v>
      </c>
      <c r="AN3" s="29">
        <f t="shared" si="3"/>
        <v>80</v>
      </c>
      <c r="AO3" s="1">
        <f t="shared" si="4"/>
        <v>0</v>
      </c>
      <c r="AP3" s="1">
        <v>0</v>
      </c>
    </row>
    <row r="4" spans="1:45" ht="15.9">
      <c r="A4" s="1" t="s">
        <v>67</v>
      </c>
      <c r="B4" s="1" t="s">
        <v>64</v>
      </c>
      <c r="C4" s="203" t="s">
        <v>68</v>
      </c>
      <c r="D4" s="491">
        <v>30</v>
      </c>
      <c r="E4" s="204" t="s">
        <v>62</v>
      </c>
      <c r="F4" s="32" t="s">
        <v>62</v>
      </c>
      <c r="G4" s="32" t="s">
        <v>62</v>
      </c>
      <c r="H4" s="33" t="s">
        <v>62</v>
      </c>
      <c r="I4" s="33" t="s">
        <v>62</v>
      </c>
      <c r="J4" s="32" t="s">
        <v>61</v>
      </c>
      <c r="K4" s="32" t="s">
        <v>66</v>
      </c>
      <c r="L4" s="32" t="s">
        <v>66</v>
      </c>
      <c r="M4" s="32" t="s">
        <v>66</v>
      </c>
      <c r="N4" s="37" t="s">
        <v>66</v>
      </c>
      <c r="O4" s="38" t="s">
        <v>66</v>
      </c>
      <c r="P4" s="38" t="s">
        <v>66</v>
      </c>
      <c r="Q4" s="37" t="s">
        <v>66</v>
      </c>
      <c r="R4" s="32"/>
      <c r="S4" s="32"/>
      <c r="T4" s="32"/>
      <c r="U4" s="32"/>
      <c r="V4" s="33"/>
      <c r="W4" s="33"/>
      <c r="X4" s="37" t="s">
        <v>113</v>
      </c>
      <c r="Y4" s="37"/>
      <c r="Z4" s="37"/>
      <c r="AA4" s="37"/>
      <c r="AB4" s="37"/>
      <c r="AC4" s="33" t="s">
        <v>113</v>
      </c>
      <c r="AD4" s="33" t="s">
        <v>66</v>
      </c>
      <c r="AE4" s="32"/>
      <c r="AF4" s="32"/>
      <c r="AG4" s="32"/>
      <c r="AH4" s="34"/>
      <c r="AI4" s="35"/>
      <c r="AJ4" s="26" t="str">
        <f>Tabela13[[#This Row],[FUNKCJONARIUSZ]]</f>
        <v>F-sz 003</v>
      </c>
      <c r="AK4" s="27">
        <f t="shared" si="0"/>
        <v>34</v>
      </c>
      <c r="AL4" s="28">
        <f t="shared" si="1"/>
        <v>48</v>
      </c>
      <c r="AM4">
        <f t="shared" si="2"/>
        <v>132</v>
      </c>
      <c r="AN4" s="29">
        <f t="shared" si="3"/>
        <v>0</v>
      </c>
      <c r="AO4" s="1">
        <f t="shared" si="4"/>
        <v>0</v>
      </c>
      <c r="AP4" s="1">
        <v>0</v>
      </c>
    </row>
    <row r="5" spans="1:45" ht="15.9">
      <c r="A5" s="1" t="s">
        <v>63</v>
      </c>
      <c r="B5" s="1" t="s">
        <v>64</v>
      </c>
      <c r="C5" s="206" t="s">
        <v>71</v>
      </c>
      <c r="D5" s="491">
        <v>-27</v>
      </c>
      <c r="E5" s="204" t="s">
        <v>75</v>
      </c>
      <c r="F5" s="32" t="s">
        <v>75</v>
      </c>
      <c r="G5" s="32" t="s">
        <v>75</v>
      </c>
      <c r="H5" s="33"/>
      <c r="I5" s="33"/>
      <c r="J5" s="32"/>
      <c r="K5" s="32" t="s">
        <v>113</v>
      </c>
      <c r="L5" s="32" t="s">
        <v>66</v>
      </c>
      <c r="M5" s="136"/>
      <c r="N5" s="32"/>
      <c r="O5" s="33"/>
      <c r="P5" s="33"/>
      <c r="Q5" s="32" t="s">
        <v>113</v>
      </c>
      <c r="R5" s="48" t="s">
        <v>66</v>
      </c>
      <c r="S5" s="32"/>
      <c r="T5" s="32" t="s">
        <v>113</v>
      </c>
      <c r="U5" s="32" t="s">
        <v>66</v>
      </c>
      <c r="V5" s="33"/>
      <c r="W5" s="39"/>
      <c r="X5" s="44" t="s">
        <v>69</v>
      </c>
      <c r="Y5" s="45" t="s">
        <v>70</v>
      </c>
      <c r="Z5" s="45" t="s">
        <v>70</v>
      </c>
      <c r="AA5" s="45" t="s">
        <v>70</v>
      </c>
      <c r="AB5" s="47" t="s">
        <v>69</v>
      </c>
      <c r="AC5" s="508" t="s">
        <v>66</v>
      </c>
      <c r="AD5" s="33" t="s">
        <v>66</v>
      </c>
      <c r="AE5" s="32" t="s">
        <v>66</v>
      </c>
      <c r="AF5" s="32" t="s">
        <v>66</v>
      </c>
      <c r="AG5" s="32" t="s">
        <v>113</v>
      </c>
      <c r="AH5" s="34" t="s">
        <v>66</v>
      </c>
      <c r="AI5" s="35"/>
      <c r="AJ5" s="26" t="str">
        <f>Tabela13[[#This Row],[FUNKCJONARIUSZ]]</f>
        <v>F-sz 004</v>
      </c>
      <c r="AK5" s="27">
        <f t="shared" si="0"/>
        <v>13</v>
      </c>
      <c r="AL5" s="28">
        <f t="shared" si="1"/>
        <v>96</v>
      </c>
      <c r="AM5">
        <f t="shared" si="2"/>
        <v>96</v>
      </c>
      <c r="AN5" s="29">
        <f t="shared" si="3"/>
        <v>24</v>
      </c>
      <c r="AO5" s="1">
        <f t="shared" si="4"/>
        <v>0</v>
      </c>
      <c r="AP5" s="1">
        <v>0</v>
      </c>
      <c r="AQ5" s="36" t="s">
        <v>59</v>
      </c>
      <c r="AR5" s="1" t="s">
        <v>72</v>
      </c>
      <c r="AS5" s="1">
        <v>24</v>
      </c>
    </row>
    <row r="6" spans="1:45" ht="15.9">
      <c r="A6" s="1" t="s">
        <v>67</v>
      </c>
      <c r="B6" s="1" t="s">
        <v>73</v>
      </c>
      <c r="C6" s="203" t="s">
        <v>74</v>
      </c>
      <c r="D6" s="491">
        <v>99</v>
      </c>
      <c r="E6" s="204" t="s">
        <v>66</v>
      </c>
      <c r="F6" s="32" t="s">
        <v>361</v>
      </c>
      <c r="G6" s="32" t="s">
        <v>66</v>
      </c>
      <c r="H6" s="33" t="s">
        <v>66</v>
      </c>
      <c r="I6" s="33" t="s">
        <v>66</v>
      </c>
      <c r="J6" s="32" t="s">
        <v>66</v>
      </c>
      <c r="K6" s="32" t="s">
        <v>66</v>
      </c>
      <c r="L6" s="32" t="s">
        <v>66</v>
      </c>
      <c r="M6" s="136" t="s">
        <v>66</v>
      </c>
      <c r="N6" s="32" t="s">
        <v>66</v>
      </c>
      <c r="O6" s="33" t="s">
        <v>66</v>
      </c>
      <c r="P6" s="33" t="s">
        <v>66</v>
      </c>
      <c r="Q6" s="32" t="s">
        <v>66</v>
      </c>
      <c r="R6" s="48" t="s">
        <v>66</v>
      </c>
      <c r="S6" s="32" t="s">
        <v>66</v>
      </c>
      <c r="T6" s="32" t="s">
        <v>66</v>
      </c>
      <c r="U6" s="32" t="s">
        <v>66</v>
      </c>
      <c r="V6" s="33" t="s">
        <v>66</v>
      </c>
      <c r="W6" s="33" t="s">
        <v>66</v>
      </c>
      <c r="X6" s="41" t="s">
        <v>103</v>
      </c>
      <c r="Y6" s="41" t="s">
        <v>70</v>
      </c>
      <c r="Z6" s="41" t="s">
        <v>70</v>
      </c>
      <c r="AA6" s="41" t="s">
        <v>70</v>
      </c>
      <c r="AB6" s="41" t="s">
        <v>69</v>
      </c>
      <c r="AC6" s="33" t="s">
        <v>66</v>
      </c>
      <c r="AD6" s="33" t="s">
        <v>66</v>
      </c>
      <c r="AE6" s="32" t="s">
        <v>103</v>
      </c>
      <c r="AF6" s="32" t="s">
        <v>66</v>
      </c>
      <c r="AG6" s="32" t="s">
        <v>66</v>
      </c>
      <c r="AH6" s="34" t="s">
        <v>362</v>
      </c>
      <c r="AI6" s="35"/>
      <c r="AJ6" s="26" t="str">
        <f>Tabela13[[#This Row],[FUNKCJONARIUSZ]]</f>
        <v>F-sz 005</v>
      </c>
      <c r="AK6" s="27">
        <f t="shared" si="0"/>
        <v>7</v>
      </c>
      <c r="AL6" s="28">
        <f t="shared" si="1"/>
        <v>0</v>
      </c>
      <c r="AM6">
        <f t="shared" si="2"/>
        <v>84</v>
      </c>
      <c r="AN6" s="29">
        <f t="shared" si="3"/>
        <v>0</v>
      </c>
      <c r="AO6" s="1">
        <f t="shared" si="4"/>
        <v>0</v>
      </c>
      <c r="AP6" s="1">
        <v>0</v>
      </c>
      <c r="AQ6" s="36" t="s">
        <v>76</v>
      </c>
      <c r="AR6" s="1" t="s">
        <v>77</v>
      </c>
      <c r="AS6" s="1">
        <v>12</v>
      </c>
    </row>
    <row r="7" spans="1:45" ht="15.9">
      <c r="A7" s="1" t="s">
        <v>67</v>
      </c>
      <c r="B7" s="1" t="s">
        <v>59</v>
      </c>
      <c r="C7" s="30" t="s">
        <v>78</v>
      </c>
      <c r="D7" s="491">
        <v>-37</v>
      </c>
      <c r="E7" s="204" t="s">
        <v>66</v>
      </c>
      <c r="F7" s="32" t="s">
        <v>66</v>
      </c>
      <c r="G7" s="32" t="s">
        <v>66</v>
      </c>
      <c r="H7" s="33"/>
      <c r="I7" s="33"/>
      <c r="J7" s="32"/>
      <c r="K7" s="32" t="s">
        <v>259</v>
      </c>
      <c r="L7" s="32" t="s">
        <v>259</v>
      </c>
      <c r="M7" s="32" t="s">
        <v>259</v>
      </c>
      <c r="N7" s="32" t="s">
        <v>69</v>
      </c>
      <c r="O7" s="33" t="s">
        <v>70</v>
      </c>
      <c r="P7" s="33" t="s">
        <v>70</v>
      </c>
      <c r="Q7" s="32" t="s">
        <v>69</v>
      </c>
      <c r="R7" s="32" t="s">
        <v>66</v>
      </c>
      <c r="S7" s="32" t="s">
        <v>66</v>
      </c>
      <c r="T7" s="32" t="s">
        <v>66</v>
      </c>
      <c r="U7" s="32"/>
      <c r="V7" s="33"/>
      <c r="W7" s="33"/>
      <c r="X7" s="32" t="s">
        <v>69</v>
      </c>
      <c r="Y7" s="32" t="s">
        <v>70</v>
      </c>
      <c r="Z7" s="32" t="s">
        <v>70</v>
      </c>
      <c r="AA7" s="32" t="s">
        <v>70</v>
      </c>
      <c r="AB7" s="32" t="s">
        <v>69</v>
      </c>
      <c r="AC7" s="33"/>
      <c r="AD7" s="33"/>
      <c r="AE7" s="32" t="s">
        <v>363</v>
      </c>
      <c r="AF7" s="32"/>
      <c r="AG7" s="32"/>
      <c r="AH7" s="34"/>
      <c r="AI7" s="35"/>
      <c r="AJ7" s="26" t="str">
        <f>Tabela13[[#This Row],[FUNKCJONARIUSZ]]</f>
        <v>F-sz 006</v>
      </c>
      <c r="AK7" s="27">
        <f t="shared" si="0"/>
        <v>-45</v>
      </c>
      <c r="AL7" s="28">
        <f t="shared" si="1"/>
        <v>0</v>
      </c>
      <c r="AM7">
        <f t="shared" si="2"/>
        <v>168</v>
      </c>
      <c r="AN7" s="29">
        <f t="shared" si="3"/>
        <v>0</v>
      </c>
      <c r="AO7" s="1">
        <f t="shared" si="4"/>
        <v>0</v>
      </c>
      <c r="AP7" s="1">
        <v>0</v>
      </c>
      <c r="AQ7" s="36" t="s">
        <v>69</v>
      </c>
      <c r="AR7" s="1" t="s">
        <v>79</v>
      </c>
      <c r="AS7" s="1">
        <v>12</v>
      </c>
    </row>
    <row r="8" spans="1:45" ht="15.9">
      <c r="A8" s="1" t="s">
        <v>67</v>
      </c>
      <c r="B8" s="1" t="s">
        <v>59</v>
      </c>
      <c r="C8" s="203" t="s">
        <v>80</v>
      </c>
      <c r="D8" s="491">
        <v>125</v>
      </c>
      <c r="E8" s="204" t="s">
        <v>75</v>
      </c>
      <c r="F8" s="32" t="s">
        <v>75</v>
      </c>
      <c r="G8" s="32" t="s">
        <v>75</v>
      </c>
      <c r="H8" s="33" t="s">
        <v>66</v>
      </c>
      <c r="I8" s="33" t="s">
        <v>66</v>
      </c>
      <c r="J8" s="32" t="s">
        <v>75</v>
      </c>
      <c r="K8" s="32" t="s">
        <v>75</v>
      </c>
      <c r="L8" s="32" t="s">
        <v>75</v>
      </c>
      <c r="M8" s="32" t="s">
        <v>75</v>
      </c>
      <c r="N8" s="32" t="s">
        <v>75</v>
      </c>
      <c r="O8" s="33" t="s">
        <v>66</v>
      </c>
      <c r="P8" s="33" t="s">
        <v>66</v>
      </c>
      <c r="Q8" s="32" t="s">
        <v>75</v>
      </c>
      <c r="R8" s="773" t="s">
        <v>364</v>
      </c>
      <c r="S8" s="773"/>
      <c r="T8" s="773"/>
      <c r="U8" s="32" t="s">
        <v>69</v>
      </c>
      <c r="V8" s="33" t="s">
        <v>70</v>
      </c>
      <c r="W8" s="33" t="s">
        <v>70</v>
      </c>
      <c r="X8" s="32" t="s">
        <v>69</v>
      </c>
      <c r="Y8" s="32"/>
      <c r="Z8" s="32"/>
      <c r="AA8" s="32"/>
      <c r="AB8" s="32"/>
      <c r="AC8" s="33"/>
      <c r="AD8" s="33"/>
      <c r="AE8" s="32"/>
      <c r="AF8" s="32"/>
      <c r="AG8" s="32"/>
      <c r="AH8" s="34" t="s">
        <v>363</v>
      </c>
      <c r="AI8" s="35"/>
      <c r="AJ8" s="26" t="str">
        <f>Tabela13[[#This Row],[FUNKCJONARIUSZ]]</f>
        <v>F-sz 007</v>
      </c>
      <c r="AK8" s="27">
        <f t="shared" si="0"/>
        <v>93</v>
      </c>
      <c r="AL8" s="28">
        <f t="shared" si="1"/>
        <v>0</v>
      </c>
      <c r="AM8">
        <f t="shared" si="2"/>
        <v>72</v>
      </c>
      <c r="AN8" s="29">
        <f t="shared" si="3"/>
        <v>72</v>
      </c>
      <c r="AO8" s="1">
        <f t="shared" si="4"/>
        <v>0</v>
      </c>
      <c r="AP8" s="1">
        <v>0</v>
      </c>
      <c r="AQ8" s="36" t="s">
        <v>70</v>
      </c>
      <c r="AR8" s="1" t="s">
        <v>81</v>
      </c>
      <c r="AS8" s="1">
        <v>24</v>
      </c>
    </row>
    <row r="9" spans="1:45" ht="15.9">
      <c r="A9" s="1" t="s">
        <v>67</v>
      </c>
      <c r="B9" s="1" t="s">
        <v>59</v>
      </c>
      <c r="C9" s="203" t="s">
        <v>82</v>
      </c>
      <c r="D9" s="491">
        <v>-10</v>
      </c>
      <c r="E9" s="204" t="s">
        <v>62</v>
      </c>
      <c r="F9" s="32" t="s">
        <v>62</v>
      </c>
      <c r="G9" s="32" t="s">
        <v>62</v>
      </c>
      <c r="H9" s="33" t="s">
        <v>62</v>
      </c>
      <c r="I9" s="33" t="s">
        <v>62</v>
      </c>
      <c r="J9" s="32" t="s">
        <v>61</v>
      </c>
      <c r="K9" s="32"/>
      <c r="L9" s="32"/>
      <c r="M9" s="32"/>
      <c r="N9" s="32"/>
      <c r="O9" s="33"/>
      <c r="P9" s="33"/>
      <c r="Q9" s="32"/>
      <c r="R9" s="32"/>
      <c r="S9" s="32"/>
      <c r="T9" s="32"/>
      <c r="U9" s="32"/>
      <c r="V9" s="33"/>
      <c r="W9" s="33"/>
      <c r="X9" s="32"/>
      <c r="Y9" s="32"/>
      <c r="Z9" s="32"/>
      <c r="AA9" s="40" t="s">
        <v>360</v>
      </c>
      <c r="AB9" s="32"/>
      <c r="AC9" s="33"/>
      <c r="AD9" s="33"/>
      <c r="AE9" s="32" t="s">
        <v>113</v>
      </c>
      <c r="AF9" s="32"/>
      <c r="AG9" s="32"/>
      <c r="AH9" s="34" t="s">
        <v>113</v>
      </c>
      <c r="AI9" s="35"/>
      <c r="AJ9" s="26" t="str">
        <f>Tabela13[[#This Row],[FUNKCJONARIUSZ]]</f>
        <v>F-sz 008</v>
      </c>
      <c r="AK9" s="27">
        <f t="shared" si="0"/>
        <v>-6</v>
      </c>
      <c r="AL9" s="28">
        <f t="shared" si="1"/>
        <v>48</v>
      </c>
      <c r="AM9">
        <f t="shared" si="2"/>
        <v>132</v>
      </c>
      <c r="AN9" s="29">
        <f t="shared" si="3"/>
        <v>0</v>
      </c>
      <c r="AO9" s="1">
        <f t="shared" si="4"/>
        <v>0</v>
      </c>
      <c r="AP9" s="1">
        <v>0</v>
      </c>
      <c r="AQ9" s="36" t="s">
        <v>83</v>
      </c>
      <c r="AR9" s="1" t="s">
        <v>84</v>
      </c>
      <c r="AS9" s="1">
        <v>8</v>
      </c>
    </row>
    <row r="10" spans="1:45" ht="15.9">
      <c r="A10" s="1" t="s">
        <v>58</v>
      </c>
      <c r="B10" s="1" t="s">
        <v>73</v>
      </c>
      <c r="C10" s="203" t="s">
        <v>85</v>
      </c>
      <c r="D10" s="491">
        <v>70</v>
      </c>
      <c r="E10" s="204" t="s">
        <v>75</v>
      </c>
      <c r="F10" s="32" t="s">
        <v>75</v>
      </c>
      <c r="G10" s="32" t="s">
        <v>75</v>
      </c>
      <c r="H10" s="33" t="s">
        <v>66</v>
      </c>
      <c r="I10" s="33" t="s">
        <v>66</v>
      </c>
      <c r="J10" s="32" t="s">
        <v>75</v>
      </c>
      <c r="K10" s="32" t="s">
        <v>75</v>
      </c>
      <c r="L10" s="32" t="s">
        <v>75</v>
      </c>
      <c r="M10" s="32" t="s">
        <v>75</v>
      </c>
      <c r="N10" s="32" t="s">
        <v>75</v>
      </c>
      <c r="O10" s="33" t="s">
        <v>66</v>
      </c>
      <c r="P10" s="33" t="s">
        <v>66</v>
      </c>
      <c r="Q10" s="32" t="s">
        <v>75</v>
      </c>
      <c r="R10" s="32" t="s">
        <v>259</v>
      </c>
      <c r="S10" s="32" t="s">
        <v>259</v>
      </c>
      <c r="T10" s="32" t="s">
        <v>259</v>
      </c>
      <c r="U10" s="32"/>
      <c r="V10" s="33"/>
      <c r="W10" s="33"/>
      <c r="X10" s="32"/>
      <c r="Y10" s="32"/>
      <c r="Z10" s="32"/>
      <c r="AA10" s="32" t="s">
        <v>360</v>
      </c>
      <c r="AB10" s="32"/>
      <c r="AC10" s="33"/>
      <c r="AD10" s="33"/>
      <c r="AE10" s="32" t="s">
        <v>69</v>
      </c>
      <c r="AF10" s="32" t="s">
        <v>70</v>
      </c>
      <c r="AG10" s="32" t="s">
        <v>70</v>
      </c>
      <c r="AH10" s="34" t="s">
        <v>70</v>
      </c>
      <c r="AI10" s="35"/>
      <c r="AJ10" s="26" t="str">
        <f>Tabela13[[#This Row],[FUNKCJONARIUSZ]]</f>
        <v>F-sz 009</v>
      </c>
      <c r="AK10" s="27">
        <f t="shared" si="0"/>
        <v>50</v>
      </c>
      <c r="AL10" s="28">
        <f t="shared" si="1"/>
        <v>0</v>
      </c>
      <c r="AM10">
        <f t="shared" si="2"/>
        <v>84</v>
      </c>
      <c r="AN10" s="29">
        <f t="shared" si="3"/>
        <v>72</v>
      </c>
      <c r="AO10" s="1">
        <f t="shared" si="4"/>
        <v>0</v>
      </c>
      <c r="AP10" s="1">
        <v>0</v>
      </c>
      <c r="AQ10" s="36" t="s">
        <v>75</v>
      </c>
      <c r="AR10" s="1" t="s">
        <v>86</v>
      </c>
      <c r="AS10" s="1">
        <v>8</v>
      </c>
    </row>
    <row r="11" spans="1:45" ht="15.9">
      <c r="A11" s="1" t="s">
        <v>58</v>
      </c>
      <c r="B11" s="1" t="s">
        <v>73</v>
      </c>
      <c r="C11" s="203" t="s">
        <v>87</v>
      </c>
      <c r="D11" s="491">
        <v>-47</v>
      </c>
      <c r="E11" s="204" t="s">
        <v>66</v>
      </c>
      <c r="F11" s="32" t="s">
        <v>361</v>
      </c>
      <c r="G11" s="32" t="s">
        <v>66</v>
      </c>
      <c r="H11" s="33"/>
      <c r="I11" s="33" t="s">
        <v>113</v>
      </c>
      <c r="J11" s="32"/>
      <c r="K11" s="32"/>
      <c r="L11" s="32" t="s">
        <v>75</v>
      </c>
      <c r="M11" s="32" t="s">
        <v>75</v>
      </c>
      <c r="N11" s="32" t="s">
        <v>75</v>
      </c>
      <c r="O11" s="33" t="s">
        <v>66</v>
      </c>
      <c r="P11" s="33" t="s">
        <v>66</v>
      </c>
      <c r="Q11" s="32" t="s">
        <v>75</v>
      </c>
      <c r="R11" s="32" t="s">
        <v>75</v>
      </c>
      <c r="S11" s="32" t="s">
        <v>113</v>
      </c>
      <c r="T11" s="32" t="s">
        <v>66</v>
      </c>
      <c r="U11" s="32"/>
      <c r="V11" s="33" t="s">
        <v>113</v>
      </c>
      <c r="W11" s="33"/>
      <c r="X11" s="32"/>
      <c r="Y11" s="32" t="s">
        <v>259</v>
      </c>
      <c r="Z11" s="32" t="s">
        <v>259</v>
      </c>
      <c r="AA11" s="32" t="s">
        <v>259</v>
      </c>
      <c r="AB11" s="32" t="s">
        <v>61</v>
      </c>
      <c r="AC11" s="33" t="s">
        <v>70</v>
      </c>
      <c r="AD11" s="33" t="s">
        <v>70</v>
      </c>
      <c r="AE11" s="32" t="s">
        <v>69</v>
      </c>
      <c r="AF11" s="32"/>
      <c r="AG11" s="32"/>
      <c r="AH11" s="34" t="s">
        <v>362</v>
      </c>
      <c r="AI11" s="35"/>
      <c r="AJ11" s="26" t="str">
        <f>Tabela13[[#This Row],[FUNKCJONARIUSZ]]</f>
        <v>F-sz 010</v>
      </c>
      <c r="AK11" s="27">
        <f t="shared" si="0"/>
        <v>-39</v>
      </c>
      <c r="AL11" s="28">
        <f t="shared" si="1"/>
        <v>72</v>
      </c>
      <c r="AM11">
        <f t="shared" si="2"/>
        <v>72</v>
      </c>
      <c r="AN11" s="29">
        <f t="shared" si="3"/>
        <v>40</v>
      </c>
      <c r="AO11" s="1">
        <f t="shared" si="4"/>
        <v>0</v>
      </c>
      <c r="AP11" s="1">
        <v>0</v>
      </c>
      <c r="AQ11" s="36" t="s">
        <v>88</v>
      </c>
      <c r="AR11" s="1" t="s">
        <v>89</v>
      </c>
      <c r="AS11" s="1">
        <v>8</v>
      </c>
    </row>
    <row r="12" spans="1:45" ht="15.9">
      <c r="A12" s="1" t="s">
        <v>90</v>
      </c>
      <c r="B12" s="1" t="s">
        <v>64</v>
      </c>
      <c r="C12" s="203" t="s">
        <v>91</v>
      </c>
      <c r="D12" s="491">
        <v>10</v>
      </c>
      <c r="E12" s="204" t="s">
        <v>75</v>
      </c>
      <c r="F12" s="32" t="s">
        <v>75</v>
      </c>
      <c r="G12" s="32" t="s">
        <v>75</v>
      </c>
      <c r="H12" s="33"/>
      <c r="I12" s="33"/>
      <c r="J12" s="32"/>
      <c r="K12" s="32"/>
      <c r="L12" s="774" t="s">
        <v>365</v>
      </c>
      <c r="M12" s="774"/>
      <c r="N12" s="774"/>
      <c r="O12" s="774"/>
      <c r="P12" s="774"/>
      <c r="Q12" s="774"/>
      <c r="R12" s="774"/>
      <c r="S12" s="774"/>
      <c r="T12" s="774"/>
      <c r="U12" s="774"/>
      <c r="V12" s="33"/>
      <c r="W12" s="33"/>
      <c r="X12" s="32"/>
      <c r="Y12" s="32"/>
      <c r="Z12" s="32"/>
      <c r="AA12" s="32"/>
      <c r="AB12" s="32" t="s">
        <v>69</v>
      </c>
      <c r="AC12" s="33" t="s">
        <v>70</v>
      </c>
      <c r="AD12" s="33" t="s">
        <v>70</v>
      </c>
      <c r="AE12" s="32" t="s">
        <v>69</v>
      </c>
      <c r="AF12" s="32"/>
      <c r="AG12" s="32"/>
      <c r="AH12" s="34"/>
      <c r="AI12" s="35"/>
      <c r="AJ12" s="26" t="str">
        <f>Tabela13[[#This Row],[FUNKCJONARIUSZ]]</f>
        <v>F-sz 011</v>
      </c>
      <c r="AK12" s="27">
        <f t="shared" si="0"/>
        <v>-6</v>
      </c>
      <c r="AL12" s="28">
        <f t="shared" si="1"/>
        <v>0</v>
      </c>
      <c r="AM12">
        <f t="shared" si="2"/>
        <v>72</v>
      </c>
      <c r="AN12" s="29">
        <f>SUM(E12:AI12)+COUNTIF(E12:AI12,"uw")*8+COUNTIF(E12:AI12,"us")*8+COUNTIF(E12:AI12,"uz")*8+64</f>
        <v>88</v>
      </c>
      <c r="AO12" s="1">
        <f t="shared" si="4"/>
        <v>0</v>
      </c>
      <c r="AP12" s="1">
        <v>0</v>
      </c>
      <c r="AQ12" s="36" t="s">
        <v>92</v>
      </c>
      <c r="AR12" s="1" t="s">
        <v>79</v>
      </c>
      <c r="AS12" s="1">
        <v>12</v>
      </c>
    </row>
    <row r="13" spans="1:45" ht="15.9">
      <c r="A13" s="1" t="s">
        <v>58</v>
      </c>
      <c r="B13" s="1" t="s">
        <v>93</v>
      </c>
      <c r="C13" s="203" t="s">
        <v>94</v>
      </c>
      <c r="D13" s="491">
        <v>-11</v>
      </c>
      <c r="E13" s="204"/>
      <c r="F13" s="32"/>
      <c r="G13" s="32"/>
      <c r="H13" s="33"/>
      <c r="I13" s="33"/>
      <c r="J13" s="32" t="s">
        <v>169</v>
      </c>
      <c r="K13" s="32" t="s">
        <v>169</v>
      </c>
      <c r="L13" s="32" t="s">
        <v>169</v>
      </c>
      <c r="M13" s="32" t="s">
        <v>169</v>
      </c>
      <c r="N13" s="32" t="s">
        <v>169</v>
      </c>
      <c r="O13" s="32" t="s">
        <v>169</v>
      </c>
      <c r="P13" s="32" t="s">
        <v>169</v>
      </c>
      <c r="Q13" s="32" t="s">
        <v>169</v>
      </c>
      <c r="R13" s="32" t="s">
        <v>169</v>
      </c>
      <c r="S13" s="32" t="s">
        <v>169</v>
      </c>
      <c r="T13" s="32" t="s">
        <v>169</v>
      </c>
      <c r="U13" s="32" t="s">
        <v>169</v>
      </c>
      <c r="V13" s="32" t="s">
        <v>169</v>
      </c>
      <c r="W13" s="32" t="s">
        <v>169</v>
      </c>
      <c r="X13" s="32" t="s">
        <v>169</v>
      </c>
      <c r="Y13" s="32" t="s">
        <v>169</v>
      </c>
      <c r="Z13" s="32" t="s">
        <v>169</v>
      </c>
      <c r="AA13" s="32" t="s">
        <v>169</v>
      </c>
      <c r="AB13" s="32" t="s">
        <v>169</v>
      </c>
      <c r="AC13" s="32" t="s">
        <v>169</v>
      </c>
      <c r="AD13" s="32" t="s">
        <v>169</v>
      </c>
      <c r="AE13" s="32" t="s">
        <v>169</v>
      </c>
      <c r="AF13" s="32" t="s">
        <v>169</v>
      </c>
      <c r="AG13" s="32" t="s">
        <v>169</v>
      </c>
      <c r="AH13" s="34" t="s">
        <v>169</v>
      </c>
      <c r="AI13" s="35"/>
      <c r="AJ13" s="26" t="str">
        <f>Tabela13[[#This Row],[FUNKCJONARIUSZ]]</f>
        <v>F-sz 012</v>
      </c>
      <c r="AK13" s="27">
        <v>-63</v>
      </c>
      <c r="AL13" s="28">
        <f t="shared" si="1"/>
        <v>0</v>
      </c>
      <c r="AM13">
        <f t="shared" si="2"/>
        <v>0</v>
      </c>
      <c r="AN13" s="29">
        <f t="shared" ref="AN13:AN22" si="5">SUM(E13:AI13)+COUNTIF(E13:AI13,"uw")*8+COUNTIF(E13:AI13,"us")*8+COUNTIF(E13:AI13,"uz")*8</f>
        <v>0</v>
      </c>
      <c r="AO13" s="1">
        <f t="shared" si="4"/>
        <v>0</v>
      </c>
      <c r="AP13" s="1">
        <v>0</v>
      </c>
      <c r="AQ13" s="36" t="s">
        <v>95</v>
      </c>
      <c r="AR13" s="1" t="s">
        <v>96</v>
      </c>
      <c r="AS13" s="1">
        <v>24</v>
      </c>
    </row>
    <row r="14" spans="1:45" ht="15.9">
      <c r="A14" s="1" t="s">
        <v>90</v>
      </c>
      <c r="B14" s="1" t="s">
        <v>59</v>
      </c>
      <c r="C14" s="203" t="s">
        <v>97</v>
      </c>
      <c r="D14" s="491">
        <v>26</v>
      </c>
      <c r="E14" s="204"/>
      <c r="F14" s="32"/>
      <c r="G14" s="32"/>
      <c r="H14" s="33"/>
      <c r="I14" s="33"/>
      <c r="J14" s="32"/>
      <c r="K14" s="32"/>
      <c r="L14" s="32" t="s">
        <v>113</v>
      </c>
      <c r="M14" s="32"/>
      <c r="N14" s="32"/>
      <c r="O14" s="33"/>
      <c r="P14" s="33"/>
      <c r="Q14" s="32" t="s">
        <v>69</v>
      </c>
      <c r="R14" s="32" t="s">
        <v>70</v>
      </c>
      <c r="S14" s="32" t="s">
        <v>70</v>
      </c>
      <c r="T14" s="32" t="s">
        <v>70</v>
      </c>
      <c r="U14" s="32" t="s">
        <v>69</v>
      </c>
      <c r="V14" s="33"/>
      <c r="W14" s="33"/>
      <c r="X14" s="32"/>
      <c r="Y14" s="32"/>
      <c r="Z14" s="32"/>
      <c r="AA14" s="32" t="s">
        <v>113</v>
      </c>
      <c r="AB14" s="32"/>
      <c r="AC14" s="33"/>
      <c r="AD14" s="33"/>
      <c r="AE14" s="32"/>
      <c r="AF14" s="32" t="s">
        <v>59</v>
      </c>
      <c r="AG14" s="32"/>
      <c r="AH14" s="34"/>
      <c r="AI14" s="35"/>
      <c r="AJ14" s="26" t="str">
        <f>Tabela13[[#This Row],[FUNKCJONARIUSZ]]</f>
        <v>F-sz 013</v>
      </c>
      <c r="AK14" s="27">
        <f t="shared" ref="AK14:AK26" si="6">D14+AL14+AM14+AN14-$AK$1+AO14+AP14</f>
        <v>18</v>
      </c>
      <c r="AL14" s="28">
        <f t="shared" si="1"/>
        <v>72</v>
      </c>
      <c r="AM14">
        <f t="shared" si="2"/>
        <v>96</v>
      </c>
      <c r="AN14" s="29">
        <f t="shared" si="5"/>
        <v>0</v>
      </c>
      <c r="AO14" s="1">
        <f t="shared" si="4"/>
        <v>0</v>
      </c>
      <c r="AP14" s="1">
        <v>0</v>
      </c>
      <c r="AQ14" s="36" t="s">
        <v>98</v>
      </c>
      <c r="AR14" s="1" t="s">
        <v>99</v>
      </c>
      <c r="AS14" s="1">
        <v>24</v>
      </c>
    </row>
    <row r="15" spans="1:45" ht="15.9">
      <c r="A15" s="1" t="s">
        <v>58</v>
      </c>
      <c r="B15" s="1" t="s">
        <v>93</v>
      </c>
      <c r="C15" s="203" t="s">
        <v>100</v>
      </c>
      <c r="D15" s="491">
        <v>63</v>
      </c>
      <c r="E15" s="204"/>
      <c r="F15" s="32"/>
      <c r="G15" s="32"/>
      <c r="H15" s="33"/>
      <c r="I15" s="33"/>
      <c r="J15" s="32" t="s">
        <v>69</v>
      </c>
      <c r="K15" s="32" t="s">
        <v>70</v>
      </c>
      <c r="L15" s="32" t="s">
        <v>70</v>
      </c>
      <c r="M15" s="32" t="s">
        <v>70</v>
      </c>
      <c r="N15" s="32" t="s">
        <v>70</v>
      </c>
      <c r="O15" s="33" t="s">
        <v>70</v>
      </c>
      <c r="P15" s="33" t="s">
        <v>70</v>
      </c>
      <c r="Q15" s="32" t="s">
        <v>69</v>
      </c>
      <c r="R15" s="32" t="s">
        <v>66</v>
      </c>
      <c r="S15" s="32" t="s">
        <v>66</v>
      </c>
      <c r="T15" s="32" t="s">
        <v>66</v>
      </c>
      <c r="U15" s="32" t="s">
        <v>66</v>
      </c>
      <c r="V15" s="33" t="s">
        <v>66</v>
      </c>
      <c r="W15" s="33" t="s">
        <v>66</v>
      </c>
      <c r="X15" s="32"/>
      <c r="Y15" s="32"/>
      <c r="Z15" s="32"/>
      <c r="AA15" s="32"/>
      <c r="AB15" s="32"/>
      <c r="AC15" s="33"/>
      <c r="AD15" s="33"/>
      <c r="AE15" s="32" t="s">
        <v>362</v>
      </c>
      <c r="AF15" s="32"/>
      <c r="AG15" s="32"/>
      <c r="AH15" s="34"/>
      <c r="AI15" s="35"/>
      <c r="AJ15" s="26" t="str">
        <f>Tabela13[[#This Row],[FUNKCJONARIUSZ]]</f>
        <v>F-sz 014</v>
      </c>
      <c r="AK15" s="27">
        <f t="shared" si="6"/>
        <v>103</v>
      </c>
      <c r="AL15" s="28">
        <f t="shared" si="1"/>
        <v>0</v>
      </c>
      <c r="AM15">
        <f t="shared" si="2"/>
        <v>168</v>
      </c>
      <c r="AN15" s="29">
        <f t="shared" si="5"/>
        <v>0</v>
      </c>
      <c r="AO15" s="1">
        <f t="shared" si="4"/>
        <v>0</v>
      </c>
      <c r="AP15" s="1">
        <f>2*24</f>
        <v>48</v>
      </c>
      <c r="AQ15" s="32" t="s">
        <v>101</v>
      </c>
      <c r="AR15" s="1" t="s">
        <v>102</v>
      </c>
      <c r="AS15" s="1" t="s">
        <v>103</v>
      </c>
    </row>
    <row r="16" spans="1:45" ht="15.9">
      <c r="A16" s="1" t="s">
        <v>90</v>
      </c>
      <c r="B16" s="1" t="s">
        <v>64</v>
      </c>
      <c r="C16" s="203" t="s">
        <v>104</v>
      </c>
      <c r="D16" s="491">
        <v>19</v>
      </c>
      <c r="E16" s="204" t="s">
        <v>75</v>
      </c>
      <c r="F16" s="32" t="s">
        <v>75</v>
      </c>
      <c r="G16" s="32" t="s">
        <v>75</v>
      </c>
      <c r="H16" s="33" t="s">
        <v>66</v>
      </c>
      <c r="I16" s="33" t="s">
        <v>66</v>
      </c>
      <c r="J16" s="32" t="s">
        <v>75</v>
      </c>
      <c r="K16" s="32" t="s">
        <v>75</v>
      </c>
      <c r="L16" s="32" t="s">
        <v>75</v>
      </c>
      <c r="M16" s="32" t="s">
        <v>75</v>
      </c>
      <c r="N16" s="32" t="s">
        <v>75</v>
      </c>
      <c r="O16" s="33"/>
      <c r="P16" s="33"/>
      <c r="Q16" s="32" t="s">
        <v>69</v>
      </c>
      <c r="R16" s="32" t="s">
        <v>70</v>
      </c>
      <c r="S16" s="32" t="s">
        <v>70</v>
      </c>
      <c r="T16" s="32" t="s">
        <v>70</v>
      </c>
      <c r="U16" s="32" t="s">
        <v>69</v>
      </c>
      <c r="V16" s="33" t="s">
        <v>66</v>
      </c>
      <c r="W16" s="33" t="s">
        <v>66</v>
      </c>
      <c r="X16" s="32" t="s">
        <v>66</v>
      </c>
      <c r="Y16" s="32"/>
      <c r="Z16" s="32"/>
      <c r="AA16" s="32"/>
      <c r="AB16" s="32"/>
      <c r="AC16" s="33"/>
      <c r="AD16" s="33"/>
      <c r="AE16" s="32" t="s">
        <v>363</v>
      </c>
      <c r="AF16" s="32"/>
      <c r="AG16" s="32"/>
      <c r="AH16" s="34"/>
      <c r="AI16" s="35"/>
      <c r="AJ16" s="26" t="str">
        <f>Tabela13[[#This Row],[FUNKCJONARIUSZ]]</f>
        <v>F-sz 015</v>
      </c>
      <c r="AK16" s="27">
        <f t="shared" si="6"/>
        <v>3</v>
      </c>
      <c r="AL16" s="28">
        <f t="shared" si="1"/>
        <v>0</v>
      </c>
      <c r="AM16">
        <f t="shared" si="2"/>
        <v>96</v>
      </c>
      <c r="AN16" s="29">
        <f t="shared" si="5"/>
        <v>64</v>
      </c>
      <c r="AO16" s="1">
        <f t="shared" si="4"/>
        <v>0</v>
      </c>
      <c r="AP16" s="1">
        <v>0</v>
      </c>
    </row>
    <row r="17" spans="1:42" ht="15.9">
      <c r="A17" s="1" t="s">
        <v>105</v>
      </c>
      <c r="B17" s="1" t="s">
        <v>64</v>
      </c>
      <c r="C17" s="203" t="s">
        <v>106</v>
      </c>
      <c r="D17" s="491">
        <v>90</v>
      </c>
      <c r="E17" s="204" t="s">
        <v>75</v>
      </c>
      <c r="F17" s="32" t="s">
        <v>75</v>
      </c>
      <c r="G17" s="32" t="s">
        <v>75</v>
      </c>
      <c r="H17" s="33" t="s">
        <v>66</v>
      </c>
      <c r="I17" s="33" t="s">
        <v>66</v>
      </c>
      <c r="J17" s="32" t="s">
        <v>75</v>
      </c>
      <c r="K17" s="32" t="s">
        <v>75</v>
      </c>
      <c r="L17" s="32" t="s">
        <v>75</v>
      </c>
      <c r="M17" s="32" t="s">
        <v>75</v>
      </c>
      <c r="N17" s="32" t="s">
        <v>75</v>
      </c>
      <c r="O17" s="33" t="s">
        <v>66</v>
      </c>
      <c r="P17" s="33" t="s">
        <v>66</v>
      </c>
      <c r="Q17" s="32" t="s">
        <v>75</v>
      </c>
      <c r="R17" s="32" t="s">
        <v>75</v>
      </c>
      <c r="S17" s="32" t="s">
        <v>75</v>
      </c>
      <c r="T17" s="32" t="s">
        <v>75</v>
      </c>
      <c r="U17" s="32" t="s">
        <v>75</v>
      </c>
      <c r="V17" s="33" t="s">
        <v>66</v>
      </c>
      <c r="W17" s="33" t="s">
        <v>66</v>
      </c>
      <c r="X17" s="32" t="s">
        <v>75</v>
      </c>
      <c r="Y17" s="32"/>
      <c r="Z17" s="32"/>
      <c r="AA17" s="32"/>
      <c r="AB17" s="32"/>
      <c r="AC17" s="33"/>
      <c r="AD17" s="33"/>
      <c r="AE17" s="32"/>
      <c r="AF17" s="32"/>
      <c r="AG17" s="32"/>
      <c r="AH17" s="34"/>
      <c r="AI17" s="35"/>
      <c r="AJ17" s="26" t="str">
        <f>Tabela13[[#This Row],[FUNKCJONARIUSZ]]</f>
        <v>F-sz 016</v>
      </c>
      <c r="AK17" s="27">
        <f t="shared" si="6"/>
        <v>26</v>
      </c>
      <c r="AL17" s="28">
        <f t="shared" si="1"/>
        <v>0</v>
      </c>
      <c r="AM17">
        <f t="shared" si="2"/>
        <v>0</v>
      </c>
      <c r="AN17" s="29">
        <f t="shared" si="5"/>
        <v>112</v>
      </c>
      <c r="AO17" s="1">
        <f t="shared" si="4"/>
        <v>0</v>
      </c>
      <c r="AP17" s="1">
        <v>0</v>
      </c>
    </row>
    <row r="18" spans="1:42" ht="15.9">
      <c r="A18" s="1" t="s">
        <v>67</v>
      </c>
      <c r="B18" s="1" t="s">
        <v>73</v>
      </c>
      <c r="C18" s="203" t="s">
        <v>107</v>
      </c>
      <c r="D18" s="491">
        <v>106</v>
      </c>
      <c r="E18" s="204" t="s">
        <v>62</v>
      </c>
      <c r="F18" s="32" t="s">
        <v>62</v>
      </c>
      <c r="G18" s="32" t="s">
        <v>69</v>
      </c>
      <c r="H18" s="33"/>
      <c r="I18" s="33"/>
      <c r="J18" s="32"/>
      <c r="K18" s="32" t="s">
        <v>259</v>
      </c>
      <c r="L18" s="32" t="s">
        <v>259</v>
      </c>
      <c r="M18" s="32" t="s">
        <v>259</v>
      </c>
      <c r="N18" s="32"/>
      <c r="O18" s="33" t="s">
        <v>113</v>
      </c>
      <c r="P18" s="33"/>
      <c r="Q18" s="32" t="s">
        <v>75</v>
      </c>
      <c r="R18" s="32" t="s">
        <v>75</v>
      </c>
      <c r="S18" s="32" t="s">
        <v>75</v>
      </c>
      <c r="T18" s="32" t="s">
        <v>75</v>
      </c>
      <c r="U18" s="32" t="s">
        <v>75</v>
      </c>
      <c r="V18" s="33" t="s">
        <v>66</v>
      </c>
      <c r="W18" s="33" t="s">
        <v>66</v>
      </c>
      <c r="X18" s="37" t="s">
        <v>75</v>
      </c>
      <c r="Y18" s="37" t="s">
        <v>75</v>
      </c>
      <c r="Z18" s="37" t="s">
        <v>75</v>
      </c>
      <c r="AA18" s="37" t="s">
        <v>75</v>
      </c>
      <c r="AB18" s="37"/>
      <c r="AC18" s="38"/>
      <c r="AD18" s="38"/>
      <c r="AE18" s="37" t="s">
        <v>362</v>
      </c>
      <c r="AF18" s="32"/>
      <c r="AG18" s="32"/>
      <c r="AH18" s="34"/>
      <c r="AI18" s="35"/>
      <c r="AJ18" s="26" t="str">
        <f>Tabela13[[#This Row],[FUNKCJONARIUSZ]]</f>
        <v>F-sz 017</v>
      </c>
      <c r="AK18" s="27">
        <f t="shared" si="6"/>
        <v>86</v>
      </c>
      <c r="AL18" s="28">
        <f t="shared" si="1"/>
        <v>24</v>
      </c>
      <c r="AM18">
        <f t="shared" si="2"/>
        <v>60</v>
      </c>
      <c r="AN18" s="29">
        <f t="shared" si="5"/>
        <v>72</v>
      </c>
      <c r="AO18" s="1">
        <f t="shared" si="4"/>
        <v>0</v>
      </c>
      <c r="AP18" s="1">
        <v>0</v>
      </c>
    </row>
    <row r="19" spans="1:42" ht="15.9">
      <c r="A19" s="1" t="s">
        <v>90</v>
      </c>
      <c r="B19" s="1" t="s">
        <v>59</v>
      </c>
      <c r="C19" s="203" t="s">
        <v>108</v>
      </c>
      <c r="D19" s="491">
        <v>-41</v>
      </c>
      <c r="E19" s="299"/>
      <c r="F19" s="32"/>
      <c r="G19" s="32"/>
      <c r="H19" s="38"/>
      <c r="I19" s="33"/>
      <c r="J19" s="32"/>
      <c r="K19" s="32"/>
      <c r="L19" s="32"/>
      <c r="M19" s="32"/>
      <c r="N19" s="32"/>
      <c r="O19" s="33"/>
      <c r="P19" s="33"/>
      <c r="Q19" s="32"/>
      <c r="R19" s="32"/>
      <c r="S19" s="32"/>
      <c r="T19" s="32"/>
      <c r="U19" s="32"/>
      <c r="V19" s="33"/>
      <c r="W19" s="39"/>
      <c r="X19" s="44" t="s">
        <v>61</v>
      </c>
      <c r="Y19" s="45" t="s">
        <v>62</v>
      </c>
      <c r="Z19" s="45" t="s">
        <v>103</v>
      </c>
      <c r="AA19" s="45" t="s">
        <v>62</v>
      </c>
      <c r="AB19" s="45" t="s">
        <v>62</v>
      </c>
      <c r="AC19" s="46" t="s">
        <v>62</v>
      </c>
      <c r="AD19" s="46" t="s">
        <v>62</v>
      </c>
      <c r="AE19" s="47" t="s">
        <v>61</v>
      </c>
      <c r="AF19" s="48" t="s">
        <v>66</v>
      </c>
      <c r="AG19" s="32" t="s">
        <v>66</v>
      </c>
      <c r="AH19" s="34" t="s">
        <v>66</v>
      </c>
      <c r="AI19" s="35"/>
      <c r="AJ19" s="26" t="str">
        <f>Tabela13[[#This Row],[FUNKCJONARIUSZ]]</f>
        <v>F-sz 018</v>
      </c>
      <c r="AK19" s="27">
        <f t="shared" si="6"/>
        <v>-73</v>
      </c>
      <c r="AL19" s="28">
        <f t="shared" si="1"/>
        <v>0</v>
      </c>
      <c r="AM19">
        <f t="shared" si="2"/>
        <v>144</v>
      </c>
      <c r="AN19" s="29">
        <f t="shared" si="5"/>
        <v>0</v>
      </c>
      <c r="AO19" s="1">
        <f t="shared" si="4"/>
        <v>0</v>
      </c>
      <c r="AP19" s="1">
        <v>0</v>
      </c>
    </row>
    <row r="20" spans="1:42" ht="15.9">
      <c r="A20" s="1" t="s">
        <v>58</v>
      </c>
      <c r="B20" s="1" t="s">
        <v>59</v>
      </c>
      <c r="C20" s="203" t="s">
        <v>109</v>
      </c>
      <c r="D20" s="491">
        <v>70</v>
      </c>
      <c r="E20" s="204"/>
      <c r="F20" s="48"/>
      <c r="G20" s="136"/>
      <c r="H20" s="507" t="s">
        <v>113</v>
      </c>
      <c r="I20" s="508"/>
      <c r="J20" s="32" t="s">
        <v>75</v>
      </c>
      <c r="K20" s="32" t="s">
        <v>75</v>
      </c>
      <c r="L20" s="32" t="s">
        <v>75</v>
      </c>
      <c r="M20" s="32" t="s">
        <v>75</v>
      </c>
      <c r="N20" s="32" t="s">
        <v>75</v>
      </c>
      <c r="O20" s="33" t="s">
        <v>66</v>
      </c>
      <c r="P20" s="33" t="s">
        <v>66</v>
      </c>
      <c r="Q20" s="32" t="s">
        <v>75</v>
      </c>
      <c r="R20" s="32" t="s">
        <v>75</v>
      </c>
      <c r="S20" s="32" t="s">
        <v>75</v>
      </c>
      <c r="T20" s="32" t="s">
        <v>75</v>
      </c>
      <c r="U20" s="32" t="s">
        <v>75</v>
      </c>
      <c r="V20" s="33" t="s">
        <v>66</v>
      </c>
      <c r="W20" s="33" t="s">
        <v>66</v>
      </c>
      <c r="X20" s="41" t="s">
        <v>75</v>
      </c>
      <c r="Y20" s="41" t="s">
        <v>75</v>
      </c>
      <c r="Z20" s="41" t="s">
        <v>75</v>
      </c>
      <c r="AA20" s="41" t="s">
        <v>75</v>
      </c>
      <c r="AB20" s="41" t="s">
        <v>75</v>
      </c>
      <c r="AC20" s="42" t="s">
        <v>66</v>
      </c>
      <c r="AD20" s="42" t="s">
        <v>66</v>
      </c>
      <c r="AE20" s="41" t="s">
        <v>75</v>
      </c>
      <c r="AF20" s="32" t="s">
        <v>75</v>
      </c>
      <c r="AG20" s="32" t="s">
        <v>75</v>
      </c>
      <c r="AH20" s="34" t="s">
        <v>75</v>
      </c>
      <c r="AI20" s="35"/>
      <c r="AJ20" s="26" t="str">
        <f>Tabela13[[#This Row],[FUNKCJONARIUSZ]]</f>
        <v>F-sz 019</v>
      </c>
      <c r="AK20" s="27">
        <f t="shared" si="6"/>
        <v>70</v>
      </c>
      <c r="AL20" s="28">
        <f t="shared" si="1"/>
        <v>24</v>
      </c>
      <c r="AM20">
        <f t="shared" si="2"/>
        <v>0</v>
      </c>
      <c r="AN20" s="29">
        <f t="shared" si="5"/>
        <v>152</v>
      </c>
      <c r="AO20" s="1">
        <f t="shared" si="4"/>
        <v>0</v>
      </c>
      <c r="AP20" s="1">
        <v>0</v>
      </c>
    </row>
    <row r="21" spans="1:42" ht="15.9">
      <c r="A21" s="1" t="s">
        <v>67</v>
      </c>
      <c r="B21" s="1" t="s">
        <v>93</v>
      </c>
      <c r="C21" s="203" t="s">
        <v>110</v>
      </c>
      <c r="D21" s="491">
        <v>81</v>
      </c>
      <c r="E21" s="302" t="s">
        <v>62</v>
      </c>
      <c r="F21" s="32" t="s">
        <v>62</v>
      </c>
      <c r="G21" s="32" t="s">
        <v>62</v>
      </c>
      <c r="H21" s="42" t="s">
        <v>62</v>
      </c>
      <c r="I21" s="33" t="s">
        <v>62</v>
      </c>
      <c r="J21" s="32" t="s">
        <v>61</v>
      </c>
      <c r="K21" s="32"/>
      <c r="L21" s="32"/>
      <c r="M21" s="32"/>
      <c r="N21" s="32"/>
      <c r="O21" s="33"/>
      <c r="P21" s="33" t="s">
        <v>113</v>
      </c>
      <c r="Q21" s="32" t="s">
        <v>66</v>
      </c>
      <c r="R21" s="32"/>
      <c r="S21" s="32"/>
      <c r="T21" s="32"/>
      <c r="U21" s="32"/>
      <c r="V21" s="33"/>
      <c r="W21" s="33" t="s">
        <v>113</v>
      </c>
      <c r="X21" s="32"/>
      <c r="Y21" s="32"/>
      <c r="Z21" s="32"/>
      <c r="AA21" s="32"/>
      <c r="AB21" s="32"/>
      <c r="AC21" s="33"/>
      <c r="AD21" s="33"/>
      <c r="AE21" s="32"/>
      <c r="AF21" s="32"/>
      <c r="AG21" s="32"/>
      <c r="AH21" s="34" t="s">
        <v>362</v>
      </c>
      <c r="AI21" s="35"/>
      <c r="AJ21" s="26" t="str">
        <f>Tabela13[[#This Row],[FUNKCJONARIUSZ]]</f>
        <v>F-sz 020</v>
      </c>
      <c r="AK21" s="27">
        <f t="shared" si="6"/>
        <v>85</v>
      </c>
      <c r="AL21" s="28">
        <f t="shared" si="1"/>
        <v>48</v>
      </c>
      <c r="AM21">
        <f t="shared" si="2"/>
        <v>132</v>
      </c>
      <c r="AN21" s="29">
        <f t="shared" si="5"/>
        <v>0</v>
      </c>
      <c r="AO21" s="1">
        <f t="shared" si="4"/>
        <v>0</v>
      </c>
      <c r="AP21" s="1">
        <v>0</v>
      </c>
    </row>
    <row r="22" spans="1:42" ht="15.9">
      <c r="A22" s="1" t="s">
        <v>58</v>
      </c>
      <c r="B22" s="1" t="s">
        <v>59</v>
      </c>
      <c r="C22" s="203" t="s">
        <v>111</v>
      </c>
      <c r="D22" s="491">
        <v>54</v>
      </c>
      <c r="E22" s="204" t="s">
        <v>113</v>
      </c>
      <c r="F22" s="32"/>
      <c r="G22" s="32"/>
      <c r="H22" s="33"/>
      <c r="I22" s="33"/>
      <c r="J22" s="32" t="s">
        <v>75</v>
      </c>
      <c r="K22" s="32" t="s">
        <v>75</v>
      </c>
      <c r="L22" s="32" t="s">
        <v>75</v>
      </c>
      <c r="M22" s="32" t="s">
        <v>75</v>
      </c>
      <c r="N22" s="32" t="s">
        <v>75</v>
      </c>
      <c r="O22" s="33" t="s">
        <v>66</v>
      </c>
      <c r="P22" s="33" t="s">
        <v>66</v>
      </c>
      <c r="Q22" s="32" t="s">
        <v>75</v>
      </c>
      <c r="R22" s="32" t="s">
        <v>75</v>
      </c>
      <c r="S22" s="32" t="s">
        <v>75</v>
      </c>
      <c r="T22" s="32" t="s">
        <v>75</v>
      </c>
      <c r="U22" s="32" t="s">
        <v>75</v>
      </c>
      <c r="V22" s="33" t="s">
        <v>66</v>
      </c>
      <c r="W22" s="33" t="s">
        <v>66</v>
      </c>
      <c r="X22" s="32" t="s">
        <v>75</v>
      </c>
      <c r="Y22" s="32"/>
      <c r="Z22" s="32"/>
      <c r="AA22" s="32" t="s">
        <v>362</v>
      </c>
      <c r="AB22" s="32"/>
      <c r="AC22" s="33"/>
      <c r="AD22" s="33"/>
      <c r="AE22" s="32" t="s">
        <v>69</v>
      </c>
      <c r="AF22" s="32" t="s">
        <v>70</v>
      </c>
      <c r="AG22" s="32" t="s">
        <v>70</v>
      </c>
      <c r="AH22" s="34" t="s">
        <v>70</v>
      </c>
      <c r="AI22" s="35"/>
      <c r="AJ22" s="26" t="str">
        <f>Tabela13[[#This Row],[FUNKCJONARIUSZ]]</f>
        <v>F-sz 021</v>
      </c>
      <c r="AK22" s="27">
        <f t="shared" si="6"/>
        <v>74</v>
      </c>
      <c r="AL22" s="28">
        <f t="shared" si="1"/>
        <v>24</v>
      </c>
      <c r="AM22">
        <f t="shared" si="2"/>
        <v>84</v>
      </c>
      <c r="AN22" s="29">
        <f t="shared" si="5"/>
        <v>88</v>
      </c>
      <c r="AO22" s="1">
        <f t="shared" si="4"/>
        <v>0</v>
      </c>
      <c r="AP22" s="1">
        <v>0</v>
      </c>
    </row>
    <row r="23" spans="1:42" ht="15.9">
      <c r="A23" s="1" t="s">
        <v>63</v>
      </c>
      <c r="B23" s="1" t="s">
        <v>64</v>
      </c>
      <c r="C23" s="210" t="s">
        <v>112</v>
      </c>
      <c r="D23" s="491">
        <v>-35</v>
      </c>
      <c r="E23" s="204" t="s">
        <v>66</v>
      </c>
      <c r="F23" s="32" t="s">
        <v>66</v>
      </c>
      <c r="G23" s="32" t="s">
        <v>66</v>
      </c>
      <c r="H23" s="33" t="s">
        <v>66</v>
      </c>
      <c r="I23" s="33" t="s">
        <v>66</v>
      </c>
      <c r="J23" s="32" t="s">
        <v>113</v>
      </c>
      <c r="K23" s="32"/>
      <c r="L23" s="774" t="s">
        <v>365</v>
      </c>
      <c r="M23" s="774"/>
      <c r="N23" s="774"/>
      <c r="O23" s="774"/>
      <c r="P23" s="774"/>
      <c r="Q23" s="774"/>
      <c r="R23" s="774"/>
      <c r="S23" s="774"/>
      <c r="T23" s="774"/>
      <c r="U23" s="774"/>
      <c r="V23" s="33" t="s">
        <v>66</v>
      </c>
      <c r="W23" s="33" t="s">
        <v>66</v>
      </c>
      <c r="X23" s="775" t="s">
        <v>366</v>
      </c>
      <c r="Y23" s="775"/>
      <c r="Z23" s="775"/>
      <c r="AA23" s="775"/>
      <c r="AB23" s="775"/>
      <c r="AC23" s="775"/>
      <c r="AD23" s="775"/>
      <c r="AE23" s="775"/>
      <c r="AF23" s="775"/>
      <c r="AG23" s="775"/>
      <c r="AH23" s="775"/>
      <c r="AI23" s="35"/>
      <c r="AJ23" s="26" t="str">
        <f>Tabela13[[#This Row],[FUNKCJONARIUSZ]]</f>
        <v>F-sz 022</v>
      </c>
      <c r="AK23" s="27">
        <f t="shared" si="6"/>
        <v>-123</v>
      </c>
      <c r="AL23" s="28">
        <f t="shared" si="1"/>
        <v>24</v>
      </c>
      <c r="AM23">
        <f t="shared" si="2"/>
        <v>0</v>
      </c>
      <c r="AN23" s="29">
        <f>SUM(E23:AI23)+COUNTIF(E23:AI23,"uw")*8+COUNTIF(E23:AI23,"us")*8+COUNTIF(E23:AI23,"uz")*8+64</f>
        <v>64</v>
      </c>
      <c r="AO23" s="1">
        <f t="shared" si="4"/>
        <v>0</v>
      </c>
      <c r="AP23" s="1">
        <v>0</v>
      </c>
    </row>
    <row r="24" spans="1:42" ht="15.9">
      <c r="A24" s="1" t="s">
        <v>67</v>
      </c>
      <c r="B24" s="1" t="s">
        <v>93</v>
      </c>
      <c r="C24" s="203" t="s">
        <v>114</v>
      </c>
      <c r="D24" s="491">
        <v>56</v>
      </c>
      <c r="E24" s="204" t="s">
        <v>75</v>
      </c>
      <c r="F24" s="32" t="s">
        <v>75</v>
      </c>
      <c r="G24" s="32" t="s">
        <v>75</v>
      </c>
      <c r="H24" s="33"/>
      <c r="I24" s="33"/>
      <c r="J24" s="32"/>
      <c r="K24" s="32"/>
      <c r="L24" s="32"/>
      <c r="M24" s="32" t="s">
        <v>113</v>
      </c>
      <c r="N24" s="32"/>
      <c r="O24" s="33"/>
      <c r="P24" s="33"/>
      <c r="Q24" s="32"/>
      <c r="R24" s="32" t="s">
        <v>259</v>
      </c>
      <c r="S24" s="32" t="s">
        <v>259</v>
      </c>
      <c r="T24" s="32" t="s">
        <v>259</v>
      </c>
      <c r="U24" s="32" t="s">
        <v>69</v>
      </c>
      <c r="V24" s="33" t="s">
        <v>70</v>
      </c>
      <c r="W24" s="33" t="s">
        <v>70</v>
      </c>
      <c r="X24" s="32" t="s">
        <v>69</v>
      </c>
      <c r="Y24" s="32"/>
      <c r="Z24" s="32"/>
      <c r="AA24" s="32"/>
      <c r="AB24" s="32"/>
      <c r="AC24" s="33"/>
      <c r="AD24" s="33"/>
      <c r="AE24" s="32" t="s">
        <v>69</v>
      </c>
      <c r="AF24" s="32" t="s">
        <v>70</v>
      </c>
      <c r="AG24" s="32" t="s">
        <v>70</v>
      </c>
      <c r="AH24" s="34" t="s">
        <v>70</v>
      </c>
      <c r="AI24" s="35"/>
      <c r="AJ24" s="26" t="str">
        <f>Tabela13[[#This Row],[FUNKCJONARIUSZ]]</f>
        <v>F-sz 023</v>
      </c>
      <c r="AK24" s="27">
        <f t="shared" si="6"/>
        <v>84</v>
      </c>
      <c r="AL24" s="28">
        <f t="shared" si="1"/>
        <v>24</v>
      </c>
      <c r="AM24">
        <f t="shared" si="2"/>
        <v>156</v>
      </c>
      <c r="AN24" s="29">
        <f t="shared" ref="AN24:AN29" si="7">SUM(E24:AI24)+COUNTIF(E24:AI24,"uw")*8+COUNTIF(E24:AI24,"us")*8+COUNTIF(E24:AI24,"uz")*8</f>
        <v>24</v>
      </c>
      <c r="AO24" s="1">
        <f t="shared" si="4"/>
        <v>0</v>
      </c>
      <c r="AP24" s="1">
        <v>0</v>
      </c>
    </row>
    <row r="25" spans="1:42" ht="15.9">
      <c r="A25" s="1" t="s">
        <v>63</v>
      </c>
      <c r="B25" s="1" t="s">
        <v>59</v>
      </c>
      <c r="C25" s="203" t="s">
        <v>115</v>
      </c>
      <c r="D25" s="491">
        <v>19</v>
      </c>
      <c r="E25" s="204" t="s">
        <v>75</v>
      </c>
      <c r="F25" s="32" t="s">
        <v>75</v>
      </c>
      <c r="G25" s="32" t="s">
        <v>75</v>
      </c>
      <c r="H25" s="33" t="s">
        <v>66</v>
      </c>
      <c r="I25" s="33" t="s">
        <v>66</v>
      </c>
      <c r="J25" s="32" t="s">
        <v>75</v>
      </c>
      <c r="K25" s="32" t="s">
        <v>75</v>
      </c>
      <c r="L25" s="32" t="s">
        <v>75</v>
      </c>
      <c r="M25" s="32"/>
      <c r="N25" s="32" t="s">
        <v>113</v>
      </c>
      <c r="O25" s="33"/>
      <c r="P25" s="33"/>
      <c r="Q25" s="32"/>
      <c r="R25" s="32" t="s">
        <v>113</v>
      </c>
      <c r="S25" s="32" t="s">
        <v>66</v>
      </c>
      <c r="T25" s="32"/>
      <c r="U25" s="32" t="s">
        <v>113</v>
      </c>
      <c r="V25" s="33"/>
      <c r="W25" s="33"/>
      <c r="X25" s="32"/>
      <c r="Y25" s="32" t="s">
        <v>113</v>
      </c>
      <c r="Z25" s="32"/>
      <c r="AA25" s="32"/>
      <c r="AB25" s="32"/>
      <c r="AC25" s="33"/>
      <c r="AD25" s="33" t="s">
        <v>113</v>
      </c>
      <c r="AE25" s="32"/>
      <c r="AF25" s="32"/>
      <c r="AG25" s="32"/>
      <c r="AH25" s="34" t="s">
        <v>362</v>
      </c>
      <c r="AI25" s="35"/>
      <c r="AJ25" s="26" t="str">
        <f>Tabela13[[#This Row],[FUNKCJONARIUSZ]]</f>
        <v>F-sz 024</v>
      </c>
      <c r="AK25" s="27">
        <f t="shared" si="6"/>
        <v>11</v>
      </c>
      <c r="AL25" s="28">
        <f t="shared" si="1"/>
        <v>120</v>
      </c>
      <c r="AM25">
        <f t="shared" si="2"/>
        <v>0</v>
      </c>
      <c r="AN25" s="29">
        <f t="shared" si="7"/>
        <v>48</v>
      </c>
      <c r="AO25" s="1">
        <f t="shared" si="4"/>
        <v>0</v>
      </c>
      <c r="AP25" s="1">
        <v>0</v>
      </c>
    </row>
    <row r="26" spans="1:42" ht="15.9">
      <c r="A26" s="1" t="s">
        <v>63</v>
      </c>
      <c r="B26" s="1" t="s">
        <v>73</v>
      </c>
      <c r="C26" s="203" t="s">
        <v>116</v>
      </c>
      <c r="D26" s="491">
        <v>83.5</v>
      </c>
      <c r="E26" s="204" t="s">
        <v>66</v>
      </c>
      <c r="F26" s="32" t="s">
        <v>361</v>
      </c>
      <c r="G26" s="32" t="s">
        <v>66</v>
      </c>
      <c r="H26" s="33"/>
      <c r="I26" s="33"/>
      <c r="J26" s="32" t="s">
        <v>75</v>
      </c>
      <c r="K26" s="32" t="s">
        <v>75</v>
      </c>
      <c r="L26" s="32" t="s">
        <v>75</v>
      </c>
      <c r="M26" s="32" t="s">
        <v>75</v>
      </c>
      <c r="N26" s="32" t="s">
        <v>75</v>
      </c>
      <c r="O26" s="32" t="s">
        <v>66</v>
      </c>
      <c r="P26" s="32" t="s">
        <v>66</v>
      </c>
      <c r="Q26" s="32" t="s">
        <v>75</v>
      </c>
      <c r="R26" s="32" t="s">
        <v>75</v>
      </c>
      <c r="S26" s="32" t="s">
        <v>75</v>
      </c>
      <c r="T26" s="32" t="s">
        <v>75</v>
      </c>
      <c r="U26" s="32" t="s">
        <v>75</v>
      </c>
      <c r="V26" s="32" t="s">
        <v>66</v>
      </c>
      <c r="W26" s="32" t="s">
        <v>66</v>
      </c>
      <c r="X26" s="32" t="s">
        <v>69</v>
      </c>
      <c r="Y26" s="32"/>
      <c r="Z26" s="32" t="s">
        <v>113</v>
      </c>
      <c r="AA26" s="32"/>
      <c r="AB26" s="32"/>
      <c r="AC26" s="33"/>
      <c r="AD26" s="33"/>
      <c r="AE26" s="32"/>
      <c r="AF26" s="32"/>
      <c r="AG26" s="32"/>
      <c r="AH26" s="34"/>
      <c r="AI26" s="35"/>
      <c r="AJ26" s="26" t="str">
        <f>Tabela13[[#This Row],[FUNKCJONARIUSZ]]</f>
        <v>F-sz 025</v>
      </c>
      <c r="AK26" s="27">
        <f t="shared" si="6"/>
        <v>23.5</v>
      </c>
      <c r="AL26" s="28">
        <f t="shared" si="1"/>
        <v>24</v>
      </c>
      <c r="AM26">
        <f t="shared" si="2"/>
        <v>12</v>
      </c>
      <c r="AN26" s="29">
        <f t="shared" si="7"/>
        <v>80</v>
      </c>
      <c r="AO26" s="1">
        <f t="shared" si="4"/>
        <v>0</v>
      </c>
      <c r="AP26" s="1">
        <v>0</v>
      </c>
    </row>
    <row r="27" spans="1:42" ht="15.9">
      <c r="A27" s="1" t="s">
        <v>58</v>
      </c>
      <c r="B27" s="1" t="s">
        <v>93</v>
      </c>
      <c r="C27" s="203" t="s">
        <v>117</v>
      </c>
      <c r="D27" s="491">
        <v>42</v>
      </c>
      <c r="E27" s="204" t="s">
        <v>101</v>
      </c>
      <c r="F27" s="32" t="s">
        <v>101</v>
      </c>
      <c r="G27" s="32" t="s">
        <v>101</v>
      </c>
      <c r="H27" s="33" t="s">
        <v>101</v>
      </c>
      <c r="I27" s="33" t="s">
        <v>101</v>
      </c>
      <c r="J27" s="32" t="s">
        <v>101</v>
      </c>
      <c r="K27" s="32" t="s">
        <v>101</v>
      </c>
      <c r="L27" s="32" t="s">
        <v>101</v>
      </c>
      <c r="M27" s="32" t="s">
        <v>101</v>
      </c>
      <c r="N27" s="32" t="s">
        <v>101</v>
      </c>
      <c r="O27" s="33" t="s">
        <v>101</v>
      </c>
      <c r="P27" s="33" t="s">
        <v>101</v>
      </c>
      <c r="Q27" s="32" t="s">
        <v>101</v>
      </c>
      <c r="R27" s="32" t="s">
        <v>101</v>
      </c>
      <c r="S27" s="32" t="s">
        <v>101</v>
      </c>
      <c r="T27" s="32" t="s">
        <v>101</v>
      </c>
      <c r="U27" s="32" t="s">
        <v>101</v>
      </c>
      <c r="V27" s="33" t="s">
        <v>101</v>
      </c>
      <c r="W27" s="33" t="s">
        <v>101</v>
      </c>
      <c r="X27" s="32" t="s">
        <v>101</v>
      </c>
      <c r="Y27" s="32" t="s">
        <v>101</v>
      </c>
      <c r="Z27" s="32" t="s">
        <v>101</v>
      </c>
      <c r="AA27" s="32" t="s">
        <v>101</v>
      </c>
      <c r="AB27" s="32" t="s">
        <v>101</v>
      </c>
      <c r="AC27" s="33" t="s">
        <v>101</v>
      </c>
      <c r="AD27" s="33" t="s">
        <v>101</v>
      </c>
      <c r="AE27" s="32" t="s">
        <v>101</v>
      </c>
      <c r="AF27" s="32" t="s">
        <v>101</v>
      </c>
      <c r="AG27" s="32" t="s">
        <v>101</v>
      </c>
      <c r="AH27" s="34" t="s">
        <v>101</v>
      </c>
      <c r="AI27" s="35"/>
      <c r="AJ27" s="26" t="str">
        <f>Tabela13[[#This Row],[FUNKCJONARIUSZ]]</f>
        <v>F-sz 026</v>
      </c>
      <c r="AK27" s="27">
        <v>38</v>
      </c>
      <c r="AL27" s="28">
        <f t="shared" si="1"/>
        <v>0</v>
      </c>
      <c r="AM27">
        <f t="shared" si="2"/>
        <v>0</v>
      </c>
      <c r="AN27" s="29">
        <f t="shared" si="7"/>
        <v>0</v>
      </c>
      <c r="AO27" s="1">
        <f t="shared" si="4"/>
        <v>0</v>
      </c>
      <c r="AP27" s="1">
        <v>0</v>
      </c>
    </row>
    <row r="28" spans="1:42" ht="15.9">
      <c r="A28" s="1" t="s">
        <v>105</v>
      </c>
      <c r="B28" s="1" t="s">
        <v>59</v>
      </c>
      <c r="C28" s="203" t="s">
        <v>118</v>
      </c>
      <c r="D28" s="491">
        <v>45</v>
      </c>
      <c r="E28" s="204"/>
      <c r="F28" s="32"/>
      <c r="G28" s="32" t="s">
        <v>113</v>
      </c>
      <c r="H28" s="33"/>
      <c r="I28" s="33"/>
      <c r="J28" s="32" t="s">
        <v>61</v>
      </c>
      <c r="K28" s="32" t="s">
        <v>62</v>
      </c>
      <c r="L28" s="32" t="s">
        <v>62</v>
      </c>
      <c r="M28" s="32" t="s">
        <v>62</v>
      </c>
      <c r="N28" s="32" t="s">
        <v>70</v>
      </c>
      <c r="O28" s="33" t="s">
        <v>70</v>
      </c>
      <c r="P28" s="33" t="s">
        <v>70</v>
      </c>
      <c r="Q28" s="32" t="s">
        <v>69</v>
      </c>
      <c r="R28" s="32" t="s">
        <v>66</v>
      </c>
      <c r="S28" s="32" t="s">
        <v>66</v>
      </c>
      <c r="T28" s="32" t="s">
        <v>66</v>
      </c>
      <c r="U28" s="32" t="s">
        <v>66</v>
      </c>
      <c r="V28" s="33" t="s">
        <v>66</v>
      </c>
      <c r="W28" s="33" t="s">
        <v>66</v>
      </c>
      <c r="X28" s="32"/>
      <c r="Y28" s="32"/>
      <c r="Z28" s="32"/>
      <c r="AA28" s="32"/>
      <c r="AB28" s="32"/>
      <c r="AC28" s="33"/>
      <c r="AD28" s="33"/>
      <c r="AE28" s="32"/>
      <c r="AF28" s="32"/>
      <c r="AG28" s="32"/>
      <c r="AH28" s="34"/>
      <c r="AI28" s="35"/>
      <c r="AJ28" s="26" t="str">
        <f>Tabela13[[#This Row],[FUNKCJONARIUSZ]]</f>
        <v>F-sz 027</v>
      </c>
      <c r="AK28" s="27">
        <f>D28+AL28+AM28+AN28-$AK$1+AO28+AP28</f>
        <v>61</v>
      </c>
      <c r="AL28" s="28">
        <f t="shared" si="1"/>
        <v>24</v>
      </c>
      <c r="AM28">
        <f t="shared" si="2"/>
        <v>168</v>
      </c>
      <c r="AN28" s="29">
        <f t="shared" si="7"/>
        <v>0</v>
      </c>
      <c r="AO28" s="1">
        <f t="shared" si="4"/>
        <v>0</v>
      </c>
      <c r="AP28" s="1">
        <v>0</v>
      </c>
    </row>
    <row r="29" spans="1:42" ht="15.9">
      <c r="A29" s="1" t="s">
        <v>58</v>
      </c>
      <c r="B29" s="1" t="s">
        <v>73</v>
      </c>
      <c r="C29" s="212" t="s">
        <v>119</v>
      </c>
      <c r="D29" s="491">
        <v>115</v>
      </c>
      <c r="E29" s="96"/>
      <c r="F29" s="51"/>
      <c r="G29" s="51" t="s">
        <v>69</v>
      </c>
      <c r="H29" s="52" t="s">
        <v>70</v>
      </c>
      <c r="I29" s="52" t="s">
        <v>70</v>
      </c>
      <c r="J29" s="51" t="s">
        <v>69</v>
      </c>
      <c r="K29" s="51"/>
      <c r="L29" s="51"/>
      <c r="M29" s="51"/>
      <c r="N29" s="51" t="s">
        <v>69</v>
      </c>
      <c r="O29" s="52" t="s">
        <v>70</v>
      </c>
      <c r="P29" s="52" t="s">
        <v>70</v>
      </c>
      <c r="Q29" s="51" t="s">
        <v>69</v>
      </c>
      <c r="R29" s="51" t="s">
        <v>66</v>
      </c>
      <c r="S29" s="51" t="s">
        <v>66</v>
      </c>
      <c r="T29" s="51" t="s">
        <v>101</v>
      </c>
      <c r="U29" s="51" t="s">
        <v>101</v>
      </c>
      <c r="V29" s="52" t="s">
        <v>101</v>
      </c>
      <c r="W29" s="52" t="s">
        <v>101</v>
      </c>
      <c r="X29" s="51" t="s">
        <v>101</v>
      </c>
      <c r="Y29" s="51" t="s">
        <v>101</v>
      </c>
      <c r="Z29" s="51" t="s">
        <v>101</v>
      </c>
      <c r="AA29" s="51" t="s">
        <v>101</v>
      </c>
      <c r="AB29" s="51" t="s">
        <v>101</v>
      </c>
      <c r="AC29" s="52" t="s">
        <v>101</v>
      </c>
      <c r="AD29" s="52"/>
      <c r="AE29" s="51"/>
      <c r="AF29" s="51"/>
      <c r="AG29" s="51"/>
      <c r="AH29" s="53" t="s">
        <v>362</v>
      </c>
      <c r="AI29" s="54"/>
      <c r="AJ29" s="26" t="str">
        <f>Tabela13[[#This Row],[FUNKCJONARIUSZ]]</f>
        <v>F-sz 028</v>
      </c>
      <c r="AK29" s="27">
        <f>D29+AL29+AM29+AN29-$AK$1+AO29+AP29</f>
        <v>83</v>
      </c>
      <c r="AL29" s="28">
        <f t="shared" si="1"/>
        <v>0</v>
      </c>
      <c r="AM29">
        <f t="shared" si="2"/>
        <v>144</v>
      </c>
      <c r="AN29" s="29">
        <f t="shared" si="7"/>
        <v>0</v>
      </c>
      <c r="AO29" s="1">
        <f t="shared" si="4"/>
        <v>0</v>
      </c>
      <c r="AP29" s="1">
        <v>0</v>
      </c>
    </row>
    <row r="30" spans="1:42" ht="15.9">
      <c r="A30" s="55"/>
      <c r="B30" s="55"/>
      <c r="C30" s="56"/>
      <c r="D30" s="57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9"/>
      <c r="AH30" s="27"/>
      <c r="AI30" s="27"/>
      <c r="AJ30" s="60"/>
      <c r="AK30" s="27"/>
      <c r="AL30" s="28"/>
      <c r="AM30"/>
      <c r="AN30" s="29"/>
    </row>
    <row r="31" spans="1:42" ht="15.9">
      <c r="B31" s="61"/>
      <c r="C31" s="62" t="s">
        <v>120</v>
      </c>
      <c r="D31" s="63"/>
      <c r="E31" s="64">
        <f t="shared" ref="E31:AI31" si="8">COUNTIF(E2:E29,"D")</f>
        <v>1</v>
      </c>
      <c r="F31" s="64">
        <f t="shared" si="8"/>
        <v>1</v>
      </c>
      <c r="G31" s="64">
        <f t="shared" si="8"/>
        <v>1</v>
      </c>
      <c r="H31" s="64">
        <f t="shared" si="8"/>
        <v>1</v>
      </c>
      <c r="I31" s="64">
        <f t="shared" si="8"/>
        <v>1</v>
      </c>
      <c r="J31" s="64">
        <f t="shared" si="8"/>
        <v>1</v>
      </c>
      <c r="K31" s="64">
        <f t="shared" si="8"/>
        <v>1</v>
      </c>
      <c r="L31" s="64">
        <f t="shared" si="8"/>
        <v>1</v>
      </c>
      <c r="M31" s="64">
        <f t="shared" si="8"/>
        <v>1</v>
      </c>
      <c r="N31" s="64">
        <f t="shared" si="8"/>
        <v>1</v>
      </c>
      <c r="O31" s="64">
        <f t="shared" si="8"/>
        <v>1</v>
      </c>
      <c r="P31" s="64">
        <f t="shared" si="8"/>
        <v>1</v>
      </c>
      <c r="Q31" s="64">
        <f t="shared" si="8"/>
        <v>1</v>
      </c>
      <c r="R31" s="64">
        <f t="shared" si="8"/>
        <v>1</v>
      </c>
      <c r="S31" s="64">
        <f t="shared" si="8"/>
        <v>1</v>
      </c>
      <c r="T31" s="64">
        <f t="shared" si="8"/>
        <v>1</v>
      </c>
      <c r="U31" s="64">
        <f t="shared" si="8"/>
        <v>1</v>
      </c>
      <c r="V31" s="64">
        <f t="shared" si="8"/>
        <v>1</v>
      </c>
      <c r="W31" s="64">
        <f t="shared" si="8"/>
        <v>1</v>
      </c>
      <c r="X31" s="64">
        <f t="shared" si="8"/>
        <v>1</v>
      </c>
      <c r="Y31" s="64">
        <f t="shared" si="8"/>
        <v>1</v>
      </c>
      <c r="Z31" s="64">
        <f t="shared" si="8"/>
        <v>1</v>
      </c>
      <c r="AA31" s="64">
        <f t="shared" si="8"/>
        <v>1</v>
      </c>
      <c r="AB31" s="64">
        <f t="shared" si="8"/>
        <v>1</v>
      </c>
      <c r="AC31" s="64">
        <f t="shared" si="8"/>
        <v>1</v>
      </c>
      <c r="AD31" s="64">
        <f t="shared" si="8"/>
        <v>1</v>
      </c>
      <c r="AE31" s="64">
        <f t="shared" si="8"/>
        <v>1</v>
      </c>
      <c r="AF31" s="64">
        <f t="shared" si="8"/>
        <v>1</v>
      </c>
      <c r="AG31" s="64">
        <f t="shared" si="8"/>
        <v>1</v>
      </c>
      <c r="AH31" s="64">
        <f t="shared" si="8"/>
        <v>1</v>
      </c>
      <c r="AI31" s="64">
        <f t="shared" si="8"/>
        <v>0</v>
      </c>
      <c r="AJ31"/>
      <c r="AK31" s="27"/>
      <c r="AL31" s="28"/>
      <c r="AM31"/>
      <c r="AN31" s="29"/>
    </row>
    <row r="32" spans="1:42" ht="15.9">
      <c r="B32" s="61"/>
      <c r="C32" s="65" t="s">
        <v>121</v>
      </c>
      <c r="D32" s="66"/>
      <c r="E32" s="64">
        <f t="shared" ref="E32:AI32" si="9">COUNTIF(E48:E101,"D")+COUNTIF(E48:E101,"w")</f>
        <v>2</v>
      </c>
      <c r="F32" s="64">
        <f t="shared" si="9"/>
        <v>1</v>
      </c>
      <c r="G32" s="64">
        <f t="shared" si="9"/>
        <v>2</v>
      </c>
      <c r="H32" s="64">
        <f t="shared" si="9"/>
        <v>3</v>
      </c>
      <c r="I32" s="64">
        <f t="shared" si="9"/>
        <v>2</v>
      </c>
      <c r="J32" s="64">
        <f t="shared" si="9"/>
        <v>2</v>
      </c>
      <c r="K32" s="64">
        <f t="shared" si="9"/>
        <v>3</v>
      </c>
      <c r="L32" s="64">
        <f t="shared" si="9"/>
        <v>3</v>
      </c>
      <c r="M32" s="64">
        <f t="shared" si="9"/>
        <v>1</v>
      </c>
      <c r="N32" s="64">
        <f t="shared" si="9"/>
        <v>2</v>
      </c>
      <c r="O32" s="64">
        <f t="shared" si="9"/>
        <v>4</v>
      </c>
      <c r="P32" s="64">
        <f t="shared" si="9"/>
        <v>2</v>
      </c>
      <c r="Q32" s="64">
        <f t="shared" si="9"/>
        <v>1</v>
      </c>
      <c r="R32" s="64">
        <f t="shared" si="9"/>
        <v>1</v>
      </c>
      <c r="S32" s="64">
        <f t="shared" si="9"/>
        <v>2</v>
      </c>
      <c r="T32" s="64">
        <f t="shared" si="9"/>
        <v>1</v>
      </c>
      <c r="U32" s="64">
        <f t="shared" si="9"/>
        <v>1</v>
      </c>
      <c r="V32" s="64">
        <f t="shared" si="9"/>
        <v>1</v>
      </c>
      <c r="W32" s="64">
        <f t="shared" si="9"/>
        <v>2</v>
      </c>
      <c r="X32" s="64">
        <f t="shared" si="9"/>
        <v>2</v>
      </c>
      <c r="Y32" s="64">
        <f t="shared" si="9"/>
        <v>2</v>
      </c>
      <c r="Z32" s="64">
        <f t="shared" si="9"/>
        <v>2</v>
      </c>
      <c r="AA32" s="64">
        <f t="shared" si="9"/>
        <v>3</v>
      </c>
      <c r="AB32" s="64">
        <f t="shared" si="9"/>
        <v>2</v>
      </c>
      <c r="AC32" s="64">
        <f t="shared" si="9"/>
        <v>2</v>
      </c>
      <c r="AD32" s="64">
        <f t="shared" si="9"/>
        <v>2</v>
      </c>
      <c r="AE32" s="64">
        <f t="shared" si="9"/>
        <v>1</v>
      </c>
      <c r="AF32" s="64">
        <f t="shared" si="9"/>
        <v>2</v>
      </c>
      <c r="AG32" s="64">
        <f t="shared" si="9"/>
        <v>2</v>
      </c>
      <c r="AH32" s="64">
        <f t="shared" si="9"/>
        <v>2</v>
      </c>
      <c r="AI32" s="64">
        <f t="shared" si="9"/>
        <v>2</v>
      </c>
      <c r="AJ32"/>
      <c r="AK32" s="27"/>
      <c r="AL32" s="28"/>
      <c r="AM32"/>
      <c r="AN32" s="29"/>
    </row>
    <row r="33" spans="1:42">
      <c r="C33" s="67" t="s">
        <v>122</v>
      </c>
      <c r="D33" s="68"/>
      <c r="E33" s="64">
        <f t="shared" ref="E33:AI33" si="10">COUNTIF(E2:E29,"S")+COUNTIF(E49:E101,"S")</f>
        <v>4</v>
      </c>
      <c r="F33" s="64">
        <f t="shared" si="10"/>
        <v>4</v>
      </c>
      <c r="G33" s="64">
        <f t="shared" si="10"/>
        <v>3</v>
      </c>
      <c r="H33" s="64">
        <f t="shared" si="10"/>
        <v>4</v>
      </c>
      <c r="I33" s="64">
        <f t="shared" si="10"/>
        <v>4</v>
      </c>
      <c r="J33" s="64">
        <f t="shared" si="10"/>
        <v>0</v>
      </c>
      <c r="K33" s="64">
        <f t="shared" si="10"/>
        <v>3</v>
      </c>
      <c r="L33" s="64">
        <f t="shared" si="10"/>
        <v>3</v>
      </c>
      <c r="M33" s="64">
        <f t="shared" si="10"/>
        <v>3</v>
      </c>
      <c r="N33" s="64">
        <f t="shared" si="10"/>
        <v>2</v>
      </c>
      <c r="O33" s="64">
        <f t="shared" si="10"/>
        <v>4</v>
      </c>
      <c r="P33" s="64">
        <f t="shared" si="10"/>
        <v>4</v>
      </c>
      <c r="Q33" s="64">
        <f t="shared" si="10"/>
        <v>0</v>
      </c>
      <c r="R33" s="64">
        <f t="shared" si="10"/>
        <v>4</v>
      </c>
      <c r="S33" s="64">
        <f t="shared" si="10"/>
        <v>4</v>
      </c>
      <c r="T33" s="64">
        <f t="shared" si="10"/>
        <v>4</v>
      </c>
      <c r="U33" s="64">
        <f t="shared" si="10"/>
        <v>0</v>
      </c>
      <c r="V33" s="64">
        <f t="shared" si="10"/>
        <v>4</v>
      </c>
      <c r="W33" s="64">
        <f t="shared" si="10"/>
        <v>4</v>
      </c>
      <c r="X33" s="64">
        <f t="shared" si="10"/>
        <v>0</v>
      </c>
      <c r="Y33" s="64">
        <f t="shared" si="10"/>
        <v>4</v>
      </c>
      <c r="Z33" s="64">
        <f t="shared" si="10"/>
        <v>3</v>
      </c>
      <c r="AA33" s="64">
        <f t="shared" si="10"/>
        <v>4</v>
      </c>
      <c r="AB33" s="64">
        <f t="shared" si="10"/>
        <v>1</v>
      </c>
      <c r="AC33" s="64">
        <f t="shared" si="10"/>
        <v>4</v>
      </c>
      <c r="AD33" s="64">
        <f t="shared" si="10"/>
        <v>4</v>
      </c>
      <c r="AE33" s="64">
        <f t="shared" si="10"/>
        <v>0</v>
      </c>
      <c r="AF33" s="64">
        <f t="shared" si="10"/>
        <v>5</v>
      </c>
      <c r="AG33" s="64">
        <f t="shared" si="10"/>
        <v>5</v>
      </c>
      <c r="AH33" s="64">
        <f t="shared" si="10"/>
        <v>5</v>
      </c>
      <c r="AI33" s="64">
        <f t="shared" si="10"/>
        <v>0</v>
      </c>
      <c r="AJ33"/>
      <c r="AK33" s="27"/>
      <c r="AL33" s="28"/>
      <c r="AM33"/>
      <c r="AN33" s="29"/>
    </row>
    <row r="34" spans="1:42">
      <c r="C34" s="69" t="s">
        <v>123</v>
      </c>
      <c r="D34" s="70"/>
      <c r="E34" s="64">
        <f t="shared" ref="E34:AI34" si="11">COUNTIF(E2:E31,"K")+COUNTIF(E50:E102,"K")</f>
        <v>4</v>
      </c>
      <c r="F34" s="64">
        <f t="shared" si="11"/>
        <v>4</v>
      </c>
      <c r="G34" s="64">
        <f t="shared" si="11"/>
        <v>3</v>
      </c>
      <c r="H34" s="64">
        <f t="shared" si="11"/>
        <v>4</v>
      </c>
      <c r="I34" s="64">
        <f t="shared" si="11"/>
        <v>4</v>
      </c>
      <c r="J34" s="64">
        <f t="shared" si="11"/>
        <v>4</v>
      </c>
      <c r="K34" s="64">
        <f t="shared" si="11"/>
        <v>0</v>
      </c>
      <c r="L34" s="64">
        <f t="shared" si="11"/>
        <v>4</v>
      </c>
      <c r="M34" s="64">
        <f t="shared" si="11"/>
        <v>4</v>
      </c>
      <c r="N34" s="64">
        <f t="shared" si="11"/>
        <v>4</v>
      </c>
      <c r="O34" s="64">
        <f t="shared" si="11"/>
        <v>4</v>
      </c>
      <c r="P34" s="64">
        <f t="shared" si="11"/>
        <v>4</v>
      </c>
      <c r="Q34" s="64">
        <f t="shared" si="11"/>
        <v>4</v>
      </c>
      <c r="R34" s="64">
        <f t="shared" si="11"/>
        <v>0</v>
      </c>
      <c r="S34" s="64">
        <f t="shared" si="11"/>
        <v>5</v>
      </c>
      <c r="T34" s="64">
        <f t="shared" si="11"/>
        <v>5</v>
      </c>
      <c r="U34" s="64">
        <f t="shared" si="11"/>
        <v>0</v>
      </c>
      <c r="V34" s="64">
        <f t="shared" si="11"/>
        <v>4</v>
      </c>
      <c r="W34" s="64">
        <f t="shared" si="11"/>
        <v>4</v>
      </c>
      <c r="X34" s="64">
        <f t="shared" si="11"/>
        <v>4</v>
      </c>
      <c r="Y34" s="64">
        <f t="shared" si="11"/>
        <v>2</v>
      </c>
      <c r="Z34" s="64">
        <f t="shared" si="11"/>
        <v>4</v>
      </c>
      <c r="AA34" s="64">
        <f t="shared" si="11"/>
        <v>4</v>
      </c>
      <c r="AB34" s="64">
        <f t="shared" si="11"/>
        <v>0</v>
      </c>
      <c r="AC34" s="64">
        <f t="shared" si="11"/>
        <v>5</v>
      </c>
      <c r="AD34" s="64">
        <f t="shared" si="11"/>
        <v>5</v>
      </c>
      <c r="AE34" s="64">
        <f t="shared" si="11"/>
        <v>5</v>
      </c>
      <c r="AF34" s="64">
        <f t="shared" si="11"/>
        <v>0</v>
      </c>
      <c r="AG34" s="64">
        <f t="shared" si="11"/>
        <v>3</v>
      </c>
      <c r="AH34" s="64">
        <f t="shared" si="11"/>
        <v>3</v>
      </c>
      <c r="AI34" s="64">
        <f t="shared" si="11"/>
        <v>0</v>
      </c>
      <c r="AJ34"/>
      <c r="AK34" s="27"/>
      <c r="AL34" s="28"/>
      <c r="AM34"/>
      <c r="AN34" s="29"/>
    </row>
    <row r="35" spans="1:42" ht="15.9">
      <c r="C35" s="56"/>
      <c r="D35" s="57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97"/>
      <c r="AH35" s="98"/>
      <c r="AI35" s="27"/>
      <c r="AJ35"/>
      <c r="AK35" s="27"/>
      <c r="AL35" s="28"/>
      <c r="AM35"/>
      <c r="AN35" s="29"/>
    </row>
    <row r="36" spans="1:42" s="73" customFormat="1">
      <c r="C36" s="680" t="s">
        <v>122</v>
      </c>
      <c r="D36" s="680"/>
      <c r="E36" s="766" t="s">
        <v>129</v>
      </c>
      <c r="F36" s="766"/>
      <c r="G36" s="766"/>
      <c r="H36" s="766"/>
      <c r="I36" s="78"/>
      <c r="J36" s="767" t="s">
        <v>367</v>
      </c>
      <c r="K36" s="767"/>
      <c r="L36" s="767"/>
      <c r="M36" s="2"/>
      <c r="N36" s="767" t="s">
        <v>126</v>
      </c>
      <c r="O36" s="767"/>
      <c r="P36" s="78"/>
      <c r="Q36" s="776" t="s">
        <v>368</v>
      </c>
      <c r="R36" s="776"/>
      <c r="S36" s="776"/>
      <c r="T36" s="2"/>
      <c r="U36" s="767" t="s">
        <v>369</v>
      </c>
      <c r="V36" s="767"/>
      <c r="W36" s="78"/>
      <c r="X36" s="767" t="s">
        <v>370</v>
      </c>
      <c r="Y36" s="767"/>
      <c r="Z36" s="767"/>
      <c r="AA36" s="2"/>
      <c r="AB36" s="767" t="s">
        <v>371</v>
      </c>
      <c r="AC36" s="767"/>
      <c r="AD36" s="78"/>
      <c r="AE36" s="767" t="s">
        <v>372</v>
      </c>
      <c r="AF36" s="767"/>
      <c r="AG36" s="767"/>
      <c r="AH36" s="767"/>
      <c r="AI36" s="529"/>
      <c r="AJ36" s="80"/>
      <c r="AK36" s="27"/>
      <c r="AL36" s="28"/>
      <c r="AM36"/>
      <c r="AN36" s="29"/>
      <c r="AO36" s="1"/>
      <c r="AP36" s="1"/>
    </row>
    <row r="37" spans="1:42" s="73" customFormat="1">
      <c r="C37" s="680"/>
      <c r="D37" s="680"/>
      <c r="E37" s="735" t="s">
        <v>135</v>
      </c>
      <c r="F37" s="735"/>
      <c r="G37" s="735"/>
      <c r="H37" s="735"/>
      <c r="I37" s="78"/>
      <c r="J37" s="735" t="s">
        <v>245</v>
      </c>
      <c r="K37" s="735"/>
      <c r="L37" s="735"/>
      <c r="N37" s="763" t="s">
        <v>131</v>
      </c>
      <c r="O37" s="763"/>
      <c r="P37" s="78"/>
      <c r="Q37" s="763" t="s">
        <v>373</v>
      </c>
      <c r="R37" s="763"/>
      <c r="S37" s="763"/>
      <c r="T37" s="2"/>
      <c r="U37" s="763" t="s">
        <v>374</v>
      </c>
      <c r="V37" s="763"/>
      <c r="W37" s="78"/>
      <c r="X37" s="763" t="s">
        <v>375</v>
      </c>
      <c r="Y37" s="763"/>
      <c r="Z37" s="763"/>
      <c r="AA37" s="2"/>
      <c r="AB37" s="763" t="s">
        <v>375</v>
      </c>
      <c r="AC37" s="763"/>
      <c r="AD37" s="78"/>
      <c r="AE37" s="770" t="s">
        <v>174</v>
      </c>
      <c r="AF37" s="770"/>
      <c r="AG37" s="770"/>
      <c r="AH37" s="770"/>
      <c r="AJ37" s="80"/>
      <c r="AK37" s="27"/>
      <c r="AL37" s="28"/>
      <c r="AM37"/>
      <c r="AN37" s="29"/>
      <c r="AO37" s="1"/>
      <c r="AP37" s="1"/>
    </row>
    <row r="38" spans="1:42" s="73" customFormat="1">
      <c r="C38" s="680"/>
      <c r="D38" s="680"/>
      <c r="E38" s="735" t="s">
        <v>376</v>
      </c>
      <c r="F38" s="735"/>
      <c r="G38" s="735"/>
      <c r="H38" s="735"/>
      <c r="I38" s="78"/>
      <c r="J38" s="746" t="s">
        <v>377</v>
      </c>
      <c r="K38" s="746"/>
      <c r="L38" s="746"/>
      <c r="N38" s="777" t="s">
        <v>197</v>
      </c>
      <c r="O38" s="777"/>
      <c r="P38" s="78"/>
      <c r="Q38" s="770" t="s">
        <v>378</v>
      </c>
      <c r="R38" s="770"/>
      <c r="S38" s="770"/>
      <c r="T38" s="2"/>
      <c r="U38" s="770" t="s">
        <v>379</v>
      </c>
      <c r="V38" s="770"/>
      <c r="W38" s="78"/>
      <c r="X38" s="763" t="s">
        <v>142</v>
      </c>
      <c r="Y38" s="763"/>
      <c r="Z38" s="763"/>
      <c r="AA38" s="2"/>
      <c r="AB38" s="763" t="s">
        <v>380</v>
      </c>
      <c r="AC38" s="763"/>
      <c r="AD38" s="78"/>
      <c r="AE38" s="763" t="s">
        <v>381</v>
      </c>
      <c r="AF38" s="763"/>
      <c r="AG38" s="763"/>
      <c r="AH38" s="763"/>
      <c r="AJ38" s="80"/>
      <c r="AK38" s="27"/>
      <c r="AL38" s="28"/>
      <c r="AM38"/>
      <c r="AN38" s="29"/>
      <c r="AO38" s="1"/>
      <c r="AP38" s="1"/>
    </row>
    <row r="39" spans="1:42" s="73" customFormat="1">
      <c r="C39" s="680"/>
      <c r="D39" s="680"/>
      <c r="E39" s="729" t="s">
        <v>145</v>
      </c>
      <c r="F39" s="729"/>
      <c r="G39" s="729"/>
      <c r="H39" s="729"/>
      <c r="I39" s="78"/>
      <c r="J39" s="729" t="s">
        <v>132</v>
      </c>
      <c r="K39" s="729"/>
      <c r="L39" s="729"/>
      <c r="N39" s="771" t="s">
        <v>132</v>
      </c>
      <c r="O39" s="771"/>
      <c r="P39" s="78"/>
      <c r="Q39" s="764" t="s">
        <v>382</v>
      </c>
      <c r="R39" s="764"/>
      <c r="S39" s="764"/>
      <c r="T39" s="2"/>
      <c r="U39" s="772" t="s">
        <v>383</v>
      </c>
      <c r="V39" s="772"/>
      <c r="W39" s="78"/>
      <c r="X39" s="764" t="s">
        <v>384</v>
      </c>
      <c r="Y39" s="764"/>
      <c r="Z39" s="764"/>
      <c r="AA39" s="2"/>
      <c r="AB39" s="764" t="s">
        <v>385</v>
      </c>
      <c r="AC39" s="764"/>
      <c r="AD39" s="78"/>
      <c r="AE39" s="764" t="s">
        <v>386</v>
      </c>
      <c r="AF39" s="764"/>
      <c r="AG39" s="764"/>
      <c r="AH39" s="764"/>
      <c r="AJ39" s="80"/>
      <c r="AK39" s="27"/>
      <c r="AL39" s="28"/>
      <c r="AM39"/>
      <c r="AN39" s="29"/>
      <c r="AO39" s="1"/>
      <c r="AP39" s="1"/>
    </row>
    <row r="40" spans="1:42" s="73" customFormat="1">
      <c r="C40" s="77"/>
      <c r="D40" s="77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1"/>
      <c r="AH40" s="79"/>
      <c r="AI40" s="79"/>
      <c r="AJ40" s="80"/>
      <c r="AK40" s="27"/>
      <c r="AL40" s="28"/>
      <c r="AM40"/>
      <c r="AN40" s="29"/>
      <c r="AO40" s="1"/>
      <c r="AP40" s="1"/>
    </row>
    <row r="41" spans="1:42" s="73" customFormat="1" ht="11.25" customHeight="1">
      <c r="C41" s="671" t="s">
        <v>123</v>
      </c>
      <c r="D41" s="671"/>
      <c r="E41" s="766" t="s">
        <v>387</v>
      </c>
      <c r="F41" s="766"/>
      <c r="G41" s="766"/>
      <c r="H41" s="766"/>
      <c r="I41" s="78"/>
      <c r="J41" s="767" t="s">
        <v>388</v>
      </c>
      <c r="K41" s="767"/>
      <c r="L41" s="767"/>
      <c r="M41" s="2"/>
      <c r="N41" s="767" t="s">
        <v>388</v>
      </c>
      <c r="O41" s="767"/>
      <c r="P41" s="78"/>
      <c r="Q41" s="767" t="s">
        <v>389</v>
      </c>
      <c r="R41" s="767"/>
      <c r="S41" s="767"/>
      <c r="T41" s="2"/>
      <c r="U41" s="767" t="s">
        <v>390</v>
      </c>
      <c r="V41" s="767"/>
      <c r="W41" s="78"/>
      <c r="X41" s="767" t="s">
        <v>391</v>
      </c>
      <c r="Y41" s="767"/>
      <c r="Z41" s="767"/>
      <c r="AA41" s="2"/>
      <c r="AB41" s="768" t="s">
        <v>392</v>
      </c>
      <c r="AC41" s="768"/>
      <c r="AD41" s="78"/>
      <c r="AE41" s="767" t="s">
        <v>393</v>
      </c>
      <c r="AF41" s="767"/>
      <c r="AG41" s="767"/>
      <c r="AH41" s="767"/>
      <c r="AI41" s="530"/>
      <c r="AJ41" s="80"/>
      <c r="AK41" s="27"/>
      <c r="AL41" s="28"/>
      <c r="AM41"/>
      <c r="AN41" s="29"/>
      <c r="AO41" s="1"/>
      <c r="AP41" s="1"/>
    </row>
    <row r="42" spans="1:42" s="73" customFormat="1" ht="11.25" customHeight="1">
      <c r="C42" s="671"/>
      <c r="D42" s="671"/>
      <c r="E42" s="735" t="s">
        <v>394</v>
      </c>
      <c r="F42" s="735"/>
      <c r="G42" s="735"/>
      <c r="H42" s="735"/>
      <c r="I42" s="78"/>
      <c r="J42" s="735" t="s">
        <v>395</v>
      </c>
      <c r="K42" s="735"/>
      <c r="L42" s="735"/>
      <c r="N42" s="763" t="s">
        <v>396</v>
      </c>
      <c r="O42" s="763"/>
      <c r="P42" s="78"/>
      <c r="Q42" s="763" t="s">
        <v>397</v>
      </c>
      <c r="R42" s="763"/>
      <c r="S42" s="763"/>
      <c r="T42" s="2"/>
      <c r="U42" s="763" t="s">
        <v>398</v>
      </c>
      <c r="V42" s="763"/>
      <c r="W42" s="78"/>
      <c r="X42" s="763" t="s">
        <v>394</v>
      </c>
      <c r="Y42" s="763"/>
      <c r="Z42" s="763"/>
      <c r="AA42" s="2"/>
      <c r="AB42" s="769" t="s">
        <v>389</v>
      </c>
      <c r="AC42" s="769"/>
      <c r="AD42" s="78"/>
      <c r="AE42" s="763" t="s">
        <v>272</v>
      </c>
      <c r="AF42" s="763"/>
      <c r="AG42" s="763"/>
      <c r="AH42" s="763"/>
      <c r="AI42" s="531"/>
      <c r="AJ42" s="80"/>
      <c r="AK42" s="27"/>
      <c r="AL42" s="28"/>
      <c r="AM42"/>
      <c r="AN42" s="29"/>
      <c r="AO42" s="1"/>
      <c r="AP42" s="1"/>
    </row>
    <row r="43" spans="1:42" s="73" customFormat="1" ht="11.25" customHeight="1">
      <c r="C43" s="671"/>
      <c r="D43" s="671"/>
      <c r="E43" s="735" t="s">
        <v>399</v>
      </c>
      <c r="F43" s="735"/>
      <c r="G43" s="735"/>
      <c r="H43" s="735"/>
      <c r="I43" s="78"/>
      <c r="J43" s="735" t="s">
        <v>400</v>
      </c>
      <c r="K43" s="735"/>
      <c r="L43" s="735"/>
      <c r="N43" s="763" t="s">
        <v>400</v>
      </c>
      <c r="O43" s="763"/>
      <c r="P43" s="78"/>
      <c r="Q43" s="763" t="s">
        <v>401</v>
      </c>
      <c r="R43" s="763"/>
      <c r="S43" s="763"/>
      <c r="T43" s="2"/>
      <c r="U43" s="763" t="s">
        <v>402</v>
      </c>
      <c r="V43" s="763"/>
      <c r="W43" s="78"/>
      <c r="X43" s="763" t="s">
        <v>377</v>
      </c>
      <c r="Y43" s="763"/>
      <c r="Z43" s="763"/>
      <c r="AA43" s="2"/>
      <c r="AB43" s="769" t="s">
        <v>403</v>
      </c>
      <c r="AC43" s="769"/>
      <c r="AD43" s="78"/>
      <c r="AE43" s="763" t="s">
        <v>404</v>
      </c>
      <c r="AF43" s="763"/>
      <c r="AG43" s="763"/>
      <c r="AH43" s="763"/>
      <c r="AI43" s="531"/>
      <c r="AJ43" s="80"/>
      <c r="AK43" s="27"/>
      <c r="AL43" s="28"/>
      <c r="AM43"/>
      <c r="AN43" s="29"/>
      <c r="AO43" s="1"/>
      <c r="AP43" s="1"/>
    </row>
    <row r="44" spans="1:42" s="73" customFormat="1" ht="11.25" customHeight="1">
      <c r="C44" s="671"/>
      <c r="D44" s="671"/>
      <c r="E44" s="729" t="s">
        <v>405</v>
      </c>
      <c r="F44" s="729"/>
      <c r="G44" s="729"/>
      <c r="H44" s="729"/>
      <c r="I44" s="78"/>
      <c r="J44" s="729" t="s">
        <v>406</v>
      </c>
      <c r="K44" s="729"/>
      <c r="L44" s="729"/>
      <c r="N44" s="764" t="s">
        <v>407</v>
      </c>
      <c r="O44" s="764"/>
      <c r="P44" s="78"/>
      <c r="Q44" s="764" t="s">
        <v>408</v>
      </c>
      <c r="R44" s="764"/>
      <c r="S44" s="764"/>
      <c r="T44" s="2"/>
      <c r="U44" s="764" t="s">
        <v>409</v>
      </c>
      <c r="V44" s="764"/>
      <c r="W44" s="78"/>
      <c r="X44" s="764" t="s">
        <v>409</v>
      </c>
      <c r="Y44" s="764"/>
      <c r="Z44" s="764"/>
      <c r="AA44" s="2"/>
      <c r="AB44" s="765" t="s">
        <v>410</v>
      </c>
      <c r="AC44" s="765"/>
      <c r="AD44" s="78"/>
      <c r="AE44" s="764" t="s">
        <v>411</v>
      </c>
      <c r="AF44" s="764"/>
      <c r="AG44" s="764"/>
      <c r="AH44" s="764"/>
      <c r="AI44" s="532"/>
      <c r="AJ44" s="80"/>
      <c r="AK44" s="27"/>
      <c r="AL44" s="28"/>
      <c r="AM44"/>
      <c r="AN44" s="29"/>
      <c r="AO44" s="1"/>
      <c r="AP44" s="1"/>
    </row>
    <row r="45" spans="1:42" ht="15.9">
      <c r="C45" s="61"/>
      <c r="D45" s="81"/>
      <c r="N45" s="761" t="s">
        <v>412</v>
      </c>
      <c r="O45" s="761"/>
      <c r="AK45" s="27"/>
      <c r="AL45" s="28"/>
      <c r="AM45"/>
      <c r="AN45" s="29"/>
    </row>
    <row r="46" spans="1:42" ht="15.9">
      <c r="C46" s="61"/>
      <c r="D46" s="81"/>
      <c r="Q46" s="762" t="s">
        <v>413</v>
      </c>
      <c r="R46" s="762"/>
      <c r="S46" s="762"/>
      <c r="T46" s="762"/>
      <c r="U46" s="762"/>
      <c r="V46" s="83"/>
      <c r="W46" s="83"/>
      <c r="X46" s="83"/>
      <c r="Y46" s="83"/>
      <c r="Z46" s="83"/>
      <c r="AK46" s="27"/>
      <c r="AL46" s="28"/>
      <c r="AM46"/>
      <c r="AN46" s="29"/>
    </row>
    <row r="47" spans="1:42" ht="43.3">
      <c r="A47" s="1" t="s">
        <v>52</v>
      </c>
      <c r="E47" s="11">
        <v>44440</v>
      </c>
      <c r="F47" s="11">
        <v>44441</v>
      </c>
      <c r="G47" s="11">
        <v>44442</v>
      </c>
      <c r="H47" s="10">
        <v>44443</v>
      </c>
      <c r="I47" s="10">
        <v>44444</v>
      </c>
      <c r="J47" s="11">
        <v>44445</v>
      </c>
      <c r="K47" s="11">
        <v>44446</v>
      </c>
      <c r="L47" s="11">
        <v>44447</v>
      </c>
      <c r="M47" s="11">
        <v>44448</v>
      </c>
      <c r="N47" s="11">
        <v>44449</v>
      </c>
      <c r="O47" s="10">
        <v>44450</v>
      </c>
      <c r="P47" s="10">
        <v>44451</v>
      </c>
      <c r="Q47" s="11">
        <v>44452</v>
      </c>
      <c r="R47" s="11">
        <v>44453</v>
      </c>
      <c r="S47" s="11">
        <v>44454</v>
      </c>
      <c r="T47" s="11">
        <v>44455</v>
      </c>
      <c r="U47" s="11">
        <v>44456</v>
      </c>
      <c r="V47" s="10">
        <v>44457</v>
      </c>
      <c r="W47" s="10">
        <v>44458</v>
      </c>
      <c r="X47" s="11">
        <v>44459</v>
      </c>
      <c r="Y47" s="11">
        <v>44460</v>
      </c>
      <c r="Z47" s="11">
        <v>44461</v>
      </c>
      <c r="AA47" s="11">
        <v>44462</v>
      </c>
      <c r="AB47" s="11">
        <v>44463</v>
      </c>
      <c r="AC47" s="10">
        <v>44464</v>
      </c>
      <c r="AD47" s="10">
        <v>44465</v>
      </c>
      <c r="AE47" s="11">
        <v>44466</v>
      </c>
      <c r="AF47" s="11">
        <v>44467</v>
      </c>
      <c r="AG47" s="11">
        <v>44468</v>
      </c>
      <c r="AH47" s="11">
        <v>44469</v>
      </c>
      <c r="AI47" s="11">
        <v>44439</v>
      </c>
      <c r="AJ47" s="84">
        <v>44440</v>
      </c>
      <c r="AK47" s="15">
        <v>176</v>
      </c>
      <c r="AL47" s="16" t="s">
        <v>53</v>
      </c>
      <c r="AM47" s="17" t="s">
        <v>54</v>
      </c>
      <c r="AN47" s="18" t="s">
        <v>55</v>
      </c>
      <c r="AO47" s="1" t="s">
        <v>56</v>
      </c>
      <c r="AP47" s="1" t="s">
        <v>57</v>
      </c>
    </row>
    <row r="48" spans="1:42" ht="15.9">
      <c r="A48" s="1" t="s">
        <v>152</v>
      </c>
      <c r="B48" s="1" t="s">
        <v>93</v>
      </c>
      <c r="C48" s="289" t="s">
        <v>3</v>
      </c>
      <c r="D48" s="86" t="e">
        <f>#REF!</f>
        <v>#REF!</v>
      </c>
      <c r="E48" s="200"/>
      <c r="F48" s="22"/>
      <c r="G48" s="22"/>
      <c r="H48" s="23"/>
      <c r="I48" s="23"/>
      <c r="J48" s="22" t="s">
        <v>69</v>
      </c>
      <c r="K48" s="22" t="s">
        <v>70</v>
      </c>
      <c r="L48" s="22" t="s">
        <v>70</v>
      </c>
      <c r="M48" s="22" t="s">
        <v>70</v>
      </c>
      <c r="N48" s="22" t="s">
        <v>69</v>
      </c>
      <c r="O48" s="23"/>
      <c r="P48" s="23"/>
      <c r="Q48" s="22"/>
      <c r="R48" s="22"/>
      <c r="S48" s="22"/>
      <c r="T48" s="22"/>
      <c r="U48" s="22"/>
      <c r="V48" s="23"/>
      <c r="W48" s="23"/>
      <c r="X48" s="22"/>
      <c r="Y48" s="22" t="s">
        <v>301</v>
      </c>
      <c r="Z48" s="22" t="s">
        <v>242</v>
      </c>
      <c r="AA48" s="22" t="s">
        <v>362</v>
      </c>
      <c r="AB48" s="22"/>
      <c r="AC48" s="23"/>
      <c r="AD48" s="23"/>
      <c r="AE48" s="22"/>
      <c r="AF48" s="22" t="s">
        <v>92</v>
      </c>
      <c r="AG48" s="22" t="s">
        <v>95</v>
      </c>
      <c r="AH48" s="22" t="s">
        <v>95</v>
      </c>
      <c r="AI48" s="523"/>
      <c r="AJ48" s="26" t="e">
        <f>_xlfn.CONCAT(#REF!,#REF!)</f>
        <v>#REF!</v>
      </c>
      <c r="AK48" s="27" t="e">
        <f t="shared" ref="AK48:AK63" si="12">D48+AL48+AM48+AN48-$AK$47+AO48+AP48</f>
        <v>#REF!</v>
      </c>
      <c r="AL48" s="28">
        <f t="shared" ref="AL48:AL79" si="13">COUNTIF(E48:AI48,"D")*24+COUNTIF(E48:AI48,"12g")*12+COUNTIF(E48:AI48,"w")*24</f>
        <v>24</v>
      </c>
      <c r="AM48">
        <f t="shared" ref="AM48:AM79" si="14">SUM(COUNTIF(E48:AI48,"k")+COUNTIF(E48:AI48,"s")+COUNTIF(E48:AI48,"wse"))*24+SUM(COUNTIF(E48:AI48,"Pk")+COUNTIF(E48:AI48,"Ps"))*12</f>
        <v>156</v>
      </c>
      <c r="AN48" s="29">
        <f t="shared" ref="AN48:AN79" si="15">SUM(E48:AI48)+COUNTIF(E48:AI48,"uw")*8+COUNTIF(E48:AI48,"us")*8+COUNTIF(E48:AI48,"uz")*8</f>
        <v>0</v>
      </c>
      <c r="AO48" s="1">
        <f t="shared" ref="AO48:AO79" si="16">COUNTIF(E48:AI48,"DT")*8</f>
        <v>0</v>
      </c>
    </row>
    <row r="49" spans="1:41" ht="15.9">
      <c r="A49" s="1" t="s">
        <v>155</v>
      </c>
      <c r="B49" s="1" t="s">
        <v>73</v>
      </c>
      <c r="C49" s="290" t="s">
        <v>4</v>
      </c>
      <c r="D49" s="86" t="e">
        <f>#REF!</f>
        <v>#REF!</v>
      </c>
      <c r="E49" s="204"/>
      <c r="F49" s="32" t="s">
        <v>361</v>
      </c>
      <c r="G49" s="32"/>
      <c r="H49" s="33"/>
      <c r="I49" s="33"/>
      <c r="J49" s="32"/>
      <c r="K49" s="32"/>
      <c r="L49" s="32"/>
      <c r="M49" s="32"/>
      <c r="N49" s="32"/>
      <c r="O49" s="33"/>
      <c r="P49" s="33"/>
      <c r="Q49" s="32" t="s">
        <v>69</v>
      </c>
      <c r="R49" s="32" t="s">
        <v>70</v>
      </c>
      <c r="S49" s="32" t="s">
        <v>70</v>
      </c>
      <c r="T49" s="32" t="s">
        <v>70</v>
      </c>
      <c r="U49" s="32" t="s">
        <v>69</v>
      </c>
      <c r="V49" s="33"/>
      <c r="W49" s="33"/>
      <c r="X49" s="32" t="s">
        <v>75</v>
      </c>
      <c r="Y49" s="32" t="s">
        <v>75</v>
      </c>
      <c r="Z49" s="32" t="s">
        <v>75</v>
      </c>
      <c r="AA49" s="32" t="s">
        <v>75</v>
      </c>
      <c r="AB49" s="32" t="s">
        <v>75</v>
      </c>
      <c r="AC49" s="33" t="s">
        <v>66</v>
      </c>
      <c r="AD49" s="33" t="s">
        <v>66</v>
      </c>
      <c r="AE49" s="32" t="s">
        <v>75</v>
      </c>
      <c r="AF49" s="32" t="s">
        <v>75</v>
      </c>
      <c r="AG49" s="32" t="s">
        <v>75</v>
      </c>
      <c r="AH49" s="32" t="s">
        <v>75</v>
      </c>
      <c r="AI49" s="525"/>
      <c r="AJ49" s="26" t="e">
        <f>_xlfn.CONCAT(#REF!,#REF!)</f>
        <v>#REF!</v>
      </c>
      <c r="AK49" s="27" t="e">
        <f t="shared" si="12"/>
        <v>#REF!</v>
      </c>
      <c r="AL49" s="28">
        <f t="shared" si="13"/>
        <v>0</v>
      </c>
      <c r="AM49">
        <f t="shared" si="14"/>
        <v>96</v>
      </c>
      <c r="AN49" s="29">
        <f t="shared" si="15"/>
        <v>72</v>
      </c>
      <c r="AO49" s="1">
        <f t="shared" si="16"/>
        <v>0</v>
      </c>
    </row>
    <row r="50" spans="1:41" ht="15.9">
      <c r="A50" s="1" t="s">
        <v>67</v>
      </c>
      <c r="B50" s="1" t="s">
        <v>73</v>
      </c>
      <c r="C50" s="290" t="s">
        <v>5</v>
      </c>
      <c r="D50" s="86" t="e">
        <f>#REF!</f>
        <v>#REF!</v>
      </c>
      <c r="E50" s="204" t="s">
        <v>95</v>
      </c>
      <c r="F50" s="32" t="s">
        <v>95</v>
      </c>
      <c r="G50" s="32" t="s">
        <v>95</v>
      </c>
      <c r="H50" s="33" t="s">
        <v>95</v>
      </c>
      <c r="I50" s="33" t="s">
        <v>95</v>
      </c>
      <c r="J50" s="32" t="s">
        <v>95</v>
      </c>
      <c r="K50" s="32" t="s">
        <v>92</v>
      </c>
      <c r="L50" s="32"/>
      <c r="M50" s="32"/>
      <c r="N50" s="32"/>
      <c r="O50" s="33"/>
      <c r="P50" s="33"/>
      <c r="Q50" s="32"/>
      <c r="R50" s="32">
        <v>8</v>
      </c>
      <c r="S50" s="32" t="s">
        <v>98</v>
      </c>
      <c r="T50" s="32" t="s">
        <v>98</v>
      </c>
      <c r="U50" s="32">
        <v>15</v>
      </c>
      <c r="V50" s="33"/>
      <c r="W50" s="33"/>
      <c r="X50" s="32"/>
      <c r="Y50" s="32"/>
      <c r="Z50" s="32"/>
      <c r="AA50" s="32" t="s">
        <v>362</v>
      </c>
      <c r="AB50" s="32" t="s">
        <v>92</v>
      </c>
      <c r="AC50" s="33" t="s">
        <v>95</v>
      </c>
      <c r="AD50" s="33" t="s">
        <v>95</v>
      </c>
      <c r="AE50" s="32" t="s">
        <v>95</v>
      </c>
      <c r="AF50" s="32" t="s">
        <v>92</v>
      </c>
      <c r="AG50" s="32"/>
      <c r="AH50" s="32"/>
      <c r="AI50" s="525" t="s">
        <v>92</v>
      </c>
      <c r="AJ50" s="26" t="e">
        <f>_xlfn.CONCAT(#REF!,#REF!)</f>
        <v>#REF!</v>
      </c>
      <c r="AK50" s="27" t="e">
        <f t="shared" si="12"/>
        <v>#REF!</v>
      </c>
      <c r="AL50" s="28">
        <f t="shared" si="13"/>
        <v>0</v>
      </c>
      <c r="AM50">
        <f t="shared" si="14"/>
        <v>312</v>
      </c>
      <c r="AN50" s="29">
        <f t="shared" si="15"/>
        <v>23</v>
      </c>
      <c r="AO50" s="1">
        <f t="shared" si="16"/>
        <v>0</v>
      </c>
    </row>
    <row r="51" spans="1:41" ht="15.9">
      <c r="A51" s="1" t="s">
        <v>152</v>
      </c>
      <c r="B51" s="1" t="s">
        <v>64</v>
      </c>
      <c r="C51" s="291" t="s">
        <v>6</v>
      </c>
      <c r="D51" s="86" t="e">
        <f>#REF!</f>
        <v>#REF!</v>
      </c>
      <c r="E51" s="204" t="s">
        <v>113</v>
      </c>
      <c r="F51" s="32"/>
      <c r="G51" s="32"/>
      <c r="H51" s="33" t="s">
        <v>113</v>
      </c>
      <c r="I51" s="33"/>
      <c r="J51" s="32"/>
      <c r="K51" s="32" t="s">
        <v>301</v>
      </c>
      <c r="L51" s="32"/>
      <c r="M51" s="32"/>
      <c r="N51" s="32"/>
      <c r="O51" s="33" t="s">
        <v>113</v>
      </c>
      <c r="P51" s="33"/>
      <c r="Q51" s="32"/>
      <c r="R51" s="32">
        <v>8</v>
      </c>
      <c r="S51" s="32" t="s">
        <v>98</v>
      </c>
      <c r="T51" s="32" t="s">
        <v>98</v>
      </c>
      <c r="U51" s="32">
        <v>15</v>
      </c>
      <c r="V51" s="33"/>
      <c r="W51" s="33"/>
      <c r="X51" s="32"/>
      <c r="Y51" s="32"/>
      <c r="Z51" s="32"/>
      <c r="AA51" s="32"/>
      <c r="AB51" s="32"/>
      <c r="AC51" s="33" t="s">
        <v>301</v>
      </c>
      <c r="AD51" s="33"/>
      <c r="AE51" s="32"/>
      <c r="AF51" s="32"/>
      <c r="AG51" s="32"/>
      <c r="AH51" s="32" t="s">
        <v>362</v>
      </c>
      <c r="AI51" s="525"/>
      <c r="AJ51" s="26" t="e">
        <f>_xlfn.CONCAT(#REF!,#REF!)</f>
        <v>#REF!</v>
      </c>
      <c r="AK51" s="27" t="e">
        <f t="shared" si="12"/>
        <v>#REF!</v>
      </c>
      <c r="AL51" s="28">
        <f t="shared" si="13"/>
        <v>120</v>
      </c>
      <c r="AM51">
        <f t="shared" si="14"/>
        <v>48</v>
      </c>
      <c r="AN51" s="29">
        <f t="shared" si="15"/>
        <v>23</v>
      </c>
      <c r="AO51" s="1">
        <f t="shared" si="16"/>
        <v>0</v>
      </c>
    </row>
    <row r="52" spans="1:41" ht="15.9">
      <c r="A52" s="1" t="s">
        <v>156</v>
      </c>
      <c r="B52" s="1" t="s">
        <v>59</v>
      </c>
      <c r="C52" s="292" t="s">
        <v>7</v>
      </c>
      <c r="D52" s="86" t="e">
        <f>#REF!</f>
        <v>#REF!</v>
      </c>
      <c r="E52" s="204"/>
      <c r="F52" s="32"/>
      <c r="G52" s="32" t="s">
        <v>113</v>
      </c>
      <c r="H52" s="33"/>
      <c r="I52" s="33"/>
      <c r="J52" s="32"/>
      <c r="K52" s="32"/>
      <c r="L52" s="32"/>
      <c r="M52" s="32"/>
      <c r="N52" s="32"/>
      <c r="O52" s="33"/>
      <c r="P52" s="33"/>
      <c r="Q52" s="32"/>
      <c r="R52" s="32" t="s">
        <v>92</v>
      </c>
      <c r="S52" s="32" t="s">
        <v>95</v>
      </c>
      <c r="T52" s="32" t="s">
        <v>95</v>
      </c>
      <c r="U52" s="32" t="s">
        <v>92</v>
      </c>
      <c r="V52" s="33"/>
      <c r="W52" s="33"/>
      <c r="X52" s="32"/>
      <c r="Y52" s="32"/>
      <c r="Z52" s="32"/>
      <c r="AA52" s="32"/>
      <c r="AB52" s="32" t="s">
        <v>92</v>
      </c>
      <c r="AC52" s="33" t="s">
        <v>95</v>
      </c>
      <c r="AD52" s="33" t="s">
        <v>95</v>
      </c>
      <c r="AE52" s="32" t="s">
        <v>95</v>
      </c>
      <c r="AF52" s="32" t="s">
        <v>92</v>
      </c>
      <c r="AG52" s="32"/>
      <c r="AH52" s="32"/>
      <c r="AI52" s="525"/>
      <c r="AJ52" s="26" t="e">
        <f>_xlfn.CONCAT(#REF!,#REF!)</f>
        <v>#REF!</v>
      </c>
      <c r="AK52" s="27" t="e">
        <f t="shared" si="12"/>
        <v>#REF!</v>
      </c>
      <c r="AL52" s="28">
        <f t="shared" si="13"/>
        <v>24</v>
      </c>
      <c r="AM52">
        <f t="shared" si="14"/>
        <v>168</v>
      </c>
      <c r="AN52" s="29">
        <f t="shared" si="15"/>
        <v>0</v>
      </c>
      <c r="AO52" s="1">
        <f t="shared" si="16"/>
        <v>0</v>
      </c>
    </row>
    <row r="53" spans="1:41" ht="15.9">
      <c r="A53" s="1" t="s">
        <v>58</v>
      </c>
      <c r="B53" s="1" t="s">
        <v>73</v>
      </c>
      <c r="C53" s="290" t="s">
        <v>8</v>
      </c>
      <c r="D53" s="86" t="e">
        <f>#REF!</f>
        <v>#REF!</v>
      </c>
      <c r="E53" s="204"/>
      <c r="F53" s="32" t="s">
        <v>361</v>
      </c>
      <c r="G53" s="32"/>
      <c r="H53" s="33"/>
      <c r="I53" s="33"/>
      <c r="J53" s="32" t="s">
        <v>75</v>
      </c>
      <c r="K53" s="32" t="s">
        <v>75</v>
      </c>
      <c r="L53" s="32" t="s">
        <v>75</v>
      </c>
      <c r="M53" s="32" t="s">
        <v>75</v>
      </c>
      <c r="N53" s="32" t="s">
        <v>75</v>
      </c>
      <c r="O53" s="33" t="s">
        <v>66</v>
      </c>
      <c r="P53" s="33" t="s">
        <v>66</v>
      </c>
      <c r="Q53" s="32" t="s">
        <v>75</v>
      </c>
      <c r="R53" s="32" t="s">
        <v>75</v>
      </c>
      <c r="S53" s="32" t="s">
        <v>75</v>
      </c>
      <c r="T53" s="32" t="s">
        <v>75</v>
      </c>
      <c r="U53" s="32" t="s">
        <v>69</v>
      </c>
      <c r="V53" s="33" t="s">
        <v>70</v>
      </c>
      <c r="W53" s="33" t="s">
        <v>70</v>
      </c>
      <c r="X53" s="32" t="s">
        <v>69</v>
      </c>
      <c r="Y53" s="32"/>
      <c r="Z53" s="32"/>
      <c r="AA53" s="32"/>
      <c r="AB53" s="32"/>
      <c r="AC53" s="33"/>
      <c r="AD53" s="33"/>
      <c r="AE53" s="32"/>
      <c r="AF53" s="32"/>
      <c r="AG53" s="32" t="s">
        <v>301</v>
      </c>
      <c r="AH53" s="32"/>
      <c r="AI53" s="525"/>
      <c r="AJ53" s="26" t="e">
        <f>_xlfn.CONCAT(#REF!,#REF!)</f>
        <v>#REF!</v>
      </c>
      <c r="AK53" s="27" t="e">
        <f t="shared" si="12"/>
        <v>#REF!</v>
      </c>
      <c r="AL53" s="28">
        <f t="shared" si="13"/>
        <v>24</v>
      </c>
      <c r="AM53">
        <f t="shared" si="14"/>
        <v>72</v>
      </c>
      <c r="AN53" s="29">
        <f t="shared" si="15"/>
        <v>72</v>
      </c>
      <c r="AO53" s="1">
        <f t="shared" si="16"/>
        <v>0</v>
      </c>
    </row>
    <row r="54" spans="1:41" ht="15.9">
      <c r="A54" s="1" t="s">
        <v>152</v>
      </c>
      <c r="B54" s="1" t="s">
        <v>59</v>
      </c>
      <c r="C54" s="291" t="s">
        <v>9</v>
      </c>
      <c r="D54" s="86" t="e">
        <f>#REF!</f>
        <v>#REF!</v>
      </c>
      <c r="E54" s="204" t="s">
        <v>75</v>
      </c>
      <c r="F54" s="32" t="s">
        <v>75</v>
      </c>
      <c r="G54" s="32"/>
      <c r="H54" s="33"/>
      <c r="I54" s="33"/>
      <c r="J54" s="32"/>
      <c r="K54" s="32"/>
      <c r="L54" s="32"/>
      <c r="M54" s="32"/>
      <c r="N54" s="32"/>
      <c r="O54" s="33"/>
      <c r="P54" s="33"/>
      <c r="Q54" s="32"/>
      <c r="R54" s="32">
        <v>8</v>
      </c>
      <c r="S54" s="32" t="s">
        <v>98</v>
      </c>
      <c r="T54" s="32" t="s">
        <v>98</v>
      </c>
      <c r="U54" s="32">
        <v>15</v>
      </c>
      <c r="V54" s="33"/>
      <c r="W54" s="33"/>
      <c r="X54" s="32"/>
      <c r="Y54" s="32"/>
      <c r="Z54" s="32"/>
      <c r="AA54" s="32"/>
      <c r="AB54" s="32"/>
      <c r="AC54" s="33"/>
      <c r="AD54" s="33"/>
      <c r="AE54" s="32" t="s">
        <v>362</v>
      </c>
      <c r="AF54" s="32"/>
      <c r="AG54" s="32"/>
      <c r="AH54" s="32"/>
      <c r="AI54" s="525" t="s">
        <v>294</v>
      </c>
      <c r="AJ54" s="26" t="e">
        <f>_xlfn.CONCAT(#REF!,#REF!)</f>
        <v>#REF!</v>
      </c>
      <c r="AK54" s="27" t="e">
        <f t="shared" si="12"/>
        <v>#REF!</v>
      </c>
      <c r="AL54" s="28">
        <f t="shared" si="13"/>
        <v>0</v>
      </c>
      <c r="AM54">
        <f t="shared" si="14"/>
        <v>48</v>
      </c>
      <c r="AN54" s="29">
        <f t="shared" si="15"/>
        <v>47</v>
      </c>
      <c r="AO54" s="1">
        <f t="shared" si="16"/>
        <v>0</v>
      </c>
    </row>
    <row r="55" spans="1:41" ht="15.9">
      <c r="A55" s="1" t="s">
        <v>157</v>
      </c>
      <c r="B55" s="1" t="s">
        <v>59</v>
      </c>
      <c r="C55" s="292" t="s">
        <v>10</v>
      </c>
      <c r="D55" s="86" t="e">
        <f>#REF!</f>
        <v>#REF!</v>
      </c>
      <c r="E55" s="299"/>
      <c r="F55" s="37"/>
      <c r="G55" s="37"/>
      <c r="H55" s="38"/>
      <c r="I55" s="38"/>
      <c r="J55" s="37" t="s">
        <v>75</v>
      </c>
      <c r="K55" s="37" t="s">
        <v>75</v>
      </c>
      <c r="L55" s="37" t="s">
        <v>75</v>
      </c>
      <c r="M55" s="37" t="s">
        <v>75</v>
      </c>
      <c r="N55" s="37" t="s">
        <v>75</v>
      </c>
      <c r="O55" s="38"/>
      <c r="P55" s="38"/>
      <c r="Q55" s="37" t="s">
        <v>69</v>
      </c>
      <c r="R55" s="37" t="s">
        <v>70</v>
      </c>
      <c r="S55" s="37" t="s">
        <v>70</v>
      </c>
      <c r="T55" s="37" t="s">
        <v>70</v>
      </c>
      <c r="U55" s="37" t="s">
        <v>69</v>
      </c>
      <c r="V55" s="38"/>
      <c r="W55" s="38"/>
      <c r="X55" s="37"/>
      <c r="Y55" s="37"/>
      <c r="Z55" s="37"/>
      <c r="AA55" s="37"/>
      <c r="AB55" s="37"/>
      <c r="AC55" s="38" t="s">
        <v>113</v>
      </c>
      <c r="AD55" s="38"/>
      <c r="AE55" s="37" t="s">
        <v>362</v>
      </c>
      <c r="AF55" s="37"/>
      <c r="AG55" s="37"/>
      <c r="AH55" s="37"/>
      <c r="AI55" s="525"/>
      <c r="AJ55" s="26" t="e">
        <f>_xlfn.CONCAT(#REF!,#REF!)</f>
        <v>#REF!</v>
      </c>
      <c r="AK55" s="27" t="e">
        <f t="shared" si="12"/>
        <v>#REF!</v>
      </c>
      <c r="AL55" s="28">
        <f t="shared" si="13"/>
        <v>24</v>
      </c>
      <c r="AM55">
        <f t="shared" si="14"/>
        <v>96</v>
      </c>
      <c r="AN55" s="29">
        <f t="shared" si="15"/>
        <v>40</v>
      </c>
      <c r="AO55" s="1">
        <f t="shared" si="16"/>
        <v>0</v>
      </c>
    </row>
    <row r="56" spans="1:41" ht="15.9">
      <c r="A56" s="1" t="s">
        <v>156</v>
      </c>
      <c r="B56" s="1" t="s">
        <v>414</v>
      </c>
      <c r="C56" s="292" t="s">
        <v>158</v>
      </c>
      <c r="D56" s="86" t="e">
        <f>#REF!</f>
        <v>#REF!</v>
      </c>
      <c r="E56" s="44"/>
      <c r="F56" s="45" t="s">
        <v>415</v>
      </c>
      <c r="G56" s="45" t="s">
        <v>415</v>
      </c>
      <c r="H56" s="46" t="s">
        <v>113</v>
      </c>
      <c r="I56" s="46"/>
      <c r="J56" s="45"/>
      <c r="K56" s="45"/>
      <c r="L56" s="45" t="s">
        <v>113</v>
      </c>
      <c r="M56" s="45"/>
      <c r="N56" s="45"/>
      <c r="O56" s="46" t="s">
        <v>113</v>
      </c>
      <c r="P56" s="46"/>
      <c r="Q56" s="45"/>
      <c r="R56" s="45" t="s">
        <v>92</v>
      </c>
      <c r="S56" s="45" t="s">
        <v>95</v>
      </c>
      <c r="T56" s="45" t="s">
        <v>95</v>
      </c>
      <c r="U56" s="45" t="s">
        <v>92</v>
      </c>
      <c r="V56" s="46" t="s">
        <v>66</v>
      </c>
      <c r="W56" s="46" t="s">
        <v>66</v>
      </c>
      <c r="X56" s="45" t="s">
        <v>66</v>
      </c>
      <c r="Y56" s="45"/>
      <c r="Z56" s="45"/>
      <c r="AA56" s="45" t="s">
        <v>113</v>
      </c>
      <c r="AB56" s="45"/>
      <c r="AC56" s="46"/>
      <c r="AD56" s="46" t="s">
        <v>113</v>
      </c>
      <c r="AE56" s="45"/>
      <c r="AF56" s="45"/>
      <c r="AG56" s="45"/>
      <c r="AH56" s="47"/>
      <c r="AI56" s="533"/>
      <c r="AJ56" s="26"/>
      <c r="AK56" s="27" t="e">
        <f t="shared" si="12"/>
        <v>#REF!</v>
      </c>
      <c r="AL56" s="28">
        <f t="shared" si="13"/>
        <v>120</v>
      </c>
      <c r="AM56">
        <f t="shared" si="14"/>
        <v>72</v>
      </c>
      <c r="AN56" s="29">
        <f t="shared" si="15"/>
        <v>0</v>
      </c>
      <c r="AO56" s="1">
        <f t="shared" si="16"/>
        <v>16</v>
      </c>
    </row>
    <row r="57" spans="1:41" ht="15.9">
      <c r="A57" s="1" t="s">
        <v>58</v>
      </c>
      <c r="B57" s="1" t="s">
        <v>59</v>
      </c>
      <c r="C57" s="290" t="s">
        <v>11</v>
      </c>
      <c r="D57" s="86" t="e">
        <f>#REF!</f>
        <v>#REF!</v>
      </c>
      <c r="E57" s="204" t="s">
        <v>75</v>
      </c>
      <c r="F57" s="32" t="s">
        <v>75</v>
      </c>
      <c r="G57" s="32"/>
      <c r="H57" s="33"/>
      <c r="I57" s="33"/>
      <c r="J57" s="32"/>
      <c r="K57" s="32" t="s">
        <v>92</v>
      </c>
      <c r="L57" s="32" t="s">
        <v>95</v>
      </c>
      <c r="M57" s="32" t="s">
        <v>95</v>
      </c>
      <c r="N57" s="32" t="s">
        <v>95</v>
      </c>
      <c r="O57" s="33" t="s">
        <v>95</v>
      </c>
      <c r="P57" s="33" t="s">
        <v>95</v>
      </c>
      <c r="Q57" s="32" t="s">
        <v>95</v>
      </c>
      <c r="R57" s="32" t="s">
        <v>92</v>
      </c>
      <c r="S57" s="32"/>
      <c r="T57" s="32"/>
      <c r="U57" s="32"/>
      <c r="V57" s="33"/>
      <c r="W57" s="33"/>
      <c r="X57" s="32"/>
      <c r="Y57" s="32"/>
      <c r="Z57" s="32"/>
      <c r="AA57" s="32"/>
      <c r="AB57" s="32" t="s">
        <v>92</v>
      </c>
      <c r="AC57" s="33" t="s">
        <v>95</v>
      </c>
      <c r="AD57" s="33" t="s">
        <v>95</v>
      </c>
      <c r="AE57" s="32" t="s">
        <v>95</v>
      </c>
      <c r="AF57" s="32" t="s">
        <v>92</v>
      </c>
      <c r="AG57" s="32"/>
      <c r="AH57" s="32"/>
      <c r="AI57" s="525" t="s">
        <v>294</v>
      </c>
      <c r="AJ57" s="26" t="e">
        <f>_xlfn.CONCAT(#REF!,#REF!)</f>
        <v>#REF!</v>
      </c>
      <c r="AK57" s="27" t="e">
        <f t="shared" si="12"/>
        <v>#REF!</v>
      </c>
      <c r="AL57" s="28">
        <f t="shared" si="13"/>
        <v>0</v>
      </c>
      <c r="AM57">
        <f t="shared" si="14"/>
        <v>264</v>
      </c>
      <c r="AN57" s="29">
        <f t="shared" si="15"/>
        <v>24</v>
      </c>
      <c r="AO57" s="1">
        <f t="shared" si="16"/>
        <v>0</v>
      </c>
    </row>
    <row r="58" spans="1:41" ht="15.9">
      <c r="A58" s="1" t="s">
        <v>152</v>
      </c>
      <c r="B58" s="1" t="s">
        <v>64</v>
      </c>
      <c r="C58" s="291" t="s">
        <v>12</v>
      </c>
      <c r="D58" s="86" t="e">
        <f>#REF!</f>
        <v>#REF!</v>
      </c>
      <c r="E58" s="204" t="s">
        <v>95</v>
      </c>
      <c r="F58" s="32" t="s">
        <v>95</v>
      </c>
      <c r="G58" s="32" t="s">
        <v>92</v>
      </c>
      <c r="H58" s="33"/>
      <c r="I58" s="33"/>
      <c r="J58" s="32"/>
      <c r="K58" s="32"/>
      <c r="L58" s="32" t="s">
        <v>113</v>
      </c>
      <c r="M58" s="32"/>
      <c r="N58" s="32"/>
      <c r="O58" s="33"/>
      <c r="P58" s="33"/>
      <c r="Q58" s="32"/>
      <c r="R58" s="32">
        <v>8</v>
      </c>
      <c r="S58" s="32" t="s">
        <v>98</v>
      </c>
      <c r="T58" s="32" t="s">
        <v>98</v>
      </c>
      <c r="U58" s="32">
        <v>15</v>
      </c>
      <c r="V58" s="33"/>
      <c r="W58" s="33"/>
      <c r="X58" s="32"/>
      <c r="Y58" s="32"/>
      <c r="Z58" s="32"/>
      <c r="AA58" s="32" t="s">
        <v>301</v>
      </c>
      <c r="AB58" s="32"/>
      <c r="AC58" s="33"/>
      <c r="AD58" s="33"/>
      <c r="AE58" s="32" t="s">
        <v>362</v>
      </c>
      <c r="AF58" s="32"/>
      <c r="AG58" s="32"/>
      <c r="AH58" s="32"/>
      <c r="AI58" s="525" t="s">
        <v>92</v>
      </c>
      <c r="AJ58" s="26" t="e">
        <f>_xlfn.CONCAT(#REF!,#REF!)</f>
        <v>#REF!</v>
      </c>
      <c r="AK58" s="27" t="e">
        <f t="shared" si="12"/>
        <v>#REF!</v>
      </c>
      <c r="AL58" s="28">
        <f t="shared" si="13"/>
        <v>48</v>
      </c>
      <c r="AM58">
        <f t="shared" si="14"/>
        <v>120</v>
      </c>
      <c r="AN58" s="29">
        <f t="shared" si="15"/>
        <v>23</v>
      </c>
      <c r="AO58" s="1">
        <f t="shared" si="16"/>
        <v>0</v>
      </c>
    </row>
    <row r="59" spans="1:41" ht="15.9">
      <c r="A59" s="1" t="s">
        <v>152</v>
      </c>
      <c r="B59" s="1" t="s">
        <v>93</v>
      </c>
      <c r="C59" s="291" t="s">
        <v>13</v>
      </c>
      <c r="D59" s="86" t="e">
        <f>#REF!</f>
        <v>#REF!</v>
      </c>
      <c r="E59" s="204"/>
      <c r="F59" s="32"/>
      <c r="G59" s="32"/>
      <c r="H59" s="33">
        <v>10</v>
      </c>
      <c r="I59" s="33" t="s">
        <v>98</v>
      </c>
      <c r="J59" s="32">
        <v>20</v>
      </c>
      <c r="K59" s="32"/>
      <c r="L59" s="32"/>
      <c r="M59" s="32"/>
      <c r="N59" s="32"/>
      <c r="O59" s="33"/>
      <c r="P59" s="33"/>
      <c r="Q59" s="32"/>
      <c r="R59" s="32">
        <v>8</v>
      </c>
      <c r="S59" s="32" t="s">
        <v>98</v>
      </c>
      <c r="T59" s="32" t="s">
        <v>98</v>
      </c>
      <c r="U59" s="32">
        <v>15</v>
      </c>
      <c r="V59" s="33"/>
      <c r="W59" s="33"/>
      <c r="X59" s="32" t="s">
        <v>75</v>
      </c>
      <c r="Y59" s="32" t="s">
        <v>75</v>
      </c>
      <c r="Z59" s="32" t="s">
        <v>75</v>
      </c>
      <c r="AA59" s="32" t="s">
        <v>75</v>
      </c>
      <c r="AB59" s="32" t="s">
        <v>75</v>
      </c>
      <c r="AC59" s="33" t="s">
        <v>66</v>
      </c>
      <c r="AD59" s="33" t="s">
        <v>66</v>
      </c>
      <c r="AE59" s="32" t="s">
        <v>75</v>
      </c>
      <c r="AF59" s="32" t="s">
        <v>75</v>
      </c>
      <c r="AG59" s="32" t="s">
        <v>75</v>
      </c>
      <c r="AH59" s="32" t="s">
        <v>75</v>
      </c>
      <c r="AI59" s="525"/>
      <c r="AJ59" s="26" t="e">
        <f>_xlfn.CONCAT(#REF!,#REF!)</f>
        <v>#REF!</v>
      </c>
      <c r="AK59" s="27" t="e">
        <f t="shared" si="12"/>
        <v>#REF!</v>
      </c>
      <c r="AL59" s="28">
        <f t="shared" si="13"/>
        <v>0</v>
      </c>
      <c r="AM59">
        <f t="shared" si="14"/>
        <v>72</v>
      </c>
      <c r="AN59" s="29">
        <f t="shared" si="15"/>
        <v>125</v>
      </c>
      <c r="AO59" s="1">
        <f t="shared" si="16"/>
        <v>0</v>
      </c>
    </row>
    <row r="60" spans="1:41" ht="15.9">
      <c r="A60" s="1" t="s">
        <v>152</v>
      </c>
      <c r="B60" s="1" t="s">
        <v>73</v>
      </c>
      <c r="C60" s="291" t="s">
        <v>14</v>
      </c>
      <c r="D60" s="86" t="e">
        <f>#REF!</f>
        <v>#REF!</v>
      </c>
      <c r="E60" s="204"/>
      <c r="F60" s="32" t="s">
        <v>361</v>
      </c>
      <c r="G60" s="32"/>
      <c r="H60" s="33" t="s">
        <v>301</v>
      </c>
      <c r="I60" s="33"/>
      <c r="J60" s="32"/>
      <c r="K60" s="32"/>
      <c r="L60" s="32" t="s">
        <v>301</v>
      </c>
      <c r="M60" s="32"/>
      <c r="N60" s="32" t="s">
        <v>103</v>
      </c>
      <c r="O60" s="33" t="s">
        <v>103</v>
      </c>
      <c r="P60" s="33" t="s">
        <v>103</v>
      </c>
      <c r="Q60" s="32" t="s">
        <v>103</v>
      </c>
      <c r="R60" s="32">
        <v>8</v>
      </c>
      <c r="S60" s="32" t="s">
        <v>98</v>
      </c>
      <c r="T60" s="32" t="s">
        <v>98</v>
      </c>
      <c r="U60" s="32">
        <v>15</v>
      </c>
      <c r="V60" s="33"/>
      <c r="W60" s="33"/>
      <c r="X60" s="32"/>
      <c r="Y60" s="32"/>
      <c r="Z60" s="32"/>
      <c r="AA60" s="32"/>
      <c r="AB60" s="32"/>
      <c r="AC60" s="33"/>
      <c r="AD60" s="33"/>
      <c r="AE60" s="32"/>
      <c r="AF60" s="32"/>
      <c r="AG60" s="32"/>
      <c r="AH60" s="32"/>
      <c r="AI60" s="525"/>
      <c r="AJ60" s="26" t="e">
        <f>_xlfn.CONCAT(#REF!,#REF!)</f>
        <v>#REF!</v>
      </c>
      <c r="AK60" s="27" t="e">
        <f t="shared" si="12"/>
        <v>#REF!</v>
      </c>
      <c r="AL60" s="28">
        <f t="shared" si="13"/>
        <v>48</v>
      </c>
      <c r="AM60">
        <f t="shared" si="14"/>
        <v>48</v>
      </c>
      <c r="AN60" s="29">
        <f t="shared" si="15"/>
        <v>23</v>
      </c>
      <c r="AO60" s="1">
        <f t="shared" si="16"/>
        <v>0</v>
      </c>
    </row>
    <row r="61" spans="1:41" ht="15.9">
      <c r="A61" s="1" t="s">
        <v>155</v>
      </c>
      <c r="B61" s="1" t="s">
        <v>64</v>
      </c>
      <c r="C61" s="290" t="s">
        <v>15</v>
      </c>
      <c r="D61" s="86" t="e">
        <f>#REF!</f>
        <v>#REF!</v>
      </c>
      <c r="E61" s="204"/>
      <c r="F61" s="32"/>
      <c r="G61" s="32" t="s">
        <v>301</v>
      </c>
      <c r="H61" s="33"/>
      <c r="I61" s="33"/>
      <c r="J61" s="32" t="s">
        <v>75</v>
      </c>
      <c r="K61" s="32" t="s">
        <v>75</v>
      </c>
      <c r="L61" s="32" t="s">
        <v>75</v>
      </c>
      <c r="M61" s="32" t="s">
        <v>75</v>
      </c>
      <c r="N61" s="32" t="s">
        <v>75</v>
      </c>
      <c r="O61" s="33" t="s">
        <v>66</v>
      </c>
      <c r="P61" s="33" t="s">
        <v>66</v>
      </c>
      <c r="Q61" s="32" t="s">
        <v>75</v>
      </c>
      <c r="R61" s="32" t="s">
        <v>75</v>
      </c>
      <c r="S61" s="32" t="s">
        <v>75</v>
      </c>
      <c r="T61" s="32" t="s">
        <v>75</v>
      </c>
      <c r="U61" s="32" t="s">
        <v>75</v>
      </c>
      <c r="V61" s="33" t="s">
        <v>66</v>
      </c>
      <c r="W61" s="33" t="s">
        <v>66</v>
      </c>
      <c r="X61" s="32" t="s">
        <v>75</v>
      </c>
      <c r="Y61" s="32" t="s">
        <v>75</v>
      </c>
      <c r="Z61" s="32" t="s">
        <v>75</v>
      </c>
      <c r="AA61" s="32" t="s">
        <v>75</v>
      </c>
      <c r="AB61" s="32" t="s">
        <v>92</v>
      </c>
      <c r="AC61" s="33" t="s">
        <v>95</v>
      </c>
      <c r="AD61" s="33" t="s">
        <v>95</v>
      </c>
      <c r="AE61" s="32" t="s">
        <v>95</v>
      </c>
      <c r="AF61" s="32" t="s">
        <v>92</v>
      </c>
      <c r="AG61" s="32"/>
      <c r="AH61" s="32"/>
      <c r="AI61" s="525"/>
      <c r="AJ61" s="26" t="e">
        <f>_xlfn.CONCAT(#REF!,#REF!)</f>
        <v>#REF!</v>
      </c>
      <c r="AK61" s="27" t="e">
        <f t="shared" si="12"/>
        <v>#REF!</v>
      </c>
      <c r="AL61" s="28">
        <f t="shared" si="13"/>
        <v>24</v>
      </c>
      <c r="AM61">
        <f t="shared" si="14"/>
        <v>96</v>
      </c>
      <c r="AN61" s="29">
        <f t="shared" si="15"/>
        <v>112</v>
      </c>
      <c r="AO61" s="1">
        <f t="shared" si="16"/>
        <v>0</v>
      </c>
    </row>
    <row r="62" spans="1:41" ht="15.9">
      <c r="A62" s="1" t="s">
        <v>67</v>
      </c>
      <c r="B62" s="1" t="s">
        <v>64</v>
      </c>
      <c r="C62" s="290" t="s">
        <v>16</v>
      </c>
      <c r="D62" s="86" t="e">
        <f>#REF!</f>
        <v>#REF!</v>
      </c>
      <c r="E62" s="204"/>
      <c r="F62" s="32"/>
      <c r="G62" s="32"/>
      <c r="H62" s="33"/>
      <c r="I62" s="33"/>
      <c r="J62" s="32"/>
      <c r="K62" s="32" t="s">
        <v>92</v>
      </c>
      <c r="L62" s="32" t="s">
        <v>95</v>
      </c>
      <c r="M62" s="32" t="s">
        <v>95</v>
      </c>
      <c r="N62" s="32" t="s">
        <v>95</v>
      </c>
      <c r="O62" s="33" t="s">
        <v>95</v>
      </c>
      <c r="P62" s="33" t="s">
        <v>95</v>
      </c>
      <c r="Q62" s="32" t="s">
        <v>95</v>
      </c>
      <c r="R62" s="32" t="s">
        <v>92</v>
      </c>
      <c r="S62" s="32"/>
      <c r="T62" s="32"/>
      <c r="U62" s="32"/>
      <c r="V62" s="33"/>
      <c r="W62" s="33"/>
      <c r="X62" s="32" t="s">
        <v>66</v>
      </c>
      <c r="Y62" s="32" t="s">
        <v>66</v>
      </c>
      <c r="Z62" s="32" t="s">
        <v>66</v>
      </c>
      <c r="AA62" s="32" t="s">
        <v>66</v>
      </c>
      <c r="AB62" s="32" t="s">
        <v>66</v>
      </c>
      <c r="AC62" s="33" t="s">
        <v>66</v>
      </c>
      <c r="AD62" s="33" t="s">
        <v>66</v>
      </c>
      <c r="AE62" s="32" t="s">
        <v>66</v>
      </c>
      <c r="AF62" s="32" t="s">
        <v>66</v>
      </c>
      <c r="AG62" s="32" t="s">
        <v>66</v>
      </c>
      <c r="AH62" s="32" t="s">
        <v>66</v>
      </c>
      <c r="AI62" s="525"/>
      <c r="AJ62" s="26" t="e">
        <f>_xlfn.CONCAT(#REF!,#REF!)</f>
        <v>#REF!</v>
      </c>
      <c r="AK62" s="27" t="e">
        <f t="shared" si="12"/>
        <v>#REF!</v>
      </c>
      <c r="AL62" s="28">
        <f t="shared" si="13"/>
        <v>0</v>
      </c>
      <c r="AM62">
        <f t="shared" si="14"/>
        <v>168</v>
      </c>
      <c r="AN62" s="29">
        <f t="shared" si="15"/>
        <v>0</v>
      </c>
      <c r="AO62" s="1">
        <f t="shared" si="16"/>
        <v>0</v>
      </c>
    </row>
    <row r="63" spans="1:41" ht="15.9">
      <c r="A63" s="1" t="s">
        <v>155</v>
      </c>
      <c r="B63" s="1" t="s">
        <v>93</v>
      </c>
      <c r="C63" s="290" t="s">
        <v>17</v>
      </c>
      <c r="D63" s="86" t="e">
        <f>#REF!</f>
        <v>#REF!</v>
      </c>
      <c r="E63" s="204"/>
      <c r="F63" s="32"/>
      <c r="G63" s="32" t="s">
        <v>92</v>
      </c>
      <c r="H63" s="33" t="s">
        <v>95</v>
      </c>
      <c r="I63" s="33" t="s">
        <v>95</v>
      </c>
      <c r="J63" s="32" t="s">
        <v>95</v>
      </c>
      <c r="K63" s="32" t="s">
        <v>92</v>
      </c>
      <c r="L63" s="32"/>
      <c r="M63" s="32"/>
      <c r="N63" s="32"/>
      <c r="O63" s="33"/>
      <c r="P63" s="33"/>
      <c r="Q63" s="32"/>
      <c r="R63" s="32"/>
      <c r="S63" s="32"/>
      <c r="T63" s="32"/>
      <c r="U63" s="32"/>
      <c r="V63" s="33"/>
      <c r="W63" s="33"/>
      <c r="X63" s="32"/>
      <c r="Y63" s="32" t="s">
        <v>92</v>
      </c>
      <c r="Z63" s="32" t="s">
        <v>95</v>
      </c>
      <c r="AA63" s="32" t="s">
        <v>95</v>
      </c>
      <c r="AB63" s="32" t="s">
        <v>92</v>
      </c>
      <c r="AC63" s="33"/>
      <c r="AD63" s="33"/>
      <c r="AE63" s="32"/>
      <c r="AF63" s="32"/>
      <c r="AG63" s="32"/>
      <c r="AH63" s="32" t="s">
        <v>362</v>
      </c>
      <c r="AI63" s="525"/>
      <c r="AJ63" s="26" t="e">
        <f>_xlfn.CONCAT(#REF!,#REF!)</f>
        <v>#REF!</v>
      </c>
      <c r="AK63" s="27" t="e">
        <f t="shared" si="12"/>
        <v>#REF!</v>
      </c>
      <c r="AL63" s="28">
        <f t="shared" si="13"/>
        <v>0</v>
      </c>
      <c r="AM63">
        <f t="shared" si="14"/>
        <v>168</v>
      </c>
      <c r="AN63" s="29">
        <f t="shared" si="15"/>
        <v>0</v>
      </c>
      <c r="AO63" s="1">
        <f t="shared" si="16"/>
        <v>0</v>
      </c>
    </row>
    <row r="64" spans="1:41" ht="15.9">
      <c r="A64" s="1" t="s">
        <v>155</v>
      </c>
      <c r="B64" s="1" t="s">
        <v>64</v>
      </c>
      <c r="C64" s="292" t="s">
        <v>18</v>
      </c>
      <c r="D64" s="86" t="e">
        <f>#REF!</f>
        <v>#REF!</v>
      </c>
      <c r="E64" s="31" t="s">
        <v>169</v>
      </c>
      <c r="F64" s="89" t="s">
        <v>169</v>
      </c>
      <c r="G64" s="89" t="s">
        <v>169</v>
      </c>
      <c r="H64" s="33" t="s">
        <v>169</v>
      </c>
      <c r="I64" s="33" t="s">
        <v>169</v>
      </c>
      <c r="J64" s="89" t="s">
        <v>169</v>
      </c>
      <c r="K64" s="33" t="s">
        <v>169</v>
      </c>
      <c r="L64" s="33" t="s">
        <v>169</v>
      </c>
      <c r="M64" s="89" t="s">
        <v>169</v>
      </c>
      <c r="N64" s="89" t="s">
        <v>169</v>
      </c>
      <c r="O64" s="33" t="s">
        <v>169</v>
      </c>
      <c r="P64" s="33" t="s">
        <v>169</v>
      </c>
      <c r="Q64" s="89" t="s">
        <v>169</v>
      </c>
      <c r="R64" s="33" t="s">
        <v>169</v>
      </c>
      <c r="S64" s="33" t="s">
        <v>169</v>
      </c>
      <c r="T64" s="89" t="s">
        <v>169</v>
      </c>
      <c r="U64" s="524" t="s">
        <v>169</v>
      </c>
      <c r="V64" s="33" t="s">
        <v>169</v>
      </c>
      <c r="W64" s="33" t="s">
        <v>169</v>
      </c>
      <c r="X64" s="89" t="s">
        <v>169</v>
      </c>
      <c r="Y64" s="33" t="s">
        <v>169</v>
      </c>
      <c r="Z64" s="33" t="s">
        <v>169</v>
      </c>
      <c r="AA64" s="89" t="s">
        <v>169</v>
      </c>
      <c r="AB64" s="89" t="s">
        <v>169</v>
      </c>
      <c r="AC64" s="33" t="s">
        <v>169</v>
      </c>
      <c r="AD64" s="33" t="s">
        <v>169</v>
      </c>
      <c r="AE64" s="89" t="s">
        <v>169</v>
      </c>
      <c r="AF64" s="33" t="s">
        <v>169</v>
      </c>
      <c r="AG64" s="33" t="s">
        <v>169</v>
      </c>
      <c r="AH64" s="89" t="s">
        <v>169</v>
      </c>
      <c r="AI64" s="525" t="s">
        <v>169</v>
      </c>
      <c r="AJ64" s="26" t="e">
        <f>_xlfn.CONCAT(#REF!,#REF!)</f>
        <v>#REF!</v>
      </c>
      <c r="AK64" s="27">
        <v>0</v>
      </c>
      <c r="AL64" s="28">
        <f t="shared" si="13"/>
        <v>0</v>
      </c>
      <c r="AM64">
        <f t="shared" si="14"/>
        <v>0</v>
      </c>
      <c r="AN64" s="29">
        <f t="shared" si="15"/>
        <v>0</v>
      </c>
      <c r="AO64" s="1">
        <f t="shared" si="16"/>
        <v>0</v>
      </c>
    </row>
    <row r="65" spans="1:41" ht="15.9">
      <c r="A65" s="1" t="s">
        <v>157</v>
      </c>
      <c r="B65" s="1" t="s">
        <v>59</v>
      </c>
      <c r="C65" s="291" t="s">
        <v>19</v>
      </c>
      <c r="D65" s="86" t="e">
        <f>#REF!</f>
        <v>#REF!</v>
      </c>
      <c r="E65" s="204"/>
      <c r="F65" s="32"/>
      <c r="G65" s="32"/>
      <c r="H65" s="33"/>
      <c r="I65" s="33" t="s">
        <v>301</v>
      </c>
      <c r="J65" s="32"/>
      <c r="K65" s="32"/>
      <c r="L65" s="32"/>
      <c r="M65" s="32" t="s">
        <v>301</v>
      </c>
      <c r="N65" s="32"/>
      <c r="O65" s="33"/>
      <c r="P65" s="33"/>
      <c r="Q65" s="32" t="s">
        <v>75</v>
      </c>
      <c r="R65" s="32" t="s">
        <v>75</v>
      </c>
      <c r="S65" s="32" t="s">
        <v>75</v>
      </c>
      <c r="T65" s="32" t="s">
        <v>75</v>
      </c>
      <c r="U65" s="32" t="s">
        <v>75</v>
      </c>
      <c r="V65" s="33" t="s">
        <v>66</v>
      </c>
      <c r="W65" s="33" t="s">
        <v>66</v>
      </c>
      <c r="X65" s="32" t="s">
        <v>75</v>
      </c>
      <c r="Y65" s="32"/>
      <c r="Z65" s="32"/>
      <c r="AA65" s="32"/>
      <c r="AB65" s="32"/>
      <c r="AC65" s="33"/>
      <c r="AD65" s="33"/>
      <c r="AE65" s="32"/>
      <c r="AF65" s="32"/>
      <c r="AG65" s="32"/>
      <c r="AH65" s="32" t="s">
        <v>242</v>
      </c>
      <c r="AI65" s="525"/>
      <c r="AJ65" s="26" t="e">
        <f>_xlfn.CONCAT(#REF!,#REF!)</f>
        <v>#REF!</v>
      </c>
      <c r="AK65" s="27" t="e">
        <f t="shared" ref="AK65:AK86" si="17">D65+AL65+AM65+AN65-$AK$47+AO65+AP65</f>
        <v>#REF!</v>
      </c>
      <c r="AL65" s="28">
        <f t="shared" si="13"/>
        <v>48</v>
      </c>
      <c r="AM65">
        <f t="shared" si="14"/>
        <v>0</v>
      </c>
      <c r="AN65" s="29">
        <f t="shared" si="15"/>
        <v>48</v>
      </c>
      <c r="AO65" s="1">
        <f t="shared" si="16"/>
        <v>0</v>
      </c>
    </row>
    <row r="66" spans="1:41" ht="15.9">
      <c r="A66" s="1" t="s">
        <v>152</v>
      </c>
      <c r="B66" s="1" t="s">
        <v>64</v>
      </c>
      <c r="C66" s="291" t="s">
        <v>20</v>
      </c>
      <c r="D66" s="86" t="e">
        <f>#REF!</f>
        <v>#REF!</v>
      </c>
      <c r="E66" s="204" t="s">
        <v>75</v>
      </c>
      <c r="F66" s="32" t="s">
        <v>75</v>
      </c>
      <c r="G66" s="32" t="s">
        <v>75</v>
      </c>
      <c r="H66" s="33" t="s">
        <v>66</v>
      </c>
      <c r="I66" s="33" t="s">
        <v>66</v>
      </c>
      <c r="J66" s="32" t="s">
        <v>75</v>
      </c>
      <c r="K66" s="32" t="s">
        <v>75</v>
      </c>
      <c r="L66" s="32" t="s">
        <v>75</v>
      </c>
      <c r="M66" s="32" t="s">
        <v>75</v>
      </c>
      <c r="N66" s="32"/>
      <c r="O66" s="33"/>
      <c r="P66" s="33"/>
      <c r="Q66" s="32"/>
      <c r="R66" s="32">
        <v>8</v>
      </c>
      <c r="S66" s="32" t="s">
        <v>98</v>
      </c>
      <c r="T66" s="32" t="s">
        <v>98</v>
      </c>
      <c r="U66" s="32">
        <v>15</v>
      </c>
      <c r="V66" s="33"/>
      <c r="W66" s="33"/>
      <c r="X66" s="32"/>
      <c r="Y66" s="32"/>
      <c r="Z66" s="32"/>
      <c r="AA66" s="32"/>
      <c r="AB66" s="32"/>
      <c r="AC66" s="33"/>
      <c r="AD66" s="33"/>
      <c r="AE66" s="32"/>
      <c r="AF66" s="32"/>
      <c r="AG66" s="32"/>
      <c r="AH66" s="32" t="s">
        <v>301</v>
      </c>
      <c r="AI66" s="525" t="s">
        <v>294</v>
      </c>
      <c r="AJ66" s="26" t="e">
        <f>_xlfn.CONCAT(#REF!,#REF!)</f>
        <v>#REF!</v>
      </c>
      <c r="AK66" s="27" t="e">
        <f t="shared" si="17"/>
        <v>#REF!</v>
      </c>
      <c r="AL66" s="28">
        <f t="shared" si="13"/>
        <v>24</v>
      </c>
      <c r="AM66">
        <f t="shared" si="14"/>
        <v>48</v>
      </c>
      <c r="AN66" s="29">
        <f t="shared" si="15"/>
        <v>87</v>
      </c>
      <c r="AO66" s="1">
        <f t="shared" si="16"/>
        <v>0</v>
      </c>
    </row>
    <row r="67" spans="1:41" ht="15.9">
      <c r="A67" s="1" t="s">
        <v>152</v>
      </c>
      <c r="B67" s="1" t="s">
        <v>64</v>
      </c>
      <c r="C67" s="291" t="s">
        <v>21</v>
      </c>
      <c r="D67" s="86" t="e">
        <f>#REF!</f>
        <v>#REF!</v>
      </c>
      <c r="E67" s="204" t="s">
        <v>75</v>
      </c>
      <c r="F67" s="32" t="s">
        <v>415</v>
      </c>
      <c r="G67" s="32"/>
      <c r="H67" s="33"/>
      <c r="I67" s="33"/>
      <c r="J67" s="32" t="s">
        <v>75</v>
      </c>
      <c r="K67" s="32" t="s">
        <v>75</v>
      </c>
      <c r="L67" s="32" t="s">
        <v>75</v>
      </c>
      <c r="M67" s="32" t="s">
        <v>75</v>
      </c>
      <c r="N67" s="32" t="s">
        <v>75</v>
      </c>
      <c r="O67" s="33" t="s">
        <v>66</v>
      </c>
      <c r="P67" s="33" t="s">
        <v>66</v>
      </c>
      <c r="Q67" s="32" t="s">
        <v>75</v>
      </c>
      <c r="R67" s="32" t="s">
        <v>75</v>
      </c>
      <c r="S67" s="32" t="s">
        <v>75</v>
      </c>
      <c r="T67" s="32" t="s">
        <v>75</v>
      </c>
      <c r="U67" s="32"/>
      <c r="V67" s="33"/>
      <c r="W67" s="33"/>
      <c r="X67" s="32"/>
      <c r="Y67" s="32" t="s">
        <v>113</v>
      </c>
      <c r="Z67" s="32"/>
      <c r="AA67" s="32"/>
      <c r="AB67" s="32" t="s">
        <v>113</v>
      </c>
      <c r="AC67" s="33"/>
      <c r="AD67" s="33"/>
      <c r="AE67" s="32" t="s">
        <v>362</v>
      </c>
      <c r="AF67" s="32"/>
      <c r="AG67" s="32" t="s">
        <v>113</v>
      </c>
      <c r="AH67" s="32"/>
      <c r="AI67" s="525" t="s">
        <v>294</v>
      </c>
      <c r="AJ67" s="26" t="e">
        <f>_xlfn.CONCAT(#REF!,#REF!)</f>
        <v>#REF!</v>
      </c>
      <c r="AK67" s="27" t="e">
        <f t="shared" si="17"/>
        <v>#REF!</v>
      </c>
      <c r="AL67" s="28">
        <f t="shared" si="13"/>
        <v>72</v>
      </c>
      <c r="AM67">
        <f t="shared" si="14"/>
        <v>0</v>
      </c>
      <c r="AN67" s="29">
        <f t="shared" si="15"/>
        <v>88</v>
      </c>
      <c r="AO67" s="1">
        <f t="shared" si="16"/>
        <v>8</v>
      </c>
    </row>
    <row r="68" spans="1:41" ht="15.9">
      <c r="A68" s="1" t="s">
        <v>155</v>
      </c>
      <c r="B68" s="1" t="s">
        <v>59</v>
      </c>
      <c r="C68" s="290" t="s">
        <v>22</v>
      </c>
      <c r="D68" s="86" t="e">
        <f>#REF!</f>
        <v>#REF!</v>
      </c>
      <c r="E68" s="204" t="s">
        <v>75</v>
      </c>
      <c r="F68" s="32" t="s">
        <v>75</v>
      </c>
      <c r="G68" s="32" t="s">
        <v>75</v>
      </c>
      <c r="H68" s="33" t="s">
        <v>66</v>
      </c>
      <c r="I68" s="33" t="s">
        <v>66</v>
      </c>
      <c r="J68" s="32" t="s">
        <v>75</v>
      </c>
      <c r="K68" s="32" t="s">
        <v>75</v>
      </c>
      <c r="L68" s="32" t="s">
        <v>75</v>
      </c>
      <c r="M68" s="32" t="s">
        <v>75</v>
      </c>
      <c r="N68" s="32"/>
      <c r="O68" s="33"/>
      <c r="P68" s="33"/>
      <c r="Q68" s="32"/>
      <c r="R68" s="32"/>
      <c r="S68" s="32" t="s">
        <v>66</v>
      </c>
      <c r="T68" s="32"/>
      <c r="U68" s="32" t="s">
        <v>92</v>
      </c>
      <c r="V68" s="33" t="s">
        <v>95</v>
      </c>
      <c r="W68" s="33" t="s">
        <v>95</v>
      </c>
      <c r="X68" s="32" t="s">
        <v>95</v>
      </c>
      <c r="Y68" s="32" t="s">
        <v>92</v>
      </c>
      <c r="Z68" s="32"/>
      <c r="AA68" s="32"/>
      <c r="AB68" s="32"/>
      <c r="AC68" s="33"/>
      <c r="AD68" s="33"/>
      <c r="AE68" s="32"/>
      <c r="AF68" s="32"/>
      <c r="AG68" s="32"/>
      <c r="AH68" s="32" t="s">
        <v>362</v>
      </c>
      <c r="AI68" s="525" t="s">
        <v>294</v>
      </c>
      <c r="AJ68" s="26" t="e">
        <f>_xlfn.CONCAT(#REF!,#REF!)</f>
        <v>#REF!</v>
      </c>
      <c r="AK68" s="27" t="e">
        <f t="shared" si="17"/>
        <v>#REF!</v>
      </c>
      <c r="AL68" s="28">
        <f t="shared" si="13"/>
        <v>0</v>
      </c>
      <c r="AM68">
        <f t="shared" si="14"/>
        <v>96</v>
      </c>
      <c r="AN68" s="29">
        <f t="shared" si="15"/>
        <v>64</v>
      </c>
      <c r="AO68" s="1">
        <f t="shared" si="16"/>
        <v>0</v>
      </c>
    </row>
    <row r="69" spans="1:41" ht="15.9">
      <c r="A69" s="1" t="s">
        <v>155</v>
      </c>
      <c r="B69" s="1" t="s">
        <v>59</v>
      </c>
      <c r="C69" s="290" t="s">
        <v>23</v>
      </c>
      <c r="D69" s="86" t="e">
        <f>#REF!</f>
        <v>#REF!</v>
      </c>
      <c r="E69" s="204"/>
      <c r="F69" s="32"/>
      <c r="G69" s="32"/>
      <c r="H69" s="33"/>
      <c r="I69" s="33"/>
      <c r="J69" s="32"/>
      <c r="K69" s="32" t="s">
        <v>92</v>
      </c>
      <c r="L69" s="32" t="s">
        <v>95</v>
      </c>
      <c r="M69" s="32" t="s">
        <v>95</v>
      </c>
      <c r="N69" s="32" t="s">
        <v>95</v>
      </c>
      <c r="O69" s="33" t="s">
        <v>95</v>
      </c>
      <c r="P69" s="33" t="s">
        <v>95</v>
      </c>
      <c r="Q69" s="32" t="s">
        <v>95</v>
      </c>
      <c r="R69" s="32" t="s">
        <v>92</v>
      </c>
      <c r="S69" s="32"/>
      <c r="T69" s="32"/>
      <c r="U69" s="32"/>
      <c r="V69" s="33"/>
      <c r="W69" s="33"/>
      <c r="X69" s="32"/>
      <c r="Y69" s="32"/>
      <c r="Z69" s="32" t="s">
        <v>242</v>
      </c>
      <c r="AA69" s="32"/>
      <c r="AB69" s="32"/>
      <c r="AC69" s="33"/>
      <c r="AD69" s="33"/>
      <c r="AE69" s="32"/>
      <c r="AF69" s="32"/>
      <c r="AG69" s="32"/>
      <c r="AH69" s="32"/>
      <c r="AI69" s="525" t="s">
        <v>294</v>
      </c>
      <c r="AJ69" s="26" t="e">
        <f>_xlfn.CONCAT(#REF!,#REF!)</f>
        <v>#REF!</v>
      </c>
      <c r="AK69" s="27" t="e">
        <f t="shared" si="17"/>
        <v>#REF!</v>
      </c>
      <c r="AL69" s="28">
        <f t="shared" si="13"/>
        <v>0</v>
      </c>
      <c r="AM69">
        <f t="shared" si="14"/>
        <v>168</v>
      </c>
      <c r="AN69" s="29">
        <f t="shared" si="15"/>
        <v>8</v>
      </c>
      <c r="AO69" s="1">
        <f t="shared" si="16"/>
        <v>0</v>
      </c>
    </row>
    <row r="70" spans="1:41" ht="15.9">
      <c r="A70" s="1" t="s">
        <v>155</v>
      </c>
      <c r="B70" s="1" t="s">
        <v>64</v>
      </c>
      <c r="C70" s="290" t="s">
        <v>24</v>
      </c>
      <c r="D70" s="86" t="e">
        <f>#REF!</f>
        <v>#REF!</v>
      </c>
      <c r="E70" s="204"/>
      <c r="F70" s="32"/>
      <c r="G70" s="32"/>
      <c r="H70" s="33"/>
      <c r="I70" s="33"/>
      <c r="J70" s="32"/>
      <c r="K70" s="32"/>
      <c r="L70" s="32"/>
      <c r="M70" s="32"/>
      <c r="N70" s="32"/>
      <c r="O70" s="33"/>
      <c r="P70" s="33"/>
      <c r="Q70" s="32"/>
      <c r="R70" s="32"/>
      <c r="S70" s="32"/>
      <c r="T70" s="32"/>
      <c r="U70" s="32" t="s">
        <v>92</v>
      </c>
      <c r="V70" s="33" t="s">
        <v>95</v>
      </c>
      <c r="W70" s="33" t="s">
        <v>95</v>
      </c>
      <c r="X70" s="32" t="s">
        <v>95</v>
      </c>
      <c r="Y70" s="32" t="s">
        <v>95</v>
      </c>
      <c r="Z70" s="32" t="s">
        <v>95</v>
      </c>
      <c r="AA70" s="32" t="s">
        <v>95</v>
      </c>
      <c r="AB70" s="32" t="s">
        <v>92</v>
      </c>
      <c r="AC70" s="33"/>
      <c r="AD70" s="33"/>
      <c r="AE70" s="32"/>
      <c r="AF70" s="32"/>
      <c r="AG70" s="32"/>
      <c r="AH70" s="32"/>
      <c r="AI70" s="525" t="s">
        <v>92</v>
      </c>
      <c r="AJ70" s="26" t="e">
        <f>_xlfn.CONCAT(#REF!,#REF!)</f>
        <v>#REF!</v>
      </c>
      <c r="AK70" s="27" t="e">
        <f t="shared" si="17"/>
        <v>#REF!</v>
      </c>
      <c r="AL70" s="28">
        <f t="shared" si="13"/>
        <v>0</v>
      </c>
      <c r="AM70">
        <f t="shared" si="14"/>
        <v>180</v>
      </c>
      <c r="AN70" s="29">
        <f t="shared" si="15"/>
        <v>0</v>
      </c>
      <c r="AO70" s="1">
        <f t="shared" si="16"/>
        <v>0</v>
      </c>
    </row>
    <row r="71" spans="1:41" ht="15.9">
      <c r="A71" s="1" t="s">
        <v>152</v>
      </c>
      <c r="B71" s="1" t="s">
        <v>73</v>
      </c>
      <c r="C71" s="291" t="s">
        <v>25</v>
      </c>
      <c r="D71" s="86" t="e">
        <f>#REF!</f>
        <v>#REF!</v>
      </c>
      <c r="E71" s="204" t="s">
        <v>75</v>
      </c>
      <c r="F71" s="32" t="s">
        <v>103</v>
      </c>
      <c r="G71" s="32" t="s">
        <v>75</v>
      </c>
      <c r="H71" s="33" t="s">
        <v>66</v>
      </c>
      <c r="I71" s="33" t="s">
        <v>66</v>
      </c>
      <c r="J71" s="32" t="s">
        <v>75</v>
      </c>
      <c r="K71" s="32" t="s">
        <v>75</v>
      </c>
      <c r="L71" s="32" t="s">
        <v>75</v>
      </c>
      <c r="M71" s="32" t="s">
        <v>75</v>
      </c>
      <c r="N71" s="32"/>
      <c r="O71" s="33"/>
      <c r="P71" s="33" t="s">
        <v>301</v>
      </c>
      <c r="Q71" s="32"/>
      <c r="R71" s="32">
        <v>8</v>
      </c>
      <c r="S71" s="32" t="s">
        <v>98</v>
      </c>
      <c r="T71" s="32" t="s">
        <v>98</v>
      </c>
      <c r="U71" s="32">
        <v>15</v>
      </c>
      <c r="V71" s="33"/>
      <c r="W71" s="33"/>
      <c r="X71" s="32"/>
      <c r="Y71" s="32"/>
      <c r="Z71" s="32"/>
      <c r="AA71" s="32"/>
      <c r="AB71" s="32"/>
      <c r="AC71" s="33"/>
      <c r="AD71" s="33"/>
      <c r="AE71" s="32"/>
      <c r="AF71" s="32"/>
      <c r="AG71" s="32"/>
      <c r="AH71" s="32"/>
      <c r="AI71" s="525"/>
      <c r="AJ71" s="26" t="e">
        <f>_xlfn.CONCAT(#REF!,#REF!)</f>
        <v>#REF!</v>
      </c>
      <c r="AK71" s="27" t="e">
        <f t="shared" si="17"/>
        <v>#REF!</v>
      </c>
      <c r="AL71" s="28">
        <f t="shared" si="13"/>
        <v>24</v>
      </c>
      <c r="AM71">
        <f t="shared" si="14"/>
        <v>48</v>
      </c>
      <c r="AN71" s="29">
        <f t="shared" si="15"/>
        <v>71</v>
      </c>
      <c r="AO71" s="1">
        <f t="shared" si="16"/>
        <v>0</v>
      </c>
    </row>
    <row r="72" spans="1:41" ht="15.9">
      <c r="A72" s="1" t="s">
        <v>155</v>
      </c>
      <c r="B72" s="1" t="s">
        <v>59</v>
      </c>
      <c r="C72" s="290" t="s">
        <v>26</v>
      </c>
      <c r="D72" s="86" t="e">
        <f>#REF!</f>
        <v>#REF!</v>
      </c>
      <c r="E72" s="204"/>
      <c r="F72" s="32"/>
      <c r="G72" s="32"/>
      <c r="H72" s="33"/>
      <c r="I72" s="33"/>
      <c r="J72" s="32"/>
      <c r="K72" s="32"/>
      <c r="L72" s="32"/>
      <c r="M72" s="32"/>
      <c r="N72" s="32"/>
      <c r="O72" s="33"/>
      <c r="P72" s="33"/>
      <c r="Q72" s="32"/>
      <c r="R72" s="32"/>
      <c r="S72" s="32" t="s">
        <v>113</v>
      </c>
      <c r="T72" s="32"/>
      <c r="U72" s="32"/>
      <c r="V72" s="33"/>
      <c r="W72" s="33"/>
      <c r="X72" s="32"/>
      <c r="Y72" s="32"/>
      <c r="Z72" s="32"/>
      <c r="AA72" s="32" t="s">
        <v>362</v>
      </c>
      <c r="AB72" s="32"/>
      <c r="AC72" s="33"/>
      <c r="AD72" s="33"/>
      <c r="AE72" s="32"/>
      <c r="AF72" s="32" t="s">
        <v>92</v>
      </c>
      <c r="AG72" s="32" t="s">
        <v>95</v>
      </c>
      <c r="AH72" s="32" t="s">
        <v>95</v>
      </c>
      <c r="AI72" s="525" t="s">
        <v>92</v>
      </c>
      <c r="AJ72" s="26" t="e">
        <f>_xlfn.CONCAT(#REF!,#REF!)</f>
        <v>#REF!</v>
      </c>
      <c r="AK72" s="27" t="e">
        <f t="shared" si="17"/>
        <v>#REF!</v>
      </c>
      <c r="AL72" s="28">
        <f t="shared" si="13"/>
        <v>24</v>
      </c>
      <c r="AM72">
        <f t="shared" si="14"/>
        <v>72</v>
      </c>
      <c r="AN72" s="29">
        <f t="shared" si="15"/>
        <v>0</v>
      </c>
      <c r="AO72" s="1">
        <f t="shared" si="16"/>
        <v>0</v>
      </c>
    </row>
    <row r="73" spans="1:41" ht="15.9">
      <c r="A73" s="1" t="s">
        <v>152</v>
      </c>
      <c r="B73" s="1" t="s">
        <v>73</v>
      </c>
      <c r="C73" s="291" t="s">
        <v>27</v>
      </c>
      <c r="D73" s="86" t="e">
        <f>#REF!</f>
        <v>#REF!</v>
      </c>
      <c r="E73" s="204"/>
      <c r="F73" s="32"/>
      <c r="G73" s="32" t="s">
        <v>75</v>
      </c>
      <c r="H73" s="33" t="s">
        <v>66</v>
      </c>
      <c r="I73" s="33" t="s">
        <v>66</v>
      </c>
      <c r="J73" s="32" t="s">
        <v>75</v>
      </c>
      <c r="K73" s="32"/>
      <c r="L73" s="32"/>
      <c r="M73" s="32"/>
      <c r="N73" s="32"/>
      <c r="O73" s="33"/>
      <c r="P73" s="33"/>
      <c r="Q73" s="32" t="s">
        <v>301</v>
      </c>
      <c r="R73" s="32"/>
      <c r="S73" s="32"/>
      <c r="T73" s="32" t="s">
        <v>75</v>
      </c>
      <c r="U73" s="32" t="s">
        <v>75</v>
      </c>
      <c r="V73" s="33" t="s">
        <v>66</v>
      </c>
      <c r="W73" s="33" t="s">
        <v>66</v>
      </c>
      <c r="X73" s="32" t="s">
        <v>75</v>
      </c>
      <c r="Y73" s="32" t="s">
        <v>75</v>
      </c>
      <c r="Z73" s="32" t="s">
        <v>75</v>
      </c>
      <c r="AA73" s="32" t="s">
        <v>75</v>
      </c>
      <c r="AB73" s="32" t="s">
        <v>75</v>
      </c>
      <c r="AC73" s="33" t="s">
        <v>66</v>
      </c>
      <c r="AD73" s="33" t="s">
        <v>66</v>
      </c>
      <c r="AE73" s="32" t="s">
        <v>75</v>
      </c>
      <c r="AF73" s="32" t="s">
        <v>75</v>
      </c>
      <c r="AG73" s="32" t="s">
        <v>75</v>
      </c>
      <c r="AH73" s="32" t="s">
        <v>75</v>
      </c>
      <c r="AI73" s="525" t="s">
        <v>301</v>
      </c>
      <c r="AJ73" s="26" t="e">
        <f>_xlfn.CONCAT(#REF!,#REF!)</f>
        <v>#REF!</v>
      </c>
      <c r="AK73" s="27" t="e">
        <f t="shared" si="17"/>
        <v>#REF!</v>
      </c>
      <c r="AL73" s="28">
        <f t="shared" si="13"/>
        <v>48</v>
      </c>
      <c r="AM73">
        <f t="shared" si="14"/>
        <v>0</v>
      </c>
      <c r="AN73" s="29">
        <f t="shared" si="15"/>
        <v>104</v>
      </c>
      <c r="AO73" s="1">
        <f t="shared" si="16"/>
        <v>0</v>
      </c>
    </row>
    <row r="74" spans="1:41" ht="15.9">
      <c r="A74" s="1" t="s">
        <v>155</v>
      </c>
      <c r="B74" s="1" t="s">
        <v>93</v>
      </c>
      <c r="C74" s="290" t="s">
        <v>28</v>
      </c>
      <c r="D74" s="86" t="e">
        <f>#REF!</f>
        <v>#REF!</v>
      </c>
      <c r="E74" s="204"/>
      <c r="F74" s="32" t="s">
        <v>361</v>
      </c>
      <c r="G74" s="32"/>
      <c r="H74" s="33"/>
      <c r="I74" s="33"/>
      <c r="J74" s="32"/>
      <c r="K74" s="32"/>
      <c r="L74" s="32"/>
      <c r="M74" s="32"/>
      <c r="N74" s="32"/>
      <c r="O74" s="33"/>
      <c r="P74" s="33"/>
      <c r="Q74" s="32"/>
      <c r="R74" s="32"/>
      <c r="S74" s="32"/>
      <c r="T74" s="32" t="s">
        <v>113</v>
      </c>
      <c r="U74" s="32"/>
      <c r="V74" s="33"/>
      <c r="W74" s="33"/>
      <c r="X74" s="32"/>
      <c r="Y74" s="32"/>
      <c r="Z74" s="32"/>
      <c r="AA74" s="32" t="s">
        <v>362</v>
      </c>
      <c r="AB74" s="32"/>
      <c r="AC74" s="33"/>
      <c r="AD74" s="33"/>
      <c r="AE74" s="32"/>
      <c r="AF74" s="32"/>
      <c r="AG74" s="32"/>
      <c r="AH74" s="32"/>
      <c r="AI74" s="525" t="s">
        <v>92</v>
      </c>
      <c r="AJ74" s="26" t="e">
        <f>_xlfn.CONCAT(#REF!,#REF!)</f>
        <v>#REF!</v>
      </c>
      <c r="AK74" s="27" t="e">
        <f t="shared" si="17"/>
        <v>#REF!</v>
      </c>
      <c r="AL74" s="28">
        <f t="shared" si="13"/>
        <v>24</v>
      </c>
      <c r="AM74">
        <f t="shared" si="14"/>
        <v>12</v>
      </c>
      <c r="AN74" s="29">
        <f t="shared" si="15"/>
        <v>0</v>
      </c>
      <c r="AO74" s="1">
        <f t="shared" si="16"/>
        <v>0</v>
      </c>
    </row>
    <row r="75" spans="1:41" ht="15.9">
      <c r="A75" s="1" t="s">
        <v>152</v>
      </c>
      <c r="B75" s="1" t="s">
        <v>59</v>
      </c>
      <c r="C75" s="291" t="s">
        <v>160</v>
      </c>
      <c r="D75" s="86" t="e">
        <f>#REF!</f>
        <v>#REF!</v>
      </c>
      <c r="E75" s="204"/>
      <c r="F75" s="32" t="s">
        <v>66</v>
      </c>
      <c r="G75" s="32" t="s">
        <v>66</v>
      </c>
      <c r="H75" s="33" t="s">
        <v>66</v>
      </c>
      <c r="I75" s="33" t="s">
        <v>66</v>
      </c>
      <c r="J75" s="32" t="s">
        <v>66</v>
      </c>
      <c r="K75" s="32"/>
      <c r="L75" s="32"/>
      <c r="M75" s="32"/>
      <c r="N75" s="32"/>
      <c r="O75" s="33"/>
      <c r="P75" s="33"/>
      <c r="Q75" s="32"/>
      <c r="R75" s="32"/>
      <c r="S75" s="32" t="s">
        <v>75</v>
      </c>
      <c r="T75" s="32" t="s">
        <v>294</v>
      </c>
      <c r="U75" s="32" t="s">
        <v>294</v>
      </c>
      <c r="V75" s="33"/>
      <c r="W75" s="33"/>
      <c r="X75" s="32" t="s">
        <v>113</v>
      </c>
      <c r="Y75" s="32" t="s">
        <v>259</v>
      </c>
      <c r="Z75" s="32" t="s">
        <v>259</v>
      </c>
      <c r="AA75" s="32" t="s">
        <v>113</v>
      </c>
      <c r="AB75" s="32"/>
      <c r="AC75" s="33"/>
      <c r="AD75" s="33"/>
      <c r="AE75" s="32" t="s">
        <v>362</v>
      </c>
      <c r="AF75" s="32"/>
      <c r="AG75" s="32"/>
      <c r="AH75" s="32"/>
      <c r="AI75" s="525" t="s">
        <v>113</v>
      </c>
      <c r="AJ75" s="26" t="e">
        <f>_xlfn.CONCAT(#REF!,#REF!)</f>
        <v>#REF!</v>
      </c>
      <c r="AK75" s="27" t="e">
        <f t="shared" si="17"/>
        <v>#REF!</v>
      </c>
      <c r="AL75" s="28">
        <f t="shared" si="13"/>
        <v>72</v>
      </c>
      <c r="AM75">
        <f t="shared" si="14"/>
        <v>0</v>
      </c>
      <c r="AN75" s="29">
        <f t="shared" si="15"/>
        <v>24</v>
      </c>
      <c r="AO75" s="1">
        <f t="shared" si="16"/>
        <v>0</v>
      </c>
    </row>
    <row r="76" spans="1:41" ht="15.9">
      <c r="A76" s="1" t="s">
        <v>155</v>
      </c>
      <c r="B76" s="1" t="s">
        <v>73</v>
      </c>
      <c r="C76" s="290" t="s">
        <v>29</v>
      </c>
      <c r="D76" s="86" t="e">
        <f>#REF!</f>
        <v>#REF!</v>
      </c>
      <c r="E76" s="204" t="s">
        <v>75</v>
      </c>
      <c r="F76" s="32" t="s">
        <v>75</v>
      </c>
      <c r="G76" s="32" t="s">
        <v>75</v>
      </c>
      <c r="H76" s="33" t="s">
        <v>66</v>
      </c>
      <c r="I76" s="33" t="s">
        <v>66</v>
      </c>
      <c r="J76" s="32" t="s">
        <v>75</v>
      </c>
      <c r="K76" s="32" t="s">
        <v>75</v>
      </c>
      <c r="L76" s="32" t="s">
        <v>75</v>
      </c>
      <c r="M76" s="32" t="s">
        <v>75</v>
      </c>
      <c r="N76" s="32" t="s">
        <v>75</v>
      </c>
      <c r="O76" s="33" t="s">
        <v>66</v>
      </c>
      <c r="P76" s="33" t="s">
        <v>66</v>
      </c>
      <c r="Q76" s="32" t="s">
        <v>75</v>
      </c>
      <c r="R76" s="32" t="s">
        <v>75</v>
      </c>
      <c r="S76" s="32"/>
      <c r="T76" s="32"/>
      <c r="U76" s="32"/>
      <c r="V76" s="33"/>
      <c r="W76" s="33" t="s">
        <v>301</v>
      </c>
      <c r="X76" s="32"/>
      <c r="Y76" s="32"/>
      <c r="Z76" s="32"/>
      <c r="AA76" s="32" t="s">
        <v>75</v>
      </c>
      <c r="AB76" s="32" t="s">
        <v>75</v>
      </c>
      <c r="AC76" s="33" t="s">
        <v>66</v>
      </c>
      <c r="AD76" s="33" t="s">
        <v>66</v>
      </c>
      <c r="AE76" s="32" t="s">
        <v>75</v>
      </c>
      <c r="AF76" s="32" t="s">
        <v>75</v>
      </c>
      <c r="AG76" s="32" t="s">
        <v>75</v>
      </c>
      <c r="AH76" s="32" t="s">
        <v>75</v>
      </c>
      <c r="AI76" s="525" t="s">
        <v>294</v>
      </c>
      <c r="AJ76" s="26" t="e">
        <f>_xlfn.CONCAT(#REF!,#REF!)</f>
        <v>#REF!</v>
      </c>
      <c r="AK76" s="27" t="e">
        <f t="shared" si="17"/>
        <v>#REF!</v>
      </c>
      <c r="AL76" s="28">
        <f t="shared" si="13"/>
        <v>24</v>
      </c>
      <c r="AM76">
        <f t="shared" si="14"/>
        <v>0</v>
      </c>
      <c r="AN76" s="29">
        <f t="shared" si="15"/>
        <v>136</v>
      </c>
      <c r="AO76" s="1">
        <f t="shared" si="16"/>
        <v>0</v>
      </c>
    </row>
    <row r="77" spans="1:41" ht="15.9">
      <c r="A77" s="1" t="s">
        <v>155</v>
      </c>
      <c r="B77" s="1" t="s">
        <v>59</v>
      </c>
      <c r="C77" s="290" t="s">
        <v>30</v>
      </c>
      <c r="D77" s="86" t="e">
        <f>#REF!</f>
        <v>#REF!</v>
      </c>
      <c r="E77" s="204" t="s">
        <v>95</v>
      </c>
      <c r="F77" s="32" t="s">
        <v>95</v>
      </c>
      <c r="G77" s="32" t="s">
        <v>95</v>
      </c>
      <c r="H77" s="33" t="s">
        <v>95</v>
      </c>
      <c r="I77" s="33" t="s">
        <v>95</v>
      </c>
      <c r="J77" s="32" t="s">
        <v>95</v>
      </c>
      <c r="K77" s="32" t="s">
        <v>92</v>
      </c>
      <c r="L77" s="32"/>
      <c r="M77" s="32"/>
      <c r="N77" s="32"/>
      <c r="O77" s="33"/>
      <c r="P77" s="33"/>
      <c r="Q77" s="32"/>
      <c r="R77" s="32"/>
      <c r="S77" s="32"/>
      <c r="T77" s="32"/>
      <c r="U77" s="32"/>
      <c r="V77" s="33"/>
      <c r="W77" s="33"/>
      <c r="X77" s="32" t="s">
        <v>75</v>
      </c>
      <c r="Y77" s="32" t="s">
        <v>75</v>
      </c>
      <c r="Z77" s="32" t="s">
        <v>75</v>
      </c>
      <c r="AA77" s="32" t="s">
        <v>75</v>
      </c>
      <c r="AB77" s="32" t="s">
        <v>75</v>
      </c>
      <c r="AC77" s="33" t="s">
        <v>66</v>
      </c>
      <c r="AD77" s="33" t="s">
        <v>66</v>
      </c>
      <c r="AE77" s="32" t="s">
        <v>75</v>
      </c>
      <c r="AF77" s="32" t="s">
        <v>75</v>
      </c>
      <c r="AG77" s="32" t="s">
        <v>75</v>
      </c>
      <c r="AH77" s="32" t="s">
        <v>75</v>
      </c>
      <c r="AI77" s="525" t="s">
        <v>92</v>
      </c>
      <c r="AJ77" s="26" t="e">
        <f>_xlfn.CONCAT(#REF!,#REF!)</f>
        <v>#REF!</v>
      </c>
      <c r="AK77" s="27" t="e">
        <f t="shared" si="17"/>
        <v>#REF!</v>
      </c>
      <c r="AL77" s="28">
        <f t="shared" si="13"/>
        <v>0</v>
      </c>
      <c r="AM77">
        <f t="shared" si="14"/>
        <v>168</v>
      </c>
      <c r="AN77" s="29">
        <f t="shared" si="15"/>
        <v>72</v>
      </c>
      <c r="AO77" s="1">
        <f t="shared" si="16"/>
        <v>0</v>
      </c>
    </row>
    <row r="78" spans="1:41" ht="15.9">
      <c r="A78" s="1" t="s">
        <v>155</v>
      </c>
      <c r="B78" s="1" t="s">
        <v>73</v>
      </c>
      <c r="C78" s="290" t="s">
        <v>31</v>
      </c>
      <c r="D78" s="86" t="e">
        <f>#REF!</f>
        <v>#REF!</v>
      </c>
      <c r="E78" s="204"/>
      <c r="F78" s="32" t="s">
        <v>361</v>
      </c>
      <c r="G78" s="32"/>
      <c r="H78" s="33"/>
      <c r="I78" s="33"/>
      <c r="J78" s="32"/>
      <c r="K78" s="32"/>
      <c r="L78" s="32"/>
      <c r="M78" s="32"/>
      <c r="N78" s="32"/>
      <c r="O78" s="33"/>
      <c r="P78" s="33"/>
      <c r="Q78" s="32"/>
      <c r="R78" s="32"/>
      <c r="S78" s="32"/>
      <c r="T78" s="32"/>
      <c r="U78" s="32" t="s">
        <v>92</v>
      </c>
      <c r="V78" s="33" t="s">
        <v>95</v>
      </c>
      <c r="W78" s="33" t="s">
        <v>95</v>
      </c>
      <c r="X78" s="32" t="s">
        <v>95</v>
      </c>
      <c r="Y78" s="32" t="s">
        <v>92</v>
      </c>
      <c r="Z78" s="32"/>
      <c r="AA78" s="32"/>
      <c r="AB78" s="32"/>
      <c r="AC78" s="33"/>
      <c r="AD78" s="33"/>
      <c r="AE78" s="32"/>
      <c r="AF78" s="32"/>
      <c r="AG78" s="32"/>
      <c r="AH78" s="32" t="s">
        <v>362</v>
      </c>
      <c r="AI78" s="525" t="s">
        <v>294</v>
      </c>
      <c r="AJ78" s="26" t="e">
        <f>_xlfn.CONCAT(#REF!,#REF!)</f>
        <v>#REF!</v>
      </c>
      <c r="AK78" s="27" t="e">
        <f t="shared" si="17"/>
        <v>#REF!</v>
      </c>
      <c r="AL78" s="28">
        <f t="shared" si="13"/>
        <v>0</v>
      </c>
      <c r="AM78">
        <f t="shared" si="14"/>
        <v>96</v>
      </c>
      <c r="AN78" s="29">
        <f t="shared" si="15"/>
        <v>8</v>
      </c>
      <c r="AO78" s="1">
        <f t="shared" si="16"/>
        <v>0</v>
      </c>
    </row>
    <row r="79" spans="1:41" ht="15.9">
      <c r="A79" s="1" t="s">
        <v>157</v>
      </c>
      <c r="B79" s="1" t="s">
        <v>64</v>
      </c>
      <c r="C79" s="292" t="s">
        <v>32</v>
      </c>
      <c r="D79" s="86" t="e">
        <f>#REF!</f>
        <v>#REF!</v>
      </c>
      <c r="E79" s="204"/>
      <c r="F79" s="32" t="s">
        <v>301</v>
      </c>
      <c r="G79" s="32"/>
      <c r="H79" s="33"/>
      <c r="I79" s="33"/>
      <c r="J79" s="32" t="s">
        <v>113</v>
      </c>
      <c r="K79" s="32"/>
      <c r="L79" s="32"/>
      <c r="M79" s="32"/>
      <c r="N79" s="32" t="s">
        <v>301</v>
      </c>
      <c r="O79" s="33"/>
      <c r="P79" s="33"/>
      <c r="Q79" s="32"/>
      <c r="R79" s="32" t="s">
        <v>92</v>
      </c>
      <c r="S79" s="32" t="s">
        <v>95</v>
      </c>
      <c r="T79" s="32" t="s">
        <v>95</v>
      </c>
      <c r="U79" s="32" t="s">
        <v>92</v>
      </c>
      <c r="V79" s="33"/>
      <c r="W79" s="33"/>
      <c r="X79" s="32"/>
      <c r="Y79" s="32"/>
      <c r="Z79" s="32"/>
      <c r="AA79" s="32"/>
      <c r="AB79" s="32"/>
      <c r="AC79" s="33" t="s">
        <v>66</v>
      </c>
      <c r="AD79" s="33" t="s">
        <v>66</v>
      </c>
      <c r="AE79" s="32"/>
      <c r="AF79" s="32"/>
      <c r="AG79" s="32"/>
      <c r="AH79" s="32"/>
      <c r="AI79" s="525"/>
      <c r="AJ79" s="26" t="e">
        <f>_xlfn.CONCAT(#REF!,#REF!)</f>
        <v>#REF!</v>
      </c>
      <c r="AK79" s="27" t="e">
        <f t="shared" si="17"/>
        <v>#REF!</v>
      </c>
      <c r="AL79" s="28">
        <f t="shared" si="13"/>
        <v>72</v>
      </c>
      <c r="AM79">
        <f t="shared" si="14"/>
        <v>72</v>
      </c>
      <c r="AN79" s="29">
        <f t="shared" si="15"/>
        <v>0</v>
      </c>
      <c r="AO79" s="1">
        <f t="shared" si="16"/>
        <v>0</v>
      </c>
    </row>
    <row r="80" spans="1:41" ht="15.9">
      <c r="A80" s="1" t="s">
        <v>155</v>
      </c>
      <c r="B80" s="1" t="s">
        <v>73</v>
      </c>
      <c r="C80" s="298" t="s">
        <v>33</v>
      </c>
      <c r="D80" s="86" t="e">
        <f>#REF!</f>
        <v>#REF!</v>
      </c>
      <c r="E80" s="204"/>
      <c r="F80" s="32" t="s">
        <v>361</v>
      </c>
      <c r="G80" s="32"/>
      <c r="H80" s="33"/>
      <c r="I80" s="33"/>
      <c r="J80" s="32" t="s">
        <v>69</v>
      </c>
      <c r="K80" s="32" t="s">
        <v>70</v>
      </c>
      <c r="L80" s="32" t="s">
        <v>70</v>
      </c>
      <c r="M80" s="32" t="s">
        <v>70</v>
      </c>
      <c r="N80" s="32" t="s">
        <v>61</v>
      </c>
      <c r="O80" s="33"/>
      <c r="P80" s="33"/>
      <c r="Q80" s="32"/>
      <c r="R80" s="32"/>
      <c r="S80" s="32"/>
      <c r="T80" s="32"/>
      <c r="U80" s="32" t="s">
        <v>301</v>
      </c>
      <c r="V80" s="33"/>
      <c r="W80" s="33"/>
      <c r="X80" s="32"/>
      <c r="Y80" s="32" t="s">
        <v>92</v>
      </c>
      <c r="Z80" s="32" t="s">
        <v>95</v>
      </c>
      <c r="AA80" s="32" t="s">
        <v>95</v>
      </c>
      <c r="AB80" s="32" t="s">
        <v>92</v>
      </c>
      <c r="AC80" s="33" t="s">
        <v>66</v>
      </c>
      <c r="AD80" s="33" t="s">
        <v>66</v>
      </c>
      <c r="AE80" s="32"/>
      <c r="AF80" s="32" t="s">
        <v>113</v>
      </c>
      <c r="AG80" s="32"/>
      <c r="AH80" s="32"/>
      <c r="AI80" s="525"/>
      <c r="AJ80" s="26" t="e">
        <f>_xlfn.CONCAT(#REF!,#REF!)</f>
        <v>#REF!</v>
      </c>
      <c r="AK80" s="27" t="e">
        <f t="shared" si="17"/>
        <v>#REF!</v>
      </c>
      <c r="AL80" s="28">
        <f t="shared" ref="AL80:AL100" si="18">COUNTIF(E80:AI80,"D")*24+COUNTIF(E80:AI80,"12g")*12+COUNTIF(E80:AI80,"w")*24</f>
        <v>48</v>
      </c>
      <c r="AM80">
        <f t="shared" ref="AM80:AM100" si="19">SUM(COUNTIF(E80:AI80,"k")+COUNTIF(E80:AI80,"s")+COUNTIF(E80:AI80,"wse"))*24+SUM(COUNTIF(E80:AI80,"Pk")+COUNTIF(E80:AI80,"Ps"))*12</f>
        <v>168</v>
      </c>
      <c r="AN80" s="29">
        <f t="shared" ref="AN80:AN100" si="20">SUM(E80:AI80)+COUNTIF(E80:AI80,"uw")*8+COUNTIF(E80:AI80,"us")*8+COUNTIF(E80:AI80,"uz")*8</f>
        <v>0</v>
      </c>
      <c r="AO80" s="1">
        <f t="shared" ref="AO80:AO100" si="21">COUNTIF(E80:AI80,"DT")*8</f>
        <v>0</v>
      </c>
    </row>
    <row r="81" spans="1:41" ht="15.9">
      <c r="A81" s="1" t="s">
        <v>152</v>
      </c>
      <c r="B81" s="1" t="s">
        <v>64</v>
      </c>
      <c r="C81" s="292" t="s">
        <v>34</v>
      </c>
      <c r="D81" s="86" t="e">
        <f>#REF!</f>
        <v>#REF!</v>
      </c>
      <c r="E81" s="204" t="s">
        <v>301</v>
      </c>
      <c r="F81" s="32"/>
      <c r="G81" s="32"/>
      <c r="H81" s="33">
        <v>10</v>
      </c>
      <c r="I81" s="33" t="s">
        <v>99</v>
      </c>
      <c r="J81" s="32">
        <v>20</v>
      </c>
      <c r="K81" s="32"/>
      <c r="L81" s="32"/>
      <c r="M81" s="32"/>
      <c r="N81" s="32"/>
      <c r="O81" s="33" t="s">
        <v>301</v>
      </c>
      <c r="P81" s="33"/>
      <c r="Q81" s="32"/>
      <c r="R81" s="32">
        <v>8</v>
      </c>
      <c r="S81" s="32" t="s">
        <v>98</v>
      </c>
      <c r="T81" s="32" t="s">
        <v>98</v>
      </c>
      <c r="U81" s="32">
        <v>15</v>
      </c>
      <c r="V81" s="33"/>
      <c r="W81" s="33"/>
      <c r="X81" s="32"/>
      <c r="Y81" s="32"/>
      <c r="Z81" s="32"/>
      <c r="AA81" s="32"/>
      <c r="AB81" s="32"/>
      <c r="AC81" s="33"/>
      <c r="AD81" s="33"/>
      <c r="AE81" s="32" t="s">
        <v>362</v>
      </c>
      <c r="AF81" s="32"/>
      <c r="AG81" s="32"/>
      <c r="AH81" s="32" t="s">
        <v>113</v>
      </c>
      <c r="AI81" s="525"/>
      <c r="AJ81" s="26" t="e">
        <f>_xlfn.CONCAT(#REF!,#REF!)</f>
        <v>#REF!</v>
      </c>
      <c r="AK81" s="27" t="e">
        <f t="shared" si="17"/>
        <v>#REF!</v>
      </c>
      <c r="AL81" s="28">
        <f t="shared" si="18"/>
        <v>72</v>
      </c>
      <c r="AM81">
        <f t="shared" si="19"/>
        <v>72</v>
      </c>
      <c r="AN81" s="29">
        <f t="shared" si="20"/>
        <v>53</v>
      </c>
      <c r="AO81" s="1">
        <f t="shared" si="21"/>
        <v>0</v>
      </c>
    </row>
    <row r="82" spans="1:41" ht="15.9">
      <c r="A82" s="1" t="s">
        <v>156</v>
      </c>
      <c r="B82" s="1" t="s">
        <v>64</v>
      </c>
      <c r="C82" s="292" t="s">
        <v>35</v>
      </c>
      <c r="D82" s="86" t="e">
        <f>#REF!</f>
        <v>#REF!</v>
      </c>
      <c r="E82" s="204"/>
      <c r="F82" s="32"/>
      <c r="G82" s="32"/>
      <c r="H82" s="33"/>
      <c r="I82" s="33" t="s">
        <v>113</v>
      </c>
      <c r="J82" s="32"/>
      <c r="K82" s="32"/>
      <c r="L82" s="32"/>
      <c r="M82" s="32"/>
      <c r="N82" s="32" t="s">
        <v>113</v>
      </c>
      <c r="O82" s="33"/>
      <c r="P82" s="33"/>
      <c r="Q82" s="32"/>
      <c r="R82" s="32"/>
      <c r="S82" s="32" t="s">
        <v>98</v>
      </c>
      <c r="T82" s="32" t="s">
        <v>98</v>
      </c>
      <c r="U82" s="32">
        <v>15</v>
      </c>
      <c r="V82" s="33"/>
      <c r="W82" s="33"/>
      <c r="X82" s="32">
        <v>5.5</v>
      </c>
      <c r="Y82" s="32">
        <v>24</v>
      </c>
      <c r="Z82" s="32">
        <v>24</v>
      </c>
      <c r="AA82" s="32"/>
      <c r="AB82" s="32"/>
      <c r="AC82" s="33"/>
      <c r="AD82" s="33"/>
      <c r="AE82" s="32" t="s">
        <v>75</v>
      </c>
      <c r="AF82" s="32" t="s">
        <v>75</v>
      </c>
      <c r="AG82" s="32" t="s">
        <v>75</v>
      </c>
      <c r="AH82" s="32" t="s">
        <v>75</v>
      </c>
      <c r="AI82" s="525"/>
      <c r="AJ82" s="26" t="e">
        <f>_xlfn.CONCAT(#REF!,#REF!)</f>
        <v>#REF!</v>
      </c>
      <c r="AK82" s="27" t="e">
        <f t="shared" si="17"/>
        <v>#REF!</v>
      </c>
      <c r="AL82" s="28">
        <f t="shared" si="18"/>
        <v>48</v>
      </c>
      <c r="AM82">
        <f t="shared" si="19"/>
        <v>48</v>
      </c>
      <c r="AN82" s="29">
        <f t="shared" si="20"/>
        <v>100.5</v>
      </c>
      <c r="AO82" s="1">
        <f t="shared" si="21"/>
        <v>0</v>
      </c>
    </row>
    <row r="83" spans="1:41" ht="15.9">
      <c r="A83" s="1" t="s">
        <v>156</v>
      </c>
      <c r="B83" s="1" t="s">
        <v>59</v>
      </c>
      <c r="C83" s="292" t="s">
        <v>36</v>
      </c>
      <c r="D83" s="86" t="e">
        <f>#REF!</f>
        <v>#REF!</v>
      </c>
      <c r="E83" s="204"/>
      <c r="F83" s="32"/>
      <c r="G83" s="32" t="s">
        <v>75</v>
      </c>
      <c r="H83" s="33" t="s">
        <v>66</v>
      </c>
      <c r="I83" s="33" t="s">
        <v>66</v>
      </c>
      <c r="J83" s="32" t="s">
        <v>75</v>
      </c>
      <c r="K83" s="32" t="s">
        <v>75</v>
      </c>
      <c r="L83" s="32" t="s">
        <v>75</v>
      </c>
      <c r="M83" s="32" t="s">
        <v>75</v>
      </c>
      <c r="N83" s="32" t="s">
        <v>75</v>
      </c>
      <c r="O83" s="33" t="s">
        <v>66</v>
      </c>
      <c r="P83" s="33" t="s">
        <v>66</v>
      </c>
      <c r="Q83" s="32" t="s">
        <v>75</v>
      </c>
      <c r="R83" s="32" t="s">
        <v>75</v>
      </c>
      <c r="S83" s="32" t="s">
        <v>75</v>
      </c>
      <c r="T83" s="32" t="s">
        <v>75</v>
      </c>
      <c r="U83" s="32" t="s">
        <v>75</v>
      </c>
      <c r="V83" s="33" t="s">
        <v>66</v>
      </c>
      <c r="W83" s="33" t="s">
        <v>66</v>
      </c>
      <c r="X83" s="32" t="s">
        <v>75</v>
      </c>
      <c r="Y83" s="32" t="s">
        <v>75</v>
      </c>
      <c r="Z83" s="32" t="s">
        <v>75</v>
      </c>
      <c r="AA83" s="32"/>
      <c r="AB83" s="32"/>
      <c r="AC83" s="33"/>
      <c r="AD83" s="33"/>
      <c r="AE83" s="32"/>
      <c r="AF83" s="32" t="s">
        <v>301</v>
      </c>
      <c r="AG83" s="32"/>
      <c r="AH83" s="32" t="s">
        <v>362</v>
      </c>
      <c r="AI83" s="525" t="s">
        <v>92</v>
      </c>
      <c r="AJ83" s="26" t="e">
        <f>_xlfn.CONCAT(#REF!,#REF!)</f>
        <v>#REF!</v>
      </c>
      <c r="AK83" s="27" t="e">
        <f t="shared" si="17"/>
        <v>#REF!</v>
      </c>
      <c r="AL83" s="28">
        <f t="shared" si="18"/>
        <v>24</v>
      </c>
      <c r="AM83">
        <f t="shared" si="19"/>
        <v>12</v>
      </c>
      <c r="AN83" s="29">
        <f t="shared" si="20"/>
        <v>112</v>
      </c>
      <c r="AO83" s="1">
        <f t="shared" si="21"/>
        <v>0</v>
      </c>
    </row>
    <row r="84" spans="1:41" ht="15.9">
      <c r="A84" s="1" t="s">
        <v>152</v>
      </c>
      <c r="B84" s="1" t="s">
        <v>93</v>
      </c>
      <c r="C84" s="291" t="s">
        <v>37</v>
      </c>
      <c r="D84" s="86" t="e">
        <f>#REF!</f>
        <v>#REF!</v>
      </c>
      <c r="E84" s="204" t="s">
        <v>75</v>
      </c>
      <c r="F84" s="32" t="s">
        <v>75</v>
      </c>
      <c r="G84" s="32" t="s">
        <v>75</v>
      </c>
      <c r="H84" s="33">
        <v>10</v>
      </c>
      <c r="I84" s="33" t="s">
        <v>98</v>
      </c>
      <c r="J84" s="32">
        <v>20</v>
      </c>
      <c r="K84" s="32"/>
      <c r="L84" s="32"/>
      <c r="M84" s="32"/>
      <c r="N84" s="32"/>
      <c r="O84" s="33"/>
      <c r="P84" s="33"/>
      <c r="Q84" s="32"/>
      <c r="R84" s="32">
        <v>8</v>
      </c>
      <c r="S84" s="32" t="s">
        <v>98</v>
      </c>
      <c r="T84" s="32" t="s">
        <v>98</v>
      </c>
      <c r="U84" s="32">
        <v>15</v>
      </c>
      <c r="V84" s="33"/>
      <c r="W84" s="33"/>
      <c r="X84" s="32"/>
      <c r="Y84" s="32"/>
      <c r="Z84" s="32"/>
      <c r="AA84" s="32"/>
      <c r="AB84" s="32"/>
      <c r="AC84" s="33"/>
      <c r="AD84" s="33"/>
      <c r="AE84" s="32"/>
      <c r="AF84" s="32"/>
      <c r="AG84" s="32"/>
      <c r="AH84" s="32"/>
      <c r="AI84" s="525" t="s">
        <v>294</v>
      </c>
      <c r="AJ84" s="26" t="e">
        <f>_xlfn.CONCAT(#REF!,#REF!)</f>
        <v>#REF!</v>
      </c>
      <c r="AK84" s="27" t="e">
        <f t="shared" si="17"/>
        <v>#REF!</v>
      </c>
      <c r="AL84" s="28">
        <f t="shared" si="18"/>
        <v>0</v>
      </c>
      <c r="AM84">
        <f t="shared" si="19"/>
        <v>72</v>
      </c>
      <c r="AN84" s="29">
        <f t="shared" si="20"/>
        <v>85</v>
      </c>
      <c r="AO84" s="1">
        <f t="shared" si="21"/>
        <v>0</v>
      </c>
    </row>
    <row r="85" spans="1:41" ht="15.9">
      <c r="A85" s="1" t="s">
        <v>152</v>
      </c>
      <c r="B85" s="1" t="s">
        <v>64</v>
      </c>
      <c r="C85" s="291" t="s">
        <v>38</v>
      </c>
      <c r="D85" s="86" t="e">
        <f>#REF!</f>
        <v>#REF!</v>
      </c>
      <c r="E85" s="204" t="s">
        <v>95</v>
      </c>
      <c r="F85" s="32" t="s">
        <v>95</v>
      </c>
      <c r="G85" s="32" t="s">
        <v>95</v>
      </c>
      <c r="H85" s="33" t="s">
        <v>95</v>
      </c>
      <c r="I85" s="33" t="s">
        <v>95</v>
      </c>
      <c r="J85" s="32" t="s">
        <v>95</v>
      </c>
      <c r="K85" s="32" t="s">
        <v>92</v>
      </c>
      <c r="L85" s="32"/>
      <c r="M85" s="32"/>
      <c r="N85" s="32"/>
      <c r="O85" s="33"/>
      <c r="P85" s="33"/>
      <c r="Q85" s="32"/>
      <c r="R85" s="32">
        <v>8</v>
      </c>
      <c r="S85" s="32" t="s">
        <v>98</v>
      </c>
      <c r="T85" s="32" t="s">
        <v>98</v>
      </c>
      <c r="U85" s="32">
        <v>15</v>
      </c>
      <c r="V85" s="33"/>
      <c r="W85" s="33"/>
      <c r="X85" s="32"/>
      <c r="Y85" s="32"/>
      <c r="Z85" s="32" t="s">
        <v>301</v>
      </c>
      <c r="AA85" s="32"/>
      <c r="AB85" s="32"/>
      <c r="AC85" s="33"/>
      <c r="AD85" s="33"/>
      <c r="AE85" s="32"/>
      <c r="AF85" s="32"/>
      <c r="AG85" s="32"/>
      <c r="AH85" s="32"/>
      <c r="AI85" s="525" t="s">
        <v>92</v>
      </c>
      <c r="AJ85" s="26" t="e">
        <f>_xlfn.CONCAT(#REF!,#REF!)</f>
        <v>#REF!</v>
      </c>
      <c r="AK85" s="27" t="e">
        <f t="shared" si="17"/>
        <v>#REF!</v>
      </c>
      <c r="AL85" s="28">
        <f t="shared" si="18"/>
        <v>24</v>
      </c>
      <c r="AM85">
        <f t="shared" si="19"/>
        <v>216</v>
      </c>
      <c r="AN85" s="29">
        <f t="shared" si="20"/>
        <v>23</v>
      </c>
      <c r="AO85" s="1">
        <f t="shared" si="21"/>
        <v>0</v>
      </c>
    </row>
    <row r="86" spans="1:41" ht="15.9">
      <c r="A86" s="1" t="s">
        <v>58</v>
      </c>
      <c r="B86" s="1" t="s">
        <v>64</v>
      </c>
      <c r="C86" s="203" t="s">
        <v>161</v>
      </c>
      <c r="D86" s="86" t="e">
        <f>#REF!</f>
        <v>#REF!</v>
      </c>
      <c r="E86" s="204"/>
      <c r="F86" s="32">
        <v>8</v>
      </c>
      <c r="G86" s="32">
        <v>8</v>
      </c>
      <c r="H86" s="33"/>
      <c r="I86" s="33"/>
      <c r="J86" s="32"/>
      <c r="K86" s="32" t="s">
        <v>113</v>
      </c>
      <c r="L86" s="32"/>
      <c r="M86" s="32">
        <v>8</v>
      </c>
      <c r="N86" s="32">
        <v>8</v>
      </c>
      <c r="O86" s="33"/>
      <c r="P86" s="33"/>
      <c r="Q86" s="32"/>
      <c r="R86" s="32" t="s">
        <v>92</v>
      </c>
      <c r="S86" s="32" t="s">
        <v>95</v>
      </c>
      <c r="T86" s="32" t="s">
        <v>95</v>
      </c>
      <c r="U86" s="32" t="s">
        <v>92</v>
      </c>
      <c r="V86" s="33"/>
      <c r="W86" s="33"/>
      <c r="X86" s="32"/>
      <c r="Y86" s="32"/>
      <c r="Z86" s="32"/>
      <c r="AA86" s="32"/>
      <c r="AB86" s="32" t="s">
        <v>92</v>
      </c>
      <c r="AC86" s="33" t="s">
        <v>95</v>
      </c>
      <c r="AD86" s="33" t="s">
        <v>95</v>
      </c>
      <c r="AE86" s="32" t="s">
        <v>95</v>
      </c>
      <c r="AF86" s="32" t="s">
        <v>92</v>
      </c>
      <c r="AG86" s="32"/>
      <c r="AH86" s="32"/>
      <c r="AI86" s="525"/>
      <c r="AJ86" s="26" t="e">
        <f>_xlfn.CONCAT(#REF!,Tabela13[[#This Row],[FUNKCJONARIUSZ]])</f>
        <v>#REF!</v>
      </c>
      <c r="AK86" s="27" t="e">
        <f t="shared" si="17"/>
        <v>#REF!</v>
      </c>
      <c r="AL86" s="28">
        <f t="shared" si="18"/>
        <v>24</v>
      </c>
      <c r="AM86">
        <f t="shared" si="19"/>
        <v>168</v>
      </c>
      <c r="AN86" s="29">
        <f t="shared" si="20"/>
        <v>32</v>
      </c>
      <c r="AO86" s="1">
        <f t="shared" si="21"/>
        <v>0</v>
      </c>
    </row>
    <row r="87" spans="1:41" ht="15.9">
      <c r="A87" s="1" t="s">
        <v>155</v>
      </c>
      <c r="B87" s="1" t="s">
        <v>93</v>
      </c>
      <c r="C87" s="290" t="s">
        <v>39</v>
      </c>
      <c r="D87" s="86" t="e">
        <f>#REF!</f>
        <v>#REF!</v>
      </c>
      <c r="E87" s="204" t="s">
        <v>101</v>
      </c>
      <c r="F87" s="32" t="s">
        <v>101</v>
      </c>
      <c r="G87" s="32" t="s">
        <v>101</v>
      </c>
      <c r="H87" s="32" t="s">
        <v>101</v>
      </c>
      <c r="I87" s="32" t="s">
        <v>101</v>
      </c>
      <c r="J87" s="32" t="s">
        <v>101</v>
      </c>
      <c r="K87" s="32" t="s">
        <v>101</v>
      </c>
      <c r="L87" s="32" t="s">
        <v>101</v>
      </c>
      <c r="M87" s="32" t="s">
        <v>101</v>
      </c>
      <c r="N87" s="32" t="s">
        <v>101</v>
      </c>
      <c r="O87" s="32" t="s">
        <v>101</v>
      </c>
      <c r="P87" s="32" t="s">
        <v>101</v>
      </c>
      <c r="Q87" s="32" t="s">
        <v>101</v>
      </c>
      <c r="R87" s="32" t="s">
        <v>101</v>
      </c>
      <c r="S87" s="32" t="s">
        <v>101</v>
      </c>
      <c r="T87" s="32" t="s">
        <v>101</v>
      </c>
      <c r="U87" s="32" t="s">
        <v>101</v>
      </c>
      <c r="V87" s="32" t="s">
        <v>101</v>
      </c>
      <c r="W87" s="32" t="s">
        <v>101</v>
      </c>
      <c r="X87" s="32" t="s">
        <v>101</v>
      </c>
      <c r="Y87" s="32" t="s">
        <v>101</v>
      </c>
      <c r="Z87" s="32" t="s">
        <v>101</v>
      </c>
      <c r="AA87" s="32" t="s">
        <v>101</v>
      </c>
      <c r="AB87" s="32" t="s">
        <v>101</v>
      </c>
      <c r="AC87" s="32" t="s">
        <v>101</v>
      </c>
      <c r="AD87" s="32" t="s">
        <v>101</v>
      </c>
      <c r="AE87" s="32" t="s">
        <v>101</v>
      </c>
      <c r="AF87" s="32" t="s">
        <v>101</v>
      </c>
      <c r="AG87" s="32" t="s">
        <v>101</v>
      </c>
      <c r="AH87" s="32" t="s">
        <v>101</v>
      </c>
      <c r="AI87" s="525" t="s">
        <v>66</v>
      </c>
      <c r="AJ87" s="26" t="e">
        <f>_xlfn.CONCAT(#REF!,#REF!)</f>
        <v>#REF!</v>
      </c>
      <c r="AK87" s="27">
        <v>0</v>
      </c>
      <c r="AL87" s="28">
        <f t="shared" si="18"/>
        <v>0</v>
      </c>
      <c r="AM87">
        <f t="shared" si="19"/>
        <v>0</v>
      </c>
      <c r="AN87" s="29">
        <f t="shared" si="20"/>
        <v>0</v>
      </c>
      <c r="AO87" s="1">
        <f t="shared" si="21"/>
        <v>0</v>
      </c>
    </row>
    <row r="88" spans="1:41" ht="15.9">
      <c r="A88" s="1" t="s">
        <v>155</v>
      </c>
      <c r="B88" s="1" t="s">
        <v>64</v>
      </c>
      <c r="C88" s="290" t="s">
        <v>40</v>
      </c>
      <c r="D88" s="86" t="e">
        <f>#REF!</f>
        <v>#REF!</v>
      </c>
      <c r="E88" s="204" t="s">
        <v>75</v>
      </c>
      <c r="F88" s="32" t="s">
        <v>75</v>
      </c>
      <c r="G88" s="32" t="s">
        <v>75</v>
      </c>
      <c r="H88" s="33" t="s">
        <v>66</v>
      </c>
      <c r="I88" s="33" t="s">
        <v>66</v>
      </c>
      <c r="J88" s="32" t="s">
        <v>75</v>
      </c>
      <c r="K88" s="32" t="s">
        <v>75</v>
      </c>
      <c r="L88" s="32" t="s">
        <v>75</v>
      </c>
      <c r="M88" s="32" t="s">
        <v>75</v>
      </c>
      <c r="N88" s="32" t="s">
        <v>75</v>
      </c>
      <c r="O88" s="33"/>
      <c r="P88" s="33"/>
      <c r="Q88" s="32"/>
      <c r="R88" s="32" t="s">
        <v>101</v>
      </c>
      <c r="S88" s="32" t="s">
        <v>101</v>
      </c>
      <c r="T88" s="32" t="s">
        <v>101</v>
      </c>
      <c r="U88" s="32" t="s">
        <v>101</v>
      </c>
      <c r="V88" s="33"/>
      <c r="W88" s="33" t="s">
        <v>113</v>
      </c>
      <c r="X88" s="32"/>
      <c r="Y88" s="32"/>
      <c r="Z88" s="32"/>
      <c r="AA88" s="32" t="s">
        <v>362</v>
      </c>
      <c r="AB88" s="32"/>
      <c r="AC88" s="33"/>
      <c r="AD88" s="33"/>
      <c r="AE88" s="32"/>
      <c r="AF88" s="32" t="s">
        <v>92</v>
      </c>
      <c r="AG88" s="32" t="s">
        <v>95</v>
      </c>
      <c r="AH88" s="32" t="s">
        <v>95</v>
      </c>
      <c r="AI88" s="525" t="s">
        <v>294</v>
      </c>
      <c r="AJ88" s="26" t="e">
        <f>_xlfn.CONCAT(#REF!,#REF!)</f>
        <v>#REF!</v>
      </c>
      <c r="AK88" s="27" t="e">
        <f t="shared" ref="AK88:AK100" si="22">D88+AL88+AM88+AN88-$AK$47+AO88+AP88</f>
        <v>#REF!</v>
      </c>
      <c r="AL88" s="28">
        <f t="shared" si="18"/>
        <v>24</v>
      </c>
      <c r="AM88">
        <f t="shared" si="19"/>
        <v>60</v>
      </c>
      <c r="AN88" s="29">
        <f t="shared" si="20"/>
        <v>72</v>
      </c>
      <c r="AO88" s="1">
        <f t="shared" si="21"/>
        <v>0</v>
      </c>
    </row>
    <row r="89" spans="1:41" ht="15.9">
      <c r="A89" s="1" t="s">
        <v>155</v>
      </c>
      <c r="B89" s="1" t="s">
        <v>93</v>
      </c>
      <c r="C89" s="290" t="s">
        <v>42</v>
      </c>
      <c r="D89" s="86" t="e">
        <f>#REF!</f>
        <v>#REF!</v>
      </c>
      <c r="E89" s="204" t="s">
        <v>75</v>
      </c>
      <c r="F89" s="32" t="s">
        <v>75</v>
      </c>
      <c r="G89" s="32" t="s">
        <v>75</v>
      </c>
      <c r="H89" s="33" t="s">
        <v>66</v>
      </c>
      <c r="I89" s="33" t="s">
        <v>66</v>
      </c>
      <c r="J89" s="32" t="s">
        <v>75</v>
      </c>
      <c r="K89" s="32" t="s">
        <v>75</v>
      </c>
      <c r="L89" s="32" t="s">
        <v>75</v>
      </c>
      <c r="M89" s="32" t="s">
        <v>75</v>
      </c>
      <c r="N89" s="32" t="s">
        <v>75</v>
      </c>
      <c r="O89" s="33" t="s">
        <v>66</v>
      </c>
      <c r="P89" s="33" t="s">
        <v>66</v>
      </c>
      <c r="Q89" s="32" t="s">
        <v>75</v>
      </c>
      <c r="R89" s="32" t="s">
        <v>75</v>
      </c>
      <c r="S89" s="32"/>
      <c r="T89" s="32"/>
      <c r="U89" s="32" t="s">
        <v>92</v>
      </c>
      <c r="V89" s="33" t="s">
        <v>95</v>
      </c>
      <c r="W89" s="33" t="s">
        <v>95</v>
      </c>
      <c r="X89" s="32" t="s">
        <v>95</v>
      </c>
      <c r="Y89" s="32" t="s">
        <v>92</v>
      </c>
      <c r="Z89" s="32"/>
      <c r="AA89" s="32"/>
      <c r="AB89" s="32"/>
      <c r="AC89" s="33"/>
      <c r="AD89" s="33"/>
      <c r="AE89" s="32" t="s">
        <v>362</v>
      </c>
      <c r="AF89" s="32"/>
      <c r="AG89" s="32"/>
      <c r="AH89" s="32"/>
      <c r="AI89" s="525"/>
      <c r="AJ89" s="26" t="e">
        <f>_xlfn.CONCAT(#REF!,#REF!)</f>
        <v>#REF!</v>
      </c>
      <c r="AK89" s="27" t="e">
        <f t="shared" si="22"/>
        <v>#REF!</v>
      </c>
      <c r="AL89" s="28">
        <f t="shared" si="18"/>
        <v>0</v>
      </c>
      <c r="AM89">
        <f t="shared" si="19"/>
        <v>96</v>
      </c>
      <c r="AN89" s="29">
        <f t="shared" si="20"/>
        <v>80</v>
      </c>
      <c r="AO89" s="1">
        <f t="shared" si="21"/>
        <v>0</v>
      </c>
    </row>
    <row r="90" spans="1:41" ht="15.9">
      <c r="A90" s="1" t="s">
        <v>155</v>
      </c>
      <c r="B90" s="1" t="s">
        <v>73</v>
      </c>
      <c r="C90" s="290" t="s">
        <v>43</v>
      </c>
      <c r="D90" s="86" t="e">
        <f>#REF!</f>
        <v>#REF!</v>
      </c>
      <c r="E90" s="204"/>
      <c r="F90" s="32" t="s">
        <v>361</v>
      </c>
      <c r="G90" s="32"/>
      <c r="H90" s="33"/>
      <c r="I90" s="33"/>
      <c r="J90" s="32"/>
      <c r="K90" s="32" t="s">
        <v>113</v>
      </c>
      <c r="L90" s="32"/>
      <c r="M90" s="32"/>
      <c r="N90" s="32"/>
      <c r="O90" s="33"/>
      <c r="P90" s="33"/>
      <c r="Q90" s="32"/>
      <c r="R90" s="32" t="s">
        <v>92</v>
      </c>
      <c r="S90" s="32" t="s">
        <v>95</v>
      </c>
      <c r="T90" s="32" t="s">
        <v>95</v>
      </c>
      <c r="U90" s="32" t="s">
        <v>92</v>
      </c>
      <c r="V90" s="33"/>
      <c r="W90" s="33"/>
      <c r="X90" s="32" t="s">
        <v>75</v>
      </c>
      <c r="Y90" s="32" t="s">
        <v>75</v>
      </c>
      <c r="Z90" s="32" t="s">
        <v>75</v>
      </c>
      <c r="AA90" s="32"/>
      <c r="AB90" s="32"/>
      <c r="AC90" s="33"/>
      <c r="AD90" s="33"/>
      <c r="AE90" s="32"/>
      <c r="AF90" s="32"/>
      <c r="AG90" s="32"/>
      <c r="AH90" s="32"/>
      <c r="AI90" s="525"/>
      <c r="AJ90" s="26" t="e">
        <f>_xlfn.CONCAT(#REF!,#REF!)</f>
        <v>#REF!</v>
      </c>
      <c r="AK90" s="27" t="e">
        <f t="shared" si="22"/>
        <v>#REF!</v>
      </c>
      <c r="AL90" s="28">
        <f t="shared" si="18"/>
        <v>24</v>
      </c>
      <c r="AM90">
        <f t="shared" si="19"/>
        <v>72</v>
      </c>
      <c r="AN90" s="29">
        <f t="shared" si="20"/>
        <v>24</v>
      </c>
      <c r="AO90" s="1">
        <f t="shared" si="21"/>
        <v>0</v>
      </c>
    </row>
    <row r="91" spans="1:41" ht="15.9">
      <c r="A91" s="1" t="s">
        <v>152</v>
      </c>
      <c r="B91" s="1" t="s">
        <v>64</v>
      </c>
      <c r="C91" s="291" t="s">
        <v>44</v>
      </c>
      <c r="D91" s="86" t="e">
        <f>#REF!</f>
        <v>#REF!</v>
      </c>
      <c r="E91" s="204"/>
      <c r="F91" s="32"/>
      <c r="G91" s="32"/>
      <c r="H91" s="33">
        <v>10</v>
      </c>
      <c r="I91" s="33" t="s">
        <v>98</v>
      </c>
      <c r="J91" s="32">
        <v>20</v>
      </c>
      <c r="K91" s="32"/>
      <c r="L91" s="32"/>
      <c r="M91" s="32"/>
      <c r="N91" s="32"/>
      <c r="O91" s="33"/>
      <c r="P91" s="33"/>
      <c r="Q91" s="32"/>
      <c r="R91" s="32">
        <v>8</v>
      </c>
      <c r="S91" s="32" t="s">
        <v>98</v>
      </c>
      <c r="T91" s="32" t="s">
        <v>98</v>
      </c>
      <c r="U91" s="32">
        <v>15</v>
      </c>
      <c r="V91" s="33"/>
      <c r="W91" s="33"/>
      <c r="X91" s="32"/>
      <c r="Y91" s="32"/>
      <c r="Z91" s="32"/>
      <c r="AA91" s="32"/>
      <c r="AB91" s="32"/>
      <c r="AC91" s="33"/>
      <c r="AD91" s="33"/>
      <c r="AE91" s="32" t="s">
        <v>301</v>
      </c>
      <c r="AF91" s="32"/>
      <c r="AG91" s="32"/>
      <c r="AH91" s="32"/>
      <c r="AI91" s="525" t="s">
        <v>75</v>
      </c>
      <c r="AJ91" s="26" t="e">
        <f>_xlfn.CONCAT(#REF!,#REF!)</f>
        <v>#REF!</v>
      </c>
      <c r="AK91" s="27" t="e">
        <f t="shared" si="22"/>
        <v>#REF!</v>
      </c>
      <c r="AL91" s="28">
        <f t="shared" si="18"/>
        <v>24</v>
      </c>
      <c r="AM91">
        <f t="shared" si="19"/>
        <v>72</v>
      </c>
      <c r="AN91" s="29">
        <f t="shared" si="20"/>
        <v>61</v>
      </c>
      <c r="AO91" s="1">
        <f t="shared" si="21"/>
        <v>0</v>
      </c>
    </row>
    <row r="92" spans="1:41" ht="15.9">
      <c r="A92" s="1" t="s">
        <v>152</v>
      </c>
      <c r="B92" s="1" t="s">
        <v>93</v>
      </c>
      <c r="C92" s="203" t="s">
        <v>162</v>
      </c>
      <c r="D92" s="86" t="e">
        <f>#REF!</f>
        <v>#REF!</v>
      </c>
      <c r="E92" s="204"/>
      <c r="F92" s="32"/>
      <c r="G92" s="32"/>
      <c r="H92" s="33">
        <v>10</v>
      </c>
      <c r="I92" s="33" t="s">
        <v>99</v>
      </c>
      <c r="J92" s="32">
        <v>20</v>
      </c>
      <c r="K92" s="32"/>
      <c r="L92" s="32"/>
      <c r="M92" s="32"/>
      <c r="N92" s="32"/>
      <c r="O92" s="33"/>
      <c r="P92" s="33"/>
      <c r="Q92" s="32"/>
      <c r="R92" s="32"/>
      <c r="S92" s="32" t="s">
        <v>103</v>
      </c>
      <c r="T92" s="32"/>
      <c r="U92" s="32"/>
      <c r="V92" s="33"/>
      <c r="W92" s="33"/>
      <c r="X92" s="32"/>
      <c r="Y92" s="32"/>
      <c r="Z92" s="32" t="s">
        <v>242</v>
      </c>
      <c r="AA92" s="32" t="s">
        <v>362</v>
      </c>
      <c r="AB92" s="32"/>
      <c r="AC92" s="33"/>
      <c r="AD92" s="33"/>
      <c r="AE92" s="32" t="s">
        <v>69</v>
      </c>
      <c r="AF92" s="32" t="s">
        <v>70</v>
      </c>
      <c r="AG92" s="32" t="s">
        <v>70</v>
      </c>
      <c r="AH92" s="32" t="s">
        <v>70</v>
      </c>
      <c r="AI92" s="525" t="s">
        <v>294</v>
      </c>
      <c r="AJ92" s="26" t="e">
        <f>_xlfn.CONCAT(#REF!,Tabela13[[#This Row],[FUNKCJONARIUSZ]])</f>
        <v>#REF!</v>
      </c>
      <c r="AK92" s="27" t="e">
        <f t="shared" si="22"/>
        <v>#REF!</v>
      </c>
      <c r="AL92" s="28">
        <f t="shared" si="18"/>
        <v>0</v>
      </c>
      <c r="AM92">
        <f t="shared" si="19"/>
        <v>108</v>
      </c>
      <c r="AN92" s="29">
        <f t="shared" si="20"/>
        <v>38</v>
      </c>
      <c r="AO92" s="1">
        <f t="shared" si="21"/>
        <v>0</v>
      </c>
    </row>
    <row r="93" spans="1:41" ht="15.9">
      <c r="A93" s="1" t="s">
        <v>152</v>
      </c>
      <c r="B93" s="1" t="s">
        <v>73</v>
      </c>
      <c r="C93" s="291" t="s">
        <v>163</v>
      </c>
      <c r="D93" s="86" t="e">
        <f>#REF!</f>
        <v>#REF!</v>
      </c>
      <c r="E93" s="204"/>
      <c r="F93" s="32" t="s">
        <v>361</v>
      </c>
      <c r="G93" s="32"/>
      <c r="H93" s="33">
        <v>10</v>
      </c>
      <c r="I93" s="33" t="s">
        <v>98</v>
      </c>
      <c r="J93" s="32">
        <v>20</v>
      </c>
      <c r="K93" s="32"/>
      <c r="L93" s="32"/>
      <c r="M93" s="32"/>
      <c r="N93" s="32"/>
      <c r="O93" s="33"/>
      <c r="P93" s="33"/>
      <c r="Q93" s="32"/>
      <c r="R93" s="32">
        <v>8</v>
      </c>
      <c r="S93" s="32" t="s">
        <v>98</v>
      </c>
      <c r="T93" s="32" t="s">
        <v>98</v>
      </c>
      <c r="U93" s="32">
        <v>15</v>
      </c>
      <c r="V93" s="33"/>
      <c r="W93" s="33"/>
      <c r="X93" s="32"/>
      <c r="Y93" s="32"/>
      <c r="Z93" s="32"/>
      <c r="AA93" s="32"/>
      <c r="AB93" s="32"/>
      <c r="AC93" s="33"/>
      <c r="AD93" s="33"/>
      <c r="AE93" s="32"/>
      <c r="AF93" s="32"/>
      <c r="AG93" s="32"/>
      <c r="AH93" s="32" t="s">
        <v>362</v>
      </c>
      <c r="AI93" s="525"/>
      <c r="AJ93" s="26" t="e">
        <f>_xlfn.CONCAT(#REF!,#REF!)</f>
        <v>#REF!</v>
      </c>
      <c r="AK93" s="27" t="e">
        <f t="shared" si="22"/>
        <v>#REF!</v>
      </c>
      <c r="AL93" s="28">
        <f t="shared" si="18"/>
        <v>0</v>
      </c>
      <c r="AM93">
        <f t="shared" si="19"/>
        <v>72</v>
      </c>
      <c r="AN93" s="29">
        <f t="shared" si="20"/>
        <v>53</v>
      </c>
      <c r="AO93" s="1">
        <f t="shared" si="21"/>
        <v>0</v>
      </c>
    </row>
    <row r="94" spans="1:41" ht="15.9">
      <c r="A94" s="1" t="s">
        <v>152</v>
      </c>
      <c r="B94" s="1" t="s">
        <v>64</v>
      </c>
      <c r="C94" s="291" t="s">
        <v>45</v>
      </c>
      <c r="D94" s="86" t="e">
        <f>#REF!</f>
        <v>#REF!</v>
      </c>
      <c r="E94" s="204" t="s">
        <v>75</v>
      </c>
      <c r="F94" s="32" t="s">
        <v>75</v>
      </c>
      <c r="G94" s="32" t="s">
        <v>75</v>
      </c>
      <c r="H94" s="33" t="s">
        <v>66</v>
      </c>
      <c r="I94" s="33" t="s">
        <v>66</v>
      </c>
      <c r="J94" s="32" t="s">
        <v>75</v>
      </c>
      <c r="K94" s="32" t="s">
        <v>75</v>
      </c>
      <c r="L94" s="32" t="s">
        <v>75</v>
      </c>
      <c r="M94" s="32" t="s">
        <v>75</v>
      </c>
      <c r="N94" s="32" t="s">
        <v>75</v>
      </c>
      <c r="O94" s="33" t="s">
        <v>66</v>
      </c>
      <c r="P94" s="33" t="s">
        <v>66</v>
      </c>
      <c r="Q94" s="32" t="s">
        <v>75</v>
      </c>
      <c r="R94" s="32"/>
      <c r="S94" s="32" t="s">
        <v>301</v>
      </c>
      <c r="T94" s="32"/>
      <c r="U94" s="32"/>
      <c r="V94" s="33" t="s">
        <v>301</v>
      </c>
      <c r="W94" s="33"/>
      <c r="X94" s="32"/>
      <c r="Y94" s="32"/>
      <c r="Z94" s="32" t="s">
        <v>113</v>
      </c>
      <c r="AA94" s="32"/>
      <c r="AB94" s="32"/>
      <c r="AC94" s="33"/>
      <c r="AD94" s="33" t="s">
        <v>301</v>
      </c>
      <c r="AE94" s="32"/>
      <c r="AF94" s="32"/>
      <c r="AG94" s="32"/>
      <c r="AH94" s="32"/>
      <c r="AI94" s="525" t="s">
        <v>75</v>
      </c>
      <c r="AJ94" s="26" t="e">
        <f>_xlfn.CONCAT(#REF!,#REF!)</f>
        <v>#REF!</v>
      </c>
      <c r="AK94" s="27" t="e">
        <f t="shared" si="22"/>
        <v>#REF!</v>
      </c>
      <c r="AL94" s="28">
        <f t="shared" si="18"/>
        <v>96</v>
      </c>
      <c r="AM94">
        <f t="shared" si="19"/>
        <v>0</v>
      </c>
      <c r="AN94" s="29">
        <f t="shared" si="20"/>
        <v>80</v>
      </c>
      <c r="AO94" s="1">
        <f t="shared" si="21"/>
        <v>0</v>
      </c>
    </row>
    <row r="95" spans="1:41" ht="15.9">
      <c r="A95" s="1" t="s">
        <v>152</v>
      </c>
      <c r="B95" s="1" t="s">
        <v>93</v>
      </c>
      <c r="C95" s="291" t="s">
        <v>46</v>
      </c>
      <c r="D95" s="86" t="e">
        <f>#REF!</f>
        <v>#REF!</v>
      </c>
      <c r="E95" s="204"/>
      <c r="F95" s="32" t="s">
        <v>75</v>
      </c>
      <c r="G95" s="32" t="s">
        <v>75</v>
      </c>
      <c r="H95" s="33" t="s">
        <v>66</v>
      </c>
      <c r="I95" s="33" t="s">
        <v>66</v>
      </c>
      <c r="J95" s="32" t="s">
        <v>75</v>
      </c>
      <c r="K95" s="32" t="s">
        <v>75</v>
      </c>
      <c r="L95" s="32" t="s">
        <v>75</v>
      </c>
      <c r="M95" s="32" t="s">
        <v>75</v>
      </c>
      <c r="N95" s="32"/>
      <c r="O95" s="33"/>
      <c r="P95" s="33"/>
      <c r="Q95" s="32"/>
      <c r="R95" s="32">
        <v>8</v>
      </c>
      <c r="S95" s="32" t="s">
        <v>98</v>
      </c>
      <c r="T95" s="32" t="s">
        <v>98</v>
      </c>
      <c r="U95" s="32">
        <v>15</v>
      </c>
      <c r="V95" s="33"/>
      <c r="W95" s="33"/>
      <c r="X95" s="32" t="s">
        <v>301</v>
      </c>
      <c r="Y95" s="32"/>
      <c r="Z95" s="32" t="s">
        <v>242</v>
      </c>
      <c r="AA95" s="32"/>
      <c r="AB95" s="32" t="s">
        <v>301</v>
      </c>
      <c r="AC95" s="33"/>
      <c r="AD95" s="33"/>
      <c r="AE95" s="32"/>
      <c r="AF95" s="32"/>
      <c r="AG95" s="32"/>
      <c r="AH95" s="32" t="s">
        <v>362</v>
      </c>
      <c r="AI95" s="525"/>
      <c r="AJ95" s="26" t="e">
        <f>_xlfn.CONCAT(#REF!,#REF!)</f>
        <v>#REF!</v>
      </c>
      <c r="AK95" s="27" t="e">
        <f t="shared" si="22"/>
        <v>#REF!</v>
      </c>
      <c r="AL95" s="28">
        <f t="shared" si="18"/>
        <v>48</v>
      </c>
      <c r="AM95">
        <f t="shared" si="19"/>
        <v>48</v>
      </c>
      <c r="AN95" s="29">
        <f t="shared" si="20"/>
        <v>71</v>
      </c>
      <c r="AO95" s="1">
        <f t="shared" si="21"/>
        <v>0</v>
      </c>
    </row>
    <row r="96" spans="1:41" ht="15.9">
      <c r="A96" s="1" t="s">
        <v>152</v>
      </c>
      <c r="B96" s="1" t="s">
        <v>64</v>
      </c>
      <c r="C96" s="291" t="s">
        <v>47</v>
      </c>
      <c r="D96" s="86" t="e">
        <f>#REF!</f>
        <v>#REF!</v>
      </c>
      <c r="E96" s="204" t="s">
        <v>66</v>
      </c>
      <c r="F96" s="32" t="s">
        <v>66</v>
      </c>
      <c r="G96" s="32"/>
      <c r="H96" s="33"/>
      <c r="I96" s="33"/>
      <c r="J96" s="32" t="s">
        <v>301</v>
      </c>
      <c r="K96" s="32"/>
      <c r="L96" s="32"/>
      <c r="M96" s="32"/>
      <c r="N96" s="32"/>
      <c r="O96" s="33"/>
      <c r="P96" s="33" t="s">
        <v>113</v>
      </c>
      <c r="Q96" s="32"/>
      <c r="R96" s="32">
        <v>8</v>
      </c>
      <c r="S96" s="32" t="s">
        <v>98</v>
      </c>
      <c r="T96" s="32" t="s">
        <v>98</v>
      </c>
      <c r="U96" s="32">
        <v>15</v>
      </c>
      <c r="V96" s="33"/>
      <c r="W96" s="33"/>
      <c r="X96" s="32"/>
      <c r="Y96" s="32"/>
      <c r="Z96" s="32"/>
      <c r="AA96" s="32"/>
      <c r="AB96" s="32"/>
      <c r="AC96" s="33"/>
      <c r="AD96" s="33"/>
      <c r="AE96" s="32"/>
      <c r="AF96" s="32"/>
      <c r="AG96" s="32"/>
      <c r="AH96" s="32"/>
      <c r="AI96" s="525"/>
      <c r="AJ96" s="26" t="e">
        <f>_xlfn.CONCAT(#REF!,#REF!)</f>
        <v>#REF!</v>
      </c>
      <c r="AK96" s="27" t="e">
        <f t="shared" si="22"/>
        <v>#REF!</v>
      </c>
      <c r="AL96" s="28">
        <f t="shared" si="18"/>
        <v>48</v>
      </c>
      <c r="AM96">
        <f t="shared" si="19"/>
        <v>48</v>
      </c>
      <c r="AN96" s="29">
        <f t="shared" si="20"/>
        <v>23</v>
      </c>
      <c r="AO96" s="1">
        <f t="shared" si="21"/>
        <v>0</v>
      </c>
    </row>
    <row r="97" spans="1:42" ht="15.9">
      <c r="A97" s="1" t="s">
        <v>152</v>
      </c>
      <c r="B97" s="1" t="s">
        <v>64</v>
      </c>
      <c r="C97" s="291" t="s">
        <v>48</v>
      </c>
      <c r="D97" s="86" t="e">
        <f>#REF!</f>
        <v>#REF!</v>
      </c>
      <c r="E97" s="204"/>
      <c r="F97" s="32"/>
      <c r="G97" s="32"/>
      <c r="H97" s="33">
        <v>10</v>
      </c>
      <c r="I97" s="33" t="s">
        <v>98</v>
      </c>
      <c r="J97" s="32">
        <v>20</v>
      </c>
      <c r="K97" s="32"/>
      <c r="L97" s="32"/>
      <c r="M97" s="32"/>
      <c r="N97" s="32"/>
      <c r="O97" s="33" t="s">
        <v>301</v>
      </c>
      <c r="P97" s="33"/>
      <c r="Q97" s="32"/>
      <c r="R97" s="32" t="s">
        <v>301</v>
      </c>
      <c r="S97" s="32"/>
      <c r="T97" s="32"/>
      <c r="U97" s="32" t="s">
        <v>69</v>
      </c>
      <c r="V97" s="33" t="s">
        <v>70</v>
      </c>
      <c r="W97" s="33" t="s">
        <v>70</v>
      </c>
      <c r="X97" s="32" t="s">
        <v>69</v>
      </c>
      <c r="Y97" s="32"/>
      <c r="Z97" s="32"/>
      <c r="AA97" s="32"/>
      <c r="AB97" s="32" t="s">
        <v>75</v>
      </c>
      <c r="AC97" s="33" t="s">
        <v>66</v>
      </c>
      <c r="AD97" s="33" t="s">
        <v>66</v>
      </c>
      <c r="AE97" s="32" t="s">
        <v>75</v>
      </c>
      <c r="AF97" s="32"/>
      <c r="AG97" s="32"/>
      <c r="AH97" s="32"/>
      <c r="AI97" s="525"/>
      <c r="AJ97" s="26" t="e">
        <f>_xlfn.CONCAT(#REF!,#REF!)</f>
        <v>#REF!</v>
      </c>
      <c r="AK97" s="27" t="e">
        <f t="shared" si="22"/>
        <v>#REF!</v>
      </c>
      <c r="AL97" s="28">
        <f t="shared" si="18"/>
        <v>48</v>
      </c>
      <c r="AM97">
        <f t="shared" si="19"/>
        <v>96</v>
      </c>
      <c r="AN97" s="29">
        <f t="shared" si="20"/>
        <v>46</v>
      </c>
      <c r="AO97" s="1">
        <f t="shared" si="21"/>
        <v>0</v>
      </c>
    </row>
    <row r="98" spans="1:42" ht="15.9">
      <c r="A98" s="1" t="s">
        <v>58</v>
      </c>
      <c r="B98" s="1" t="s">
        <v>73</v>
      </c>
      <c r="C98" s="290" t="s">
        <v>49</v>
      </c>
      <c r="D98" s="86" t="e">
        <f>#REF!</f>
        <v>#REF!</v>
      </c>
      <c r="E98" s="204"/>
      <c r="F98" s="32" t="s">
        <v>361</v>
      </c>
      <c r="G98" s="32"/>
      <c r="H98" s="33"/>
      <c r="I98" s="33"/>
      <c r="J98" s="32"/>
      <c r="K98" s="32"/>
      <c r="L98" s="32"/>
      <c r="M98" s="32"/>
      <c r="N98" s="32"/>
      <c r="O98" s="33"/>
      <c r="P98" s="33"/>
      <c r="Q98" s="32" t="s">
        <v>66</v>
      </c>
      <c r="R98" s="32" t="s">
        <v>66</v>
      </c>
      <c r="S98" s="32"/>
      <c r="T98" s="32"/>
      <c r="U98" s="32"/>
      <c r="V98" s="33"/>
      <c r="W98" s="33"/>
      <c r="X98" s="32"/>
      <c r="Y98" s="32"/>
      <c r="Z98" s="32"/>
      <c r="AA98" s="32"/>
      <c r="AB98" s="32"/>
      <c r="AC98" s="33"/>
      <c r="AD98" s="33"/>
      <c r="AE98" s="32" t="s">
        <v>362</v>
      </c>
      <c r="AF98" s="32" t="s">
        <v>92</v>
      </c>
      <c r="AG98" s="32" t="s">
        <v>95</v>
      </c>
      <c r="AH98" s="32" t="s">
        <v>95</v>
      </c>
      <c r="AI98" s="525"/>
      <c r="AJ98" s="26" t="e">
        <f>_xlfn.CONCAT(#REF!,#REF!)</f>
        <v>#REF!</v>
      </c>
      <c r="AK98" s="27" t="e">
        <f t="shared" si="22"/>
        <v>#REF!</v>
      </c>
      <c r="AL98" s="28">
        <f t="shared" si="18"/>
        <v>0</v>
      </c>
      <c r="AM98">
        <f t="shared" si="19"/>
        <v>60</v>
      </c>
      <c r="AN98" s="29">
        <f t="shared" si="20"/>
        <v>0</v>
      </c>
      <c r="AO98" s="1">
        <f t="shared" si="21"/>
        <v>0</v>
      </c>
    </row>
    <row r="99" spans="1:42" ht="15.9">
      <c r="A99" s="1" t="s">
        <v>155</v>
      </c>
      <c r="B99" s="1" t="s">
        <v>73</v>
      </c>
      <c r="C99" s="290" t="s">
        <v>50</v>
      </c>
      <c r="D99" s="86" t="e">
        <f>#REF!</f>
        <v>#REF!</v>
      </c>
      <c r="E99" s="204" t="s">
        <v>75</v>
      </c>
      <c r="F99" s="32" t="s">
        <v>75</v>
      </c>
      <c r="G99" s="32" t="s">
        <v>75</v>
      </c>
      <c r="H99" s="33" t="s">
        <v>103</v>
      </c>
      <c r="I99" s="33" t="s">
        <v>103</v>
      </c>
      <c r="J99" s="32" t="s">
        <v>103</v>
      </c>
      <c r="K99" s="32" t="s">
        <v>92</v>
      </c>
      <c r="L99" s="32" t="s">
        <v>95</v>
      </c>
      <c r="M99" s="32" t="s">
        <v>95</v>
      </c>
      <c r="N99" s="32" t="s">
        <v>95</v>
      </c>
      <c r="O99" s="33" t="s">
        <v>95</v>
      </c>
      <c r="P99" s="33" t="s">
        <v>95</v>
      </c>
      <c r="Q99" s="32" t="s">
        <v>95</v>
      </c>
      <c r="R99" s="32" t="s">
        <v>92</v>
      </c>
      <c r="S99" s="32"/>
      <c r="T99" s="32"/>
      <c r="U99" s="32"/>
      <c r="V99" s="33"/>
      <c r="W99" s="33"/>
      <c r="X99" s="32"/>
      <c r="Y99" s="32"/>
      <c r="Z99" s="32" t="s">
        <v>242</v>
      </c>
      <c r="AA99" s="32" t="s">
        <v>362</v>
      </c>
      <c r="AB99" s="32"/>
      <c r="AC99" s="33"/>
      <c r="AD99" s="33"/>
      <c r="AE99" s="32"/>
      <c r="AF99" s="32"/>
      <c r="AG99" s="32"/>
      <c r="AH99" s="32"/>
      <c r="AI99" s="525" t="s">
        <v>294</v>
      </c>
      <c r="AJ99" s="26" t="e">
        <f>_xlfn.CONCAT(#REF!,#REF!)</f>
        <v>#REF!</v>
      </c>
      <c r="AK99" s="27" t="e">
        <f t="shared" si="22"/>
        <v>#REF!</v>
      </c>
      <c r="AL99" s="28">
        <f t="shared" si="18"/>
        <v>0</v>
      </c>
      <c r="AM99">
        <f t="shared" si="19"/>
        <v>168</v>
      </c>
      <c r="AN99" s="29">
        <f t="shared" si="20"/>
        <v>32</v>
      </c>
      <c r="AO99" s="1">
        <f t="shared" si="21"/>
        <v>0</v>
      </c>
    </row>
    <row r="100" spans="1:42" ht="15.9">
      <c r="A100" s="1" t="s">
        <v>155</v>
      </c>
      <c r="B100" s="1" t="s">
        <v>59</v>
      </c>
      <c r="C100" s="304" t="s">
        <v>51</v>
      </c>
      <c r="D100" s="86" t="e">
        <f>#REF!</f>
        <v>#REF!</v>
      </c>
      <c r="E100" s="96"/>
      <c r="F100" s="51"/>
      <c r="G100" s="51"/>
      <c r="H100" s="52">
        <v>10</v>
      </c>
      <c r="I100" s="52" t="s">
        <v>99</v>
      </c>
      <c r="J100" s="51">
        <v>20</v>
      </c>
      <c r="K100" s="51"/>
      <c r="L100" s="51"/>
      <c r="M100" s="51"/>
      <c r="N100" s="51"/>
      <c r="O100" s="52"/>
      <c r="P100" s="52"/>
      <c r="Q100" s="51"/>
      <c r="R100" s="51"/>
      <c r="S100" s="51"/>
      <c r="T100" s="51"/>
      <c r="U100" s="51"/>
      <c r="V100" s="52"/>
      <c r="W100" s="52"/>
      <c r="X100" s="51">
        <v>6</v>
      </c>
      <c r="Y100" s="51" t="s">
        <v>154</v>
      </c>
      <c r="Z100" s="51" t="s">
        <v>95</v>
      </c>
      <c r="AA100" s="51" t="s">
        <v>95</v>
      </c>
      <c r="AB100" s="51" t="s">
        <v>153</v>
      </c>
      <c r="AC100" s="52"/>
      <c r="AD100" s="52"/>
      <c r="AE100" s="51"/>
      <c r="AF100" s="51"/>
      <c r="AG100" s="51"/>
      <c r="AH100" s="51" t="s">
        <v>362</v>
      </c>
      <c r="AI100" s="527"/>
      <c r="AJ100" s="305" t="e">
        <f>_xlfn.CONCAT(#REF!,#REF!)</f>
        <v>#REF!</v>
      </c>
      <c r="AK100" s="27" t="e">
        <f t="shared" si="22"/>
        <v>#REF!</v>
      </c>
      <c r="AL100" s="28">
        <f t="shared" si="18"/>
        <v>0</v>
      </c>
      <c r="AM100">
        <f t="shared" si="19"/>
        <v>108</v>
      </c>
      <c r="AN100" s="29">
        <f t="shared" si="20"/>
        <v>36</v>
      </c>
      <c r="AO100" s="1">
        <f t="shared" si="21"/>
        <v>0</v>
      </c>
    </row>
    <row r="101" spans="1:42" ht="15.9">
      <c r="C101" s="95"/>
      <c r="D101" s="57"/>
      <c r="E101" s="96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27"/>
      <c r="AJ101" s="60"/>
      <c r="AK101" s="27"/>
      <c r="AL101" s="28"/>
      <c r="AM101"/>
      <c r="AN101" s="29"/>
    </row>
    <row r="102" spans="1:42" ht="15.9">
      <c r="B102" s="61"/>
      <c r="C102" s="62" t="s">
        <v>120</v>
      </c>
      <c r="D102" s="63"/>
      <c r="E102" s="64">
        <f t="shared" ref="E102:AI102" si="23">E31</f>
        <v>1</v>
      </c>
      <c r="F102" s="64">
        <f t="shared" si="23"/>
        <v>1</v>
      </c>
      <c r="G102" s="64">
        <f t="shared" si="23"/>
        <v>1</v>
      </c>
      <c r="H102" s="64">
        <f t="shared" si="23"/>
        <v>1</v>
      </c>
      <c r="I102" s="64">
        <f t="shared" si="23"/>
        <v>1</v>
      </c>
      <c r="J102" s="64">
        <f t="shared" si="23"/>
        <v>1</v>
      </c>
      <c r="K102" s="64">
        <f t="shared" si="23"/>
        <v>1</v>
      </c>
      <c r="L102" s="64">
        <f t="shared" si="23"/>
        <v>1</v>
      </c>
      <c r="M102" s="64">
        <f t="shared" si="23"/>
        <v>1</v>
      </c>
      <c r="N102" s="64">
        <f t="shared" si="23"/>
        <v>1</v>
      </c>
      <c r="O102" s="64">
        <f t="shared" si="23"/>
        <v>1</v>
      </c>
      <c r="P102" s="64">
        <f t="shared" si="23"/>
        <v>1</v>
      </c>
      <c r="Q102" s="64">
        <f t="shared" si="23"/>
        <v>1</v>
      </c>
      <c r="R102" s="64">
        <f t="shared" si="23"/>
        <v>1</v>
      </c>
      <c r="S102" s="64">
        <f t="shared" si="23"/>
        <v>1</v>
      </c>
      <c r="T102" s="64">
        <f t="shared" si="23"/>
        <v>1</v>
      </c>
      <c r="U102" s="64">
        <f t="shared" si="23"/>
        <v>1</v>
      </c>
      <c r="V102" s="64">
        <f t="shared" si="23"/>
        <v>1</v>
      </c>
      <c r="W102" s="64">
        <f t="shared" si="23"/>
        <v>1</v>
      </c>
      <c r="X102" s="64">
        <f t="shared" si="23"/>
        <v>1</v>
      </c>
      <c r="Y102" s="64">
        <f t="shared" si="23"/>
        <v>1</v>
      </c>
      <c r="Z102" s="64">
        <f t="shared" si="23"/>
        <v>1</v>
      </c>
      <c r="AA102" s="64">
        <f t="shared" si="23"/>
        <v>1</v>
      </c>
      <c r="AB102" s="64">
        <f t="shared" si="23"/>
        <v>1</v>
      </c>
      <c r="AC102" s="64">
        <f t="shared" si="23"/>
        <v>1</v>
      </c>
      <c r="AD102" s="64">
        <f t="shared" si="23"/>
        <v>1</v>
      </c>
      <c r="AE102" s="64">
        <f t="shared" si="23"/>
        <v>1</v>
      </c>
      <c r="AF102" s="64">
        <f t="shared" si="23"/>
        <v>1</v>
      </c>
      <c r="AG102" s="64">
        <f t="shared" si="23"/>
        <v>1</v>
      </c>
      <c r="AH102" s="64">
        <f t="shared" si="23"/>
        <v>1</v>
      </c>
      <c r="AI102" s="64">
        <f t="shared" si="23"/>
        <v>0</v>
      </c>
      <c r="AJ102"/>
      <c r="AK102" s="27"/>
      <c r="AL102" s="28"/>
      <c r="AM102"/>
      <c r="AN102" s="29"/>
    </row>
    <row r="103" spans="1:42" ht="15.9">
      <c r="B103" s="61"/>
      <c r="C103" s="65" t="s">
        <v>121</v>
      </c>
      <c r="D103" s="66"/>
      <c r="E103" s="64">
        <f t="shared" ref="E103:AI103" si="24">E32</f>
        <v>2</v>
      </c>
      <c r="F103" s="64">
        <f t="shared" si="24"/>
        <v>1</v>
      </c>
      <c r="G103" s="64">
        <f t="shared" si="24"/>
        <v>2</v>
      </c>
      <c r="H103" s="64">
        <f t="shared" si="24"/>
        <v>3</v>
      </c>
      <c r="I103" s="64">
        <f t="shared" si="24"/>
        <v>2</v>
      </c>
      <c r="J103" s="64">
        <f t="shared" si="24"/>
        <v>2</v>
      </c>
      <c r="K103" s="64">
        <f t="shared" si="24"/>
        <v>3</v>
      </c>
      <c r="L103" s="64">
        <f t="shared" si="24"/>
        <v>3</v>
      </c>
      <c r="M103" s="64">
        <f t="shared" si="24"/>
        <v>1</v>
      </c>
      <c r="N103" s="64">
        <f t="shared" si="24"/>
        <v>2</v>
      </c>
      <c r="O103" s="64">
        <f t="shared" si="24"/>
        <v>4</v>
      </c>
      <c r="P103" s="64">
        <f t="shared" si="24"/>
        <v>2</v>
      </c>
      <c r="Q103" s="64">
        <f t="shared" si="24"/>
        <v>1</v>
      </c>
      <c r="R103" s="64">
        <f t="shared" si="24"/>
        <v>1</v>
      </c>
      <c r="S103" s="64">
        <f t="shared" si="24"/>
        <v>2</v>
      </c>
      <c r="T103" s="64">
        <f t="shared" si="24"/>
        <v>1</v>
      </c>
      <c r="U103" s="64">
        <f t="shared" si="24"/>
        <v>1</v>
      </c>
      <c r="V103" s="64">
        <f t="shared" si="24"/>
        <v>1</v>
      </c>
      <c r="W103" s="64">
        <f t="shared" si="24"/>
        <v>2</v>
      </c>
      <c r="X103" s="64">
        <f t="shared" si="24"/>
        <v>2</v>
      </c>
      <c r="Y103" s="64">
        <f t="shared" si="24"/>
        <v>2</v>
      </c>
      <c r="Z103" s="64">
        <f t="shared" si="24"/>
        <v>2</v>
      </c>
      <c r="AA103" s="64">
        <f t="shared" si="24"/>
        <v>3</v>
      </c>
      <c r="AB103" s="64">
        <f t="shared" si="24"/>
        <v>2</v>
      </c>
      <c r="AC103" s="64">
        <f t="shared" si="24"/>
        <v>2</v>
      </c>
      <c r="AD103" s="64">
        <f t="shared" si="24"/>
        <v>2</v>
      </c>
      <c r="AE103" s="64">
        <f t="shared" si="24"/>
        <v>1</v>
      </c>
      <c r="AF103" s="64">
        <f t="shared" si="24"/>
        <v>2</v>
      </c>
      <c r="AG103" s="64">
        <f t="shared" si="24"/>
        <v>2</v>
      </c>
      <c r="AH103" s="64">
        <f t="shared" si="24"/>
        <v>2</v>
      </c>
      <c r="AI103" s="64">
        <f t="shared" si="24"/>
        <v>2</v>
      </c>
      <c r="AJ103"/>
      <c r="AK103" s="27"/>
      <c r="AL103" s="28"/>
      <c r="AM103"/>
      <c r="AN103" s="29"/>
    </row>
    <row r="104" spans="1:42">
      <c r="C104" s="67" t="s">
        <v>122</v>
      </c>
      <c r="D104" s="68"/>
      <c r="E104" s="64">
        <f t="shared" ref="E104:AI104" si="25">E33</f>
        <v>4</v>
      </c>
      <c r="F104" s="64">
        <f t="shared" si="25"/>
        <v>4</v>
      </c>
      <c r="G104" s="64">
        <f t="shared" si="25"/>
        <v>3</v>
      </c>
      <c r="H104" s="64">
        <f t="shared" si="25"/>
        <v>4</v>
      </c>
      <c r="I104" s="64">
        <f t="shared" si="25"/>
        <v>4</v>
      </c>
      <c r="J104" s="64">
        <f t="shared" si="25"/>
        <v>0</v>
      </c>
      <c r="K104" s="64">
        <f t="shared" si="25"/>
        <v>3</v>
      </c>
      <c r="L104" s="64">
        <f t="shared" si="25"/>
        <v>3</v>
      </c>
      <c r="M104" s="64">
        <f t="shared" si="25"/>
        <v>3</v>
      </c>
      <c r="N104" s="64">
        <f t="shared" si="25"/>
        <v>2</v>
      </c>
      <c r="O104" s="64">
        <f t="shared" si="25"/>
        <v>4</v>
      </c>
      <c r="P104" s="64">
        <f t="shared" si="25"/>
        <v>4</v>
      </c>
      <c r="Q104" s="64">
        <f t="shared" si="25"/>
        <v>0</v>
      </c>
      <c r="R104" s="64">
        <f t="shared" si="25"/>
        <v>4</v>
      </c>
      <c r="S104" s="64">
        <f t="shared" si="25"/>
        <v>4</v>
      </c>
      <c r="T104" s="64">
        <f t="shared" si="25"/>
        <v>4</v>
      </c>
      <c r="U104" s="64">
        <f t="shared" si="25"/>
        <v>0</v>
      </c>
      <c r="V104" s="64">
        <f t="shared" si="25"/>
        <v>4</v>
      </c>
      <c r="W104" s="64">
        <f t="shared" si="25"/>
        <v>4</v>
      </c>
      <c r="X104" s="64">
        <f t="shared" si="25"/>
        <v>0</v>
      </c>
      <c r="Y104" s="64">
        <f t="shared" si="25"/>
        <v>4</v>
      </c>
      <c r="Z104" s="64">
        <f t="shared" si="25"/>
        <v>3</v>
      </c>
      <c r="AA104" s="64">
        <f t="shared" si="25"/>
        <v>4</v>
      </c>
      <c r="AB104" s="64">
        <f t="shared" si="25"/>
        <v>1</v>
      </c>
      <c r="AC104" s="64">
        <f t="shared" si="25"/>
        <v>4</v>
      </c>
      <c r="AD104" s="64">
        <f t="shared" si="25"/>
        <v>4</v>
      </c>
      <c r="AE104" s="64">
        <f t="shared" si="25"/>
        <v>0</v>
      </c>
      <c r="AF104" s="64">
        <f t="shared" si="25"/>
        <v>5</v>
      </c>
      <c r="AG104" s="64">
        <f t="shared" si="25"/>
        <v>5</v>
      </c>
      <c r="AH104" s="64">
        <f t="shared" si="25"/>
        <v>5</v>
      </c>
      <c r="AI104" s="64">
        <f t="shared" si="25"/>
        <v>0</v>
      </c>
      <c r="AJ104"/>
      <c r="AK104" s="27"/>
      <c r="AL104" s="28"/>
      <c r="AM104"/>
      <c r="AN104" s="29"/>
    </row>
    <row r="105" spans="1:42">
      <c r="C105" s="69" t="s">
        <v>123</v>
      </c>
      <c r="D105" s="70"/>
      <c r="E105" s="64">
        <f t="shared" ref="E105:AI105" si="26">E34</f>
        <v>4</v>
      </c>
      <c r="F105" s="64">
        <f t="shared" si="26"/>
        <v>4</v>
      </c>
      <c r="G105" s="64">
        <f t="shared" si="26"/>
        <v>3</v>
      </c>
      <c r="H105" s="64">
        <f t="shared" si="26"/>
        <v>4</v>
      </c>
      <c r="I105" s="64">
        <f t="shared" si="26"/>
        <v>4</v>
      </c>
      <c r="J105" s="64">
        <f t="shared" si="26"/>
        <v>4</v>
      </c>
      <c r="K105" s="64">
        <f t="shared" si="26"/>
        <v>0</v>
      </c>
      <c r="L105" s="64">
        <f t="shared" si="26"/>
        <v>4</v>
      </c>
      <c r="M105" s="64">
        <f t="shared" si="26"/>
        <v>4</v>
      </c>
      <c r="N105" s="64">
        <f t="shared" si="26"/>
        <v>4</v>
      </c>
      <c r="O105" s="64">
        <f t="shared" si="26"/>
        <v>4</v>
      </c>
      <c r="P105" s="64">
        <f t="shared" si="26"/>
        <v>4</v>
      </c>
      <c r="Q105" s="64">
        <f t="shared" si="26"/>
        <v>4</v>
      </c>
      <c r="R105" s="64">
        <f t="shared" si="26"/>
        <v>0</v>
      </c>
      <c r="S105" s="64">
        <f t="shared" si="26"/>
        <v>5</v>
      </c>
      <c r="T105" s="64">
        <f t="shared" si="26"/>
        <v>5</v>
      </c>
      <c r="U105" s="64">
        <f t="shared" si="26"/>
        <v>0</v>
      </c>
      <c r="V105" s="64">
        <f t="shared" si="26"/>
        <v>4</v>
      </c>
      <c r="W105" s="64">
        <f t="shared" si="26"/>
        <v>4</v>
      </c>
      <c r="X105" s="64">
        <f t="shared" si="26"/>
        <v>4</v>
      </c>
      <c r="Y105" s="64">
        <f t="shared" si="26"/>
        <v>2</v>
      </c>
      <c r="Z105" s="64">
        <f t="shared" si="26"/>
        <v>4</v>
      </c>
      <c r="AA105" s="64">
        <f t="shared" si="26"/>
        <v>4</v>
      </c>
      <c r="AB105" s="64">
        <f t="shared" si="26"/>
        <v>0</v>
      </c>
      <c r="AC105" s="64">
        <f t="shared" si="26"/>
        <v>5</v>
      </c>
      <c r="AD105" s="64">
        <f t="shared" si="26"/>
        <v>5</v>
      </c>
      <c r="AE105" s="64">
        <f t="shared" si="26"/>
        <v>5</v>
      </c>
      <c r="AF105" s="64">
        <f t="shared" si="26"/>
        <v>0</v>
      </c>
      <c r="AG105" s="64">
        <f t="shared" si="26"/>
        <v>3</v>
      </c>
      <c r="AH105" s="64">
        <f t="shared" si="26"/>
        <v>3</v>
      </c>
      <c r="AI105" s="64">
        <f t="shared" si="26"/>
        <v>0</v>
      </c>
      <c r="AJ105"/>
      <c r="AK105" s="27"/>
      <c r="AL105" s="28"/>
      <c r="AM105"/>
      <c r="AN105" s="29"/>
    </row>
    <row r="106" spans="1:42" ht="15.9">
      <c r="C106" s="56"/>
      <c r="D106" s="57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97"/>
      <c r="AH106" s="98"/>
      <c r="AI106" s="27"/>
      <c r="AJ106"/>
      <c r="AK106" s="27"/>
      <c r="AL106" s="28"/>
      <c r="AM106"/>
      <c r="AN106" s="29"/>
    </row>
    <row r="107" spans="1:42" s="73" customFormat="1">
      <c r="C107" s="660" t="s">
        <v>122</v>
      </c>
      <c r="D107" s="660"/>
      <c r="E107" s="99"/>
      <c r="F107" s="661"/>
      <c r="G107" s="661"/>
      <c r="H107" s="661"/>
      <c r="I107" s="100"/>
      <c r="J107" s="661"/>
      <c r="K107" s="661"/>
      <c r="L107" s="100"/>
      <c r="M107" s="661"/>
      <c r="N107" s="661"/>
      <c r="O107" s="661"/>
      <c r="P107" s="100"/>
      <c r="Q107" s="661"/>
      <c r="R107" s="661"/>
      <c r="S107" s="100"/>
      <c r="T107" s="661"/>
      <c r="U107" s="661"/>
      <c r="V107" s="661"/>
      <c r="W107" s="100"/>
      <c r="X107" s="661"/>
      <c r="Y107" s="661"/>
      <c r="Z107" s="100"/>
      <c r="AA107" s="661"/>
      <c r="AB107" s="661"/>
      <c r="AC107" s="661"/>
      <c r="AD107" s="100"/>
      <c r="AE107" s="658"/>
      <c r="AF107" s="658"/>
      <c r="AG107" s="101"/>
      <c r="AH107" s="658"/>
      <c r="AI107" s="658"/>
      <c r="AJ107" s="80"/>
      <c r="AK107" s="27"/>
      <c r="AL107" s="28"/>
      <c r="AM107"/>
      <c r="AN107" s="29"/>
      <c r="AO107" s="1"/>
      <c r="AP107" s="1"/>
    </row>
    <row r="108" spans="1:42" s="73" customFormat="1">
      <c r="C108" s="660"/>
      <c r="D108" s="660"/>
      <c r="E108" s="102"/>
      <c r="F108" s="653"/>
      <c r="G108" s="653"/>
      <c r="H108" s="653"/>
      <c r="I108" s="103"/>
      <c r="J108" s="653"/>
      <c r="K108" s="653"/>
      <c r="L108" s="103"/>
      <c r="M108" s="653"/>
      <c r="N108" s="653"/>
      <c r="O108" s="653"/>
      <c r="P108" s="103"/>
      <c r="Q108" s="653"/>
      <c r="R108" s="653"/>
      <c r="S108" s="103"/>
      <c r="T108" s="653"/>
      <c r="U108" s="653"/>
      <c r="V108" s="653"/>
      <c r="W108" s="103"/>
      <c r="X108" s="653"/>
      <c r="Y108" s="653"/>
      <c r="Z108" s="103"/>
      <c r="AA108" s="653"/>
      <c r="AB108" s="653"/>
      <c r="AC108" s="653"/>
      <c r="AD108" s="103"/>
      <c r="AE108" s="648"/>
      <c r="AF108" s="648"/>
      <c r="AG108" s="104"/>
      <c r="AH108" s="648"/>
      <c r="AI108" s="648"/>
      <c r="AJ108" s="80"/>
      <c r="AK108" s="27"/>
      <c r="AL108" s="28"/>
      <c r="AM108"/>
      <c r="AN108" s="29"/>
      <c r="AO108" s="1"/>
      <c r="AP108" s="1"/>
    </row>
    <row r="109" spans="1:42" s="73" customFormat="1">
      <c r="C109" s="660"/>
      <c r="D109" s="660"/>
      <c r="E109" s="102"/>
      <c r="F109" s="653"/>
      <c r="G109" s="653"/>
      <c r="H109" s="653"/>
      <c r="I109" s="103"/>
      <c r="J109" s="653"/>
      <c r="K109" s="653"/>
      <c r="L109" s="103"/>
      <c r="M109" s="653"/>
      <c r="N109" s="653"/>
      <c r="O109" s="653"/>
      <c r="P109" s="103"/>
      <c r="Q109" s="653"/>
      <c r="R109" s="653"/>
      <c r="S109" s="103"/>
      <c r="T109" s="653"/>
      <c r="U109" s="653"/>
      <c r="V109" s="653"/>
      <c r="W109" s="103"/>
      <c r="X109" s="653"/>
      <c r="Y109" s="653"/>
      <c r="Z109" s="103"/>
      <c r="AA109" s="653"/>
      <c r="AB109" s="653"/>
      <c r="AC109" s="653"/>
      <c r="AD109" s="103"/>
      <c r="AE109" s="648"/>
      <c r="AF109" s="648"/>
      <c r="AG109" s="105"/>
      <c r="AH109" s="648"/>
      <c r="AI109" s="648"/>
      <c r="AJ109" s="80"/>
      <c r="AK109" s="27"/>
      <c r="AL109" s="28"/>
      <c r="AM109"/>
      <c r="AN109" s="29"/>
      <c r="AO109" s="1"/>
      <c r="AP109" s="1"/>
    </row>
    <row r="110" spans="1:42" s="73" customFormat="1">
      <c r="C110" s="660"/>
      <c r="D110" s="660"/>
      <c r="E110" s="106"/>
      <c r="F110" s="649"/>
      <c r="G110" s="649"/>
      <c r="H110" s="649"/>
      <c r="I110" s="107"/>
      <c r="J110" s="649"/>
      <c r="K110" s="649"/>
      <c r="L110" s="107"/>
      <c r="M110" s="649"/>
      <c r="N110" s="649"/>
      <c r="O110" s="649"/>
      <c r="P110" s="107"/>
      <c r="Q110" s="649"/>
      <c r="R110" s="649"/>
      <c r="S110" s="107"/>
      <c r="T110" s="649"/>
      <c r="U110" s="649"/>
      <c r="V110" s="649"/>
      <c r="W110" s="107"/>
      <c r="X110" s="649"/>
      <c r="Y110" s="649"/>
      <c r="Z110" s="107"/>
      <c r="AA110" s="649"/>
      <c r="AB110" s="649"/>
      <c r="AC110" s="649"/>
      <c r="AD110" s="107"/>
      <c r="AE110" s="651"/>
      <c r="AF110" s="651"/>
      <c r="AG110" s="108"/>
      <c r="AH110" s="651"/>
      <c r="AI110" s="651"/>
      <c r="AJ110" s="80"/>
      <c r="AK110" s="27"/>
      <c r="AL110" s="28"/>
      <c r="AM110"/>
      <c r="AN110" s="29"/>
      <c r="AO110" s="1"/>
      <c r="AP110" s="1"/>
    </row>
    <row r="111" spans="1:42" s="73" customFormat="1">
      <c r="C111" s="77"/>
      <c r="D111" s="77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109"/>
      <c r="AH111" s="110"/>
      <c r="AI111" s="79"/>
      <c r="AJ111" s="80"/>
      <c r="AK111" s="27"/>
      <c r="AL111" s="28"/>
      <c r="AM111"/>
      <c r="AN111" s="29"/>
      <c r="AO111" s="1"/>
      <c r="AP111" s="1"/>
    </row>
    <row r="112" spans="1:42" s="73" customFormat="1" ht="11.25" customHeight="1">
      <c r="C112" s="655" t="s">
        <v>123</v>
      </c>
      <c r="D112" s="655"/>
      <c r="E112" s="99"/>
      <c r="F112" s="656"/>
      <c r="G112" s="656"/>
      <c r="H112" s="656"/>
      <c r="I112" s="100"/>
      <c r="J112" s="657"/>
      <c r="K112" s="657"/>
      <c r="L112" s="100"/>
      <c r="M112" s="656"/>
      <c r="N112" s="656"/>
      <c r="O112" s="656"/>
      <c r="P112" s="100"/>
      <c r="Q112" s="657"/>
      <c r="R112" s="657"/>
      <c r="S112" s="100"/>
      <c r="T112" s="656"/>
      <c r="U112" s="656"/>
      <c r="V112" s="656"/>
      <c r="W112" s="100"/>
      <c r="X112" s="656"/>
      <c r="Y112" s="656"/>
      <c r="Z112" s="100"/>
      <c r="AA112" s="656"/>
      <c r="AB112" s="656"/>
      <c r="AC112" s="656"/>
      <c r="AD112" s="100"/>
      <c r="AE112" s="652"/>
      <c r="AF112" s="652"/>
      <c r="AG112" s="113"/>
      <c r="AH112" s="652"/>
      <c r="AI112" s="652"/>
      <c r="AJ112" s="80"/>
      <c r="AK112" s="27"/>
      <c r="AL112" s="28"/>
      <c r="AM112"/>
      <c r="AN112" s="29"/>
      <c r="AO112" s="1"/>
      <c r="AP112" s="1"/>
    </row>
    <row r="113" spans="3:42" s="73" customFormat="1" ht="11.25" customHeight="1">
      <c r="C113" s="655"/>
      <c r="D113" s="655"/>
      <c r="E113" s="102"/>
      <c r="F113" s="653"/>
      <c r="G113" s="653"/>
      <c r="H113" s="653"/>
      <c r="I113" s="103"/>
      <c r="J113" s="654"/>
      <c r="K113" s="654"/>
      <c r="L113" s="103"/>
      <c r="M113" s="653"/>
      <c r="N113" s="653"/>
      <c r="O113" s="653"/>
      <c r="P113" s="103"/>
      <c r="Q113" s="654"/>
      <c r="R113" s="654"/>
      <c r="S113" s="103"/>
      <c r="T113" s="653"/>
      <c r="U113" s="653"/>
      <c r="V113" s="653"/>
      <c r="W113" s="103"/>
      <c r="X113" s="653"/>
      <c r="Y113" s="653"/>
      <c r="Z113" s="103"/>
      <c r="AA113" s="653"/>
      <c r="AB113" s="653"/>
      <c r="AC113" s="653"/>
      <c r="AD113" s="103"/>
      <c r="AE113" s="648"/>
      <c r="AF113" s="648"/>
      <c r="AG113" s="104"/>
      <c r="AH113" s="648"/>
      <c r="AI113" s="648"/>
      <c r="AJ113" s="80"/>
      <c r="AK113" s="27"/>
      <c r="AL113" s="28"/>
      <c r="AM113"/>
      <c r="AN113" s="29"/>
      <c r="AO113" s="1"/>
      <c r="AP113" s="1"/>
    </row>
    <row r="114" spans="3:42" s="73" customFormat="1" ht="11.25" customHeight="1">
      <c r="C114" s="655"/>
      <c r="D114" s="655"/>
      <c r="E114" s="102"/>
      <c r="F114" s="653"/>
      <c r="G114" s="653"/>
      <c r="H114" s="653"/>
      <c r="I114" s="103"/>
      <c r="J114" s="654"/>
      <c r="K114" s="654"/>
      <c r="L114" s="103"/>
      <c r="M114" s="653"/>
      <c r="N114" s="653"/>
      <c r="O114" s="653"/>
      <c r="P114" s="103"/>
      <c r="Q114" s="654"/>
      <c r="R114" s="654"/>
      <c r="S114" s="103"/>
      <c r="T114" s="653"/>
      <c r="U114" s="653"/>
      <c r="V114" s="653"/>
      <c r="W114" s="103"/>
      <c r="X114" s="653"/>
      <c r="Y114" s="653"/>
      <c r="Z114" s="103"/>
      <c r="AA114" s="653"/>
      <c r="AB114" s="653"/>
      <c r="AC114" s="653"/>
      <c r="AD114" s="103"/>
      <c r="AE114" s="648"/>
      <c r="AF114" s="648"/>
      <c r="AG114" s="104"/>
      <c r="AH114" s="648"/>
      <c r="AI114" s="648"/>
      <c r="AJ114" s="80"/>
      <c r="AK114" s="27"/>
      <c r="AL114" s="28"/>
      <c r="AM114"/>
      <c r="AN114" s="29"/>
      <c r="AO114" s="1"/>
      <c r="AP114" s="1"/>
    </row>
    <row r="115" spans="3:42" s="73" customFormat="1" ht="11.25" customHeight="1">
      <c r="C115" s="655"/>
      <c r="D115" s="655"/>
      <c r="E115" s="106"/>
      <c r="F115" s="649"/>
      <c r="G115" s="649"/>
      <c r="H115" s="649"/>
      <c r="I115" s="107"/>
      <c r="J115" s="650"/>
      <c r="K115" s="650"/>
      <c r="L115" s="107"/>
      <c r="M115" s="649"/>
      <c r="N115" s="649"/>
      <c r="O115" s="649"/>
      <c r="P115" s="107"/>
      <c r="Q115" s="650"/>
      <c r="R115" s="650"/>
      <c r="S115" s="107"/>
      <c r="T115" s="649"/>
      <c r="U115" s="649"/>
      <c r="V115" s="649"/>
      <c r="W115" s="107"/>
      <c r="X115" s="649"/>
      <c r="Y115" s="649"/>
      <c r="Z115" s="107"/>
      <c r="AA115" s="649"/>
      <c r="AB115" s="649"/>
      <c r="AC115" s="649"/>
      <c r="AD115" s="107"/>
      <c r="AE115" s="651"/>
      <c r="AF115" s="651"/>
      <c r="AG115" s="108"/>
      <c r="AH115" s="651"/>
      <c r="AI115" s="651"/>
      <c r="AJ115" s="80"/>
      <c r="AK115" s="27"/>
      <c r="AL115" s="28"/>
      <c r="AM115"/>
      <c r="AN115" s="29"/>
      <c r="AO115" s="1"/>
      <c r="AP115" s="1"/>
    </row>
    <row r="116" spans="3:42" ht="15.9">
      <c r="C116" s="61"/>
      <c r="D116" s="81"/>
      <c r="AK116" s="27"/>
      <c r="AL116" s="28"/>
      <c r="AM116"/>
      <c r="AN116" s="29"/>
    </row>
  </sheetData>
  <autoFilter ref="A47:AK105" xr:uid="{00000000-0009-0000-0000-000017000000}"/>
  <mergeCells count="146">
    <mergeCell ref="R8:T8"/>
    <mergeCell ref="L12:U12"/>
    <mergeCell ref="L23:U23"/>
    <mergeCell ref="X23:AH23"/>
    <mergeCell ref="C36:D39"/>
    <mergeCell ref="E36:H36"/>
    <mergeCell ref="J36:L36"/>
    <mergeCell ref="N36:O36"/>
    <mergeCell ref="Q36:S36"/>
    <mergeCell ref="U36:V36"/>
    <mergeCell ref="X36:Z36"/>
    <mergeCell ref="AB36:AC36"/>
    <mergeCell ref="AE36:AH36"/>
    <mergeCell ref="E37:H37"/>
    <mergeCell ref="J37:L37"/>
    <mergeCell ref="N37:O37"/>
    <mergeCell ref="Q37:S37"/>
    <mergeCell ref="U37:V37"/>
    <mergeCell ref="X37:Z37"/>
    <mergeCell ref="AB37:AC37"/>
    <mergeCell ref="AE37:AH37"/>
    <mergeCell ref="E38:H38"/>
    <mergeCell ref="J38:L38"/>
    <mergeCell ref="N38:O38"/>
    <mergeCell ref="Q38:S38"/>
    <mergeCell ref="U38:V38"/>
    <mergeCell ref="X38:Z38"/>
    <mergeCell ref="AB38:AC38"/>
    <mergeCell ref="AE38:AH38"/>
    <mergeCell ref="E39:H39"/>
    <mergeCell ref="J39:L39"/>
    <mergeCell ref="N39:O39"/>
    <mergeCell ref="Q39:S39"/>
    <mergeCell ref="U39:V39"/>
    <mergeCell ref="X39:Z39"/>
    <mergeCell ref="AB39:AC39"/>
    <mergeCell ref="AE39:AH39"/>
    <mergeCell ref="C41:D44"/>
    <mergeCell ref="E41:H41"/>
    <mergeCell ref="J41:L41"/>
    <mergeCell ref="N41:O41"/>
    <mergeCell ref="Q41:S41"/>
    <mergeCell ref="U41:V41"/>
    <mergeCell ref="X41:Z41"/>
    <mergeCell ref="AB41:AC41"/>
    <mergeCell ref="AE41:AH41"/>
    <mergeCell ref="E42:H42"/>
    <mergeCell ref="J42:L42"/>
    <mergeCell ref="N42:O42"/>
    <mergeCell ref="Q42:S42"/>
    <mergeCell ref="U42:V42"/>
    <mergeCell ref="X42:Z42"/>
    <mergeCell ref="AB42:AC42"/>
    <mergeCell ref="AE42:AH42"/>
    <mergeCell ref="E43:H43"/>
    <mergeCell ref="J43:L43"/>
    <mergeCell ref="N43:O43"/>
    <mergeCell ref="Q43:S43"/>
    <mergeCell ref="U43:V43"/>
    <mergeCell ref="X43:Z43"/>
    <mergeCell ref="AB43:AC43"/>
    <mergeCell ref="AE43:AH43"/>
    <mergeCell ref="E44:H44"/>
    <mergeCell ref="J44:L44"/>
    <mergeCell ref="N44:O44"/>
    <mergeCell ref="Q44:S44"/>
    <mergeCell ref="U44:V44"/>
    <mergeCell ref="X44:Z44"/>
    <mergeCell ref="AB44:AC44"/>
    <mergeCell ref="AE44:AH44"/>
    <mergeCell ref="N45:O45"/>
    <mergeCell ref="Q46:U46"/>
    <mergeCell ref="C107:D110"/>
    <mergeCell ref="F107:H107"/>
    <mergeCell ref="J107:K107"/>
    <mergeCell ref="M107:O107"/>
    <mergeCell ref="Q107:R107"/>
    <mergeCell ref="T107:V107"/>
    <mergeCell ref="X107:Y107"/>
    <mergeCell ref="F109:H109"/>
    <mergeCell ref="J109:K109"/>
    <mergeCell ref="M109:O109"/>
    <mergeCell ref="Q109:R109"/>
    <mergeCell ref="T109:V109"/>
    <mergeCell ref="X109:Y109"/>
    <mergeCell ref="AA107:AC107"/>
    <mergeCell ref="AE107:AF107"/>
    <mergeCell ref="AH107:AI107"/>
    <mergeCell ref="F108:H108"/>
    <mergeCell ref="J108:K108"/>
    <mergeCell ref="M108:O108"/>
    <mergeCell ref="Q108:R108"/>
    <mergeCell ref="T108:V108"/>
    <mergeCell ref="X108:Y108"/>
    <mergeCell ref="AA108:AC108"/>
    <mergeCell ref="AE108:AF108"/>
    <mergeCell ref="AH108:AI108"/>
    <mergeCell ref="AA109:AC109"/>
    <mergeCell ref="AE109:AF109"/>
    <mergeCell ref="AH109:AI109"/>
    <mergeCell ref="F110:H110"/>
    <mergeCell ref="J110:K110"/>
    <mergeCell ref="M110:O110"/>
    <mergeCell ref="Q110:R110"/>
    <mergeCell ref="T110:V110"/>
    <mergeCell ref="X110:Y110"/>
    <mergeCell ref="AA110:AC110"/>
    <mergeCell ref="AE110:AF110"/>
    <mergeCell ref="AH110:AI110"/>
    <mergeCell ref="C112:D115"/>
    <mergeCell ref="F112:H112"/>
    <mergeCell ref="J112:K112"/>
    <mergeCell ref="M112:O112"/>
    <mergeCell ref="Q112:R112"/>
    <mergeCell ref="T112:V112"/>
    <mergeCell ref="X112:Y112"/>
    <mergeCell ref="AA112:AC112"/>
    <mergeCell ref="AE112:AF112"/>
    <mergeCell ref="F114:H114"/>
    <mergeCell ref="J114:K114"/>
    <mergeCell ref="M114:O114"/>
    <mergeCell ref="Q114:R114"/>
    <mergeCell ref="T114:V114"/>
    <mergeCell ref="X114:Y114"/>
    <mergeCell ref="AA114:AC114"/>
    <mergeCell ref="AE114:AF114"/>
    <mergeCell ref="AH112:AI112"/>
    <mergeCell ref="F113:H113"/>
    <mergeCell ref="J113:K113"/>
    <mergeCell ref="M113:O113"/>
    <mergeCell ref="Q113:R113"/>
    <mergeCell ref="T113:V113"/>
    <mergeCell ref="X113:Y113"/>
    <mergeCell ref="AA113:AC113"/>
    <mergeCell ref="AE113:AF113"/>
    <mergeCell ref="AH113:AI113"/>
    <mergeCell ref="AH114:AI114"/>
    <mergeCell ref="F115:H115"/>
    <mergeCell ref="J115:K115"/>
    <mergeCell ref="M115:O115"/>
    <mergeCell ref="Q115:R115"/>
    <mergeCell ref="T115:V115"/>
    <mergeCell ref="X115:Y115"/>
    <mergeCell ref="AA115:AC115"/>
    <mergeCell ref="AE115:AF115"/>
    <mergeCell ref="AH115:AI115"/>
  </mergeCells>
  <conditionalFormatting sqref="A2:A30 A86 A92">
    <cfRule type="containsText" dxfId="243" priority="75" operator="containsText" text="SG212">
      <formula>NOT(ISERROR(SEARCH("SG212",A2)))</formula>
    </cfRule>
    <cfRule type="containsText" dxfId="242" priority="74" operator="containsText" text="SG214">
      <formula>NOT(ISERROR(SEARCH("SG214",A2)))</formula>
    </cfRule>
    <cfRule type="containsText" dxfId="241" priority="72" operator="containsText" text="SG007">
      <formula>NOT(ISERROR(SEARCH("SG007",A2)))</formula>
    </cfRule>
    <cfRule type="containsText" dxfId="240" priority="73" operator="containsText" text="SG068">
      <formula>NOT(ISERROR(SEARCH("SG068",A2)))</formula>
    </cfRule>
  </conditionalFormatting>
  <conditionalFormatting sqref="A5:A30 A86 A92">
    <cfRule type="containsText" dxfId="239" priority="76" operator="containsText" text="SG070">
      <formula>NOT(ISERROR(SEARCH("SG070",A5)))</formula>
    </cfRule>
  </conditionalFormatting>
  <conditionalFormatting sqref="A101">
    <cfRule type="containsText" dxfId="238" priority="86" operator="containsText" text="SG070">
      <formula>NOT(ISERROR(SEARCH("SG070",A101)))</formula>
    </cfRule>
    <cfRule type="containsText" dxfId="237" priority="85" operator="containsText" text="SG212">
      <formula>NOT(ISERROR(SEARCH("SG212",A101)))</formula>
    </cfRule>
    <cfRule type="containsText" dxfId="236" priority="84" operator="containsText" text="SG214">
      <formula>NOT(ISERROR(SEARCH("SG214",A101)))</formula>
    </cfRule>
    <cfRule type="containsText" dxfId="235" priority="83" operator="containsText" text="SG068">
      <formula>NOT(ISERROR(SEARCH("SG068",A101)))</formula>
    </cfRule>
    <cfRule type="containsText" dxfId="234" priority="82" operator="containsText" text="SG007">
      <formula>NOT(ISERROR(SEARCH("SG007",A101)))</formula>
    </cfRule>
  </conditionalFormatting>
  <conditionalFormatting sqref="E30:I30 L30:P30 S30:W30 Z30:AD30">
    <cfRule type="cellIs" dxfId="233" priority="58" operator="greaterThan">
      <formula>0</formula>
    </cfRule>
  </conditionalFormatting>
  <conditionalFormatting sqref="E30:AF30">
    <cfRule type="containsText" dxfId="232" priority="25" operator="containsText" text="d">
      <formula>NOT(ISERROR(SEARCH("d",E30)))</formula>
    </cfRule>
    <cfRule type="containsText" dxfId="231" priority="18" operator="containsText" text="l4">
      <formula>NOT(ISERROR(SEARCH("l4",E30)))</formula>
    </cfRule>
    <cfRule type="containsText" dxfId="230" priority="19" operator="containsText" text="12g">
      <formula>NOT(ISERROR(SEARCH("12g",E30)))</formula>
    </cfRule>
    <cfRule type="containsText" dxfId="228" priority="21" operator="containsText" text="wse">
      <formula>NOT(ISERROR(SEARCH("wse",E30)))</formula>
    </cfRule>
    <cfRule type="containsText" dxfId="227" priority="22" operator="containsText" text="k">
      <formula>NOT(ISERROR(SEARCH("k",E30)))</formula>
    </cfRule>
    <cfRule type="containsText" dxfId="226" priority="23" operator="containsText" text="u">
      <formula>NOT(ISERROR(SEARCH("u",E30)))</formula>
    </cfRule>
    <cfRule type="containsText" dxfId="225" priority="24" operator="containsText" text="s">
      <formula>NOT(ISERROR(SEARCH("s",E30)))</formula>
    </cfRule>
  </conditionalFormatting>
  <conditionalFormatting sqref="E2:AH7 E8:R8 U8:AH8 E9:AH22 E23:X23 E24:AH29">
    <cfRule type="containsText" dxfId="223" priority="100" operator="containsText" text="MOSG">
      <formula>NOT(ISERROR(SEARCH("MOSG",E2)))</formula>
    </cfRule>
  </conditionalFormatting>
  <conditionalFormatting sqref="E2:AI7 E8:R8 U8:AI8 E9:AI11 E12:L12 V12:AI12 E13:AI22 E23:L23 V23:X23 AI23 E24:AI29">
    <cfRule type="containsText" dxfId="222" priority="99" operator="containsText" text="D">
      <formula>NOT(ISERROR(SEARCH("D",E2)))</formula>
    </cfRule>
    <cfRule type="containsText" dxfId="221" priority="98" operator="containsText" text="UW">
      <formula>NOT(ISERROR(SEARCH("UW",E2)))</formula>
    </cfRule>
    <cfRule type="containsText" dxfId="220" priority="97" operator="containsText" text="S">
      <formula>NOT(ISERROR(SEARCH("S",E2)))</formula>
    </cfRule>
    <cfRule type="containsText" dxfId="219" priority="96" operator="containsText" text="L4">
      <formula>NOT(ISERROR(SEARCH("L4",E2)))</formula>
    </cfRule>
  </conditionalFormatting>
  <conditionalFormatting sqref="E31:AI31">
    <cfRule type="cellIs" dxfId="218" priority="62" operator="greaterThan">
      <formula>1.5</formula>
    </cfRule>
  </conditionalFormatting>
  <conditionalFormatting sqref="E31:AI32">
    <cfRule type="cellIs" dxfId="217" priority="59" operator="between">
      <formula>0.5</formula>
      <formula>1.5</formula>
    </cfRule>
  </conditionalFormatting>
  <conditionalFormatting sqref="E31:AI34">
    <cfRule type="cellIs" dxfId="216" priority="60" operator="equal">
      <formula>0</formula>
    </cfRule>
  </conditionalFormatting>
  <conditionalFormatting sqref="E32:AI32">
    <cfRule type="cellIs" dxfId="215" priority="63" operator="greaterThan">
      <formula>1.5</formula>
    </cfRule>
  </conditionalFormatting>
  <conditionalFormatting sqref="E33:AI33">
    <cfRule type="cellIs" dxfId="214" priority="64" operator="greaterThan">
      <formula>3.5</formula>
    </cfRule>
  </conditionalFormatting>
  <conditionalFormatting sqref="E34:AI34">
    <cfRule type="cellIs" dxfId="213" priority="17" operator="greaterThan">
      <formula>3.5</formula>
    </cfRule>
  </conditionalFormatting>
  <conditionalFormatting sqref="E48:AI100 E101:AH101">
    <cfRule type="containsText" dxfId="212" priority="88" operator="containsText" text="12g">
      <formula>NOT(ISERROR(SEARCH("12g",E48)))</formula>
    </cfRule>
    <cfRule type="containsText" dxfId="210" priority="90" operator="containsText" text="wse">
      <formula>NOT(ISERROR(SEARCH("wse",E48)))</formula>
    </cfRule>
    <cfRule type="containsText" dxfId="209" priority="91" operator="containsText" text="k">
      <formula>NOT(ISERROR(SEARCH("k",E48)))</formula>
    </cfRule>
    <cfRule type="containsText" dxfId="208" priority="92" operator="containsText" text="u">
      <formula>NOT(ISERROR(SEARCH("u",E48)))</formula>
    </cfRule>
    <cfRule type="containsText" dxfId="207" priority="93" operator="containsText" text="s">
      <formula>NOT(ISERROR(SEARCH("s",E48)))</formula>
    </cfRule>
    <cfRule type="cellIs" dxfId="206" priority="95" operator="greaterThan">
      <formula>0</formula>
    </cfRule>
    <cfRule type="containsText" dxfId="205" priority="87" operator="containsText" text="l4">
      <formula>NOT(ISERROR(SEARCH("l4",E48)))</formula>
    </cfRule>
    <cfRule type="containsText" dxfId="204" priority="94" operator="containsText" text="d">
      <formula>NOT(ISERROR(SEARCH("d",E48)))</formula>
    </cfRule>
  </conditionalFormatting>
  <conditionalFormatting sqref="E102:AI102">
    <cfRule type="cellIs" dxfId="203" priority="69" operator="greaterThan">
      <formula>1.5</formula>
    </cfRule>
  </conditionalFormatting>
  <conditionalFormatting sqref="E102:AI103">
    <cfRule type="cellIs" dxfId="202" priority="66" operator="between">
      <formula>0.5</formula>
      <formula>1.5</formula>
    </cfRule>
  </conditionalFormatting>
  <conditionalFormatting sqref="E102:AI105">
    <cfRule type="cellIs" dxfId="201" priority="67" operator="equal">
      <formula>0</formula>
    </cfRule>
  </conditionalFormatting>
  <conditionalFormatting sqref="E103:AI103">
    <cfRule type="cellIs" dxfId="200" priority="70" operator="greaterThan">
      <formula>1.5</formula>
    </cfRule>
  </conditionalFormatting>
  <conditionalFormatting sqref="E104:AI104">
    <cfRule type="cellIs" dxfId="199" priority="71" operator="greaterThan">
      <formula>3.5</formula>
    </cfRule>
  </conditionalFormatting>
  <conditionalFormatting sqref="E105:AI105">
    <cfRule type="cellIs" dxfId="198" priority="65" operator="greaterThan">
      <formula>3.5</formula>
    </cfRule>
  </conditionalFormatting>
  <conditionalFormatting sqref="AQ5:AQ14">
    <cfRule type="containsText" dxfId="197" priority="8" operator="containsText" text="d">
      <formula>NOT(ISERROR(SEARCH("d",AQ5)))</formula>
    </cfRule>
    <cfRule type="containsText" dxfId="196" priority="7" operator="containsText" text="s">
      <formula>NOT(ISERROR(SEARCH("s",AQ5)))</formula>
    </cfRule>
    <cfRule type="containsText" dxfId="195" priority="6" operator="containsText" text="u">
      <formula>NOT(ISERROR(SEARCH("u",AQ5)))</formula>
    </cfRule>
    <cfRule type="containsText" dxfId="194" priority="5" operator="containsText" text="k">
      <formula>NOT(ISERROR(SEARCH("k",AQ5)))</formula>
    </cfRule>
    <cfRule type="containsText" dxfId="193" priority="4" operator="containsText" text="wse">
      <formula>NOT(ISERROR(SEARCH("wse",AQ5)))</formula>
    </cfRule>
    <cfRule type="containsText" dxfId="191" priority="2" operator="containsText" text="12g">
      <formula>NOT(ISERROR(SEARCH("12g",AQ5)))</formula>
    </cfRule>
  </conditionalFormatting>
  <conditionalFormatting sqref="AQ15">
    <cfRule type="containsText" dxfId="190" priority="13" operator="containsText" text="k">
      <formula>NOT(ISERROR(SEARCH("k",AQ15)))</formula>
    </cfRule>
    <cfRule type="containsText" dxfId="189" priority="12" operator="containsText" text="wse">
      <formula>NOT(ISERROR(SEARCH("wse",AQ15)))</formula>
    </cfRule>
    <cfRule type="containsText" dxfId="187" priority="10" operator="containsText" text="12g">
      <formula>NOT(ISERROR(SEARCH("12g",AQ15)))</formula>
    </cfRule>
    <cfRule type="containsText" dxfId="186" priority="16" operator="containsText" text="d">
      <formula>NOT(ISERROR(SEARCH("d",AQ15)))</formula>
    </cfRule>
    <cfRule type="containsText" dxfId="185" priority="9" operator="containsText" text="l4">
      <formula>NOT(ISERROR(SEARCH("l4",AQ15)))</formula>
    </cfRule>
    <cfRule type="containsText" dxfId="184" priority="15" operator="containsText" text="s">
      <formula>NOT(ISERROR(SEARCH("s",AQ15)))</formula>
    </cfRule>
    <cfRule type="containsText" dxfId="183" priority="14" operator="containsText" text="u">
      <formula>NOT(ISERROR(SEARCH("u",AQ15)))</formula>
    </cfRule>
  </conditionalFormatting>
  <pageMargins left="0" right="0" top="0" bottom="0" header="0.51180555555555496" footer="0.51180555555555496"/>
  <pageSetup paperSize="9" orientation="landscape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" operator="containsText" id="{1FE9B0C3-AC1A-4263-B336-7AC06B5EE3EE}">
            <xm:f>NOT(ISERROR(SEARCH("-",E30)))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E30:AF30</xm:sqref>
        </x14:conditionalFormatting>
        <x14:conditionalFormatting xmlns:xm="http://schemas.microsoft.com/office/excel/2006/main">
          <x14:cfRule type="containsText" priority="101" operator="containsText" id="{9AB37E55-A3DC-4D21-8FD8-84A414561C13}">
            <xm:f>NOT(ISERROR(SEARCH("-",E2)))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E2:AH7 E8:R8 U8:AH8 E9:AH11 E12:L12 V12:AH12 E13:AH22 E23:L23 V23:X23 E24:AH29</xm:sqref>
        </x14:conditionalFormatting>
        <x14:conditionalFormatting xmlns:xm="http://schemas.microsoft.com/office/excel/2006/main">
          <x14:cfRule type="containsText" priority="89" operator="containsText" id="{7942C4C1-E143-4C9B-B1C1-9510F0147389}">
            <xm:f>NOT(ISERROR(SEARCH("-",E48)))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E48:AI100 E101:AH101</xm:sqref>
        </x14:conditionalFormatting>
        <x14:conditionalFormatting xmlns:xm="http://schemas.microsoft.com/office/excel/2006/main">
          <x14:cfRule type="containsText" priority="3" operator="containsText" id="{5C4C8457-1398-42A6-9A9C-77B336A934D7}">
            <xm:f>NOT(ISERROR(SEARCH("-",AQ5)))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AQ5:AQ14</xm:sqref>
        </x14:conditionalFormatting>
        <x14:conditionalFormatting xmlns:xm="http://schemas.microsoft.com/office/excel/2006/main">
          <x14:cfRule type="containsText" priority="11" operator="containsText" id="{74F5D6BF-D0B3-4788-914E-15FD3131F416}">
            <xm:f>NOT(ISERROR(SEARCH("-",AQ15)))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AQ15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34"/>
  <sheetViews>
    <sheetView zoomScaleNormal="100" workbookViewId="0">
      <selection activeCell="A85" sqref="A85"/>
    </sheetView>
  </sheetViews>
  <sheetFormatPr defaultColWidth="8.69140625" defaultRowHeight="14.6"/>
  <cols>
    <col min="1" max="1" width="3.84375" style="176" customWidth="1"/>
    <col min="2" max="2" width="6" style="177" customWidth="1"/>
    <col min="3" max="3" width="28.84375" style="178" customWidth="1"/>
    <col min="4" max="4" width="23.84375" customWidth="1"/>
    <col min="5" max="5" width="24.53515625" customWidth="1"/>
    <col min="7" max="7" width="20.3046875" customWidth="1"/>
    <col min="8" max="8" width="4" customWidth="1"/>
    <col min="9" max="9" width="20.3046875" customWidth="1"/>
    <col min="10" max="11" width="4" customWidth="1"/>
    <col min="12" max="12" width="20.3046875" customWidth="1"/>
    <col min="13" max="13" width="4" customWidth="1"/>
    <col min="14" max="14" width="20.3046875" customWidth="1"/>
  </cols>
  <sheetData>
    <row r="1" spans="1:14" ht="30.9">
      <c r="B1" s="686" t="s">
        <v>416</v>
      </c>
      <c r="C1" s="686"/>
      <c r="D1" s="686"/>
      <c r="E1" s="686"/>
      <c r="G1" s="694" t="s">
        <v>275</v>
      </c>
      <c r="H1" s="694"/>
      <c r="I1" s="694"/>
      <c r="J1" s="694"/>
      <c r="K1" s="694"/>
      <c r="L1" s="694"/>
      <c r="M1" s="694"/>
      <c r="N1" s="694"/>
    </row>
    <row r="2" spans="1:14" ht="28.3">
      <c r="A2" s="687" t="s">
        <v>178</v>
      </c>
      <c r="B2" s="687"/>
      <c r="C2" s="687"/>
      <c r="D2" s="687"/>
      <c r="E2" s="687"/>
      <c r="G2" s="695" t="s">
        <v>221</v>
      </c>
      <c r="H2" s="695"/>
      <c r="I2" s="695"/>
      <c r="J2" s="234"/>
      <c r="K2" s="235"/>
      <c r="L2" s="696" t="s">
        <v>222</v>
      </c>
      <c r="M2" s="696"/>
      <c r="N2" s="696"/>
    </row>
    <row r="3" spans="1:14" ht="23.15">
      <c r="A3" s="688">
        <v>44440</v>
      </c>
      <c r="B3" s="688"/>
      <c r="C3" s="180" t="s">
        <v>179</v>
      </c>
      <c r="D3" s="181" t="s">
        <v>180</v>
      </c>
      <c r="E3" s="181" t="s">
        <v>180</v>
      </c>
      <c r="G3" s="28"/>
      <c r="J3" s="29"/>
      <c r="K3" s="28"/>
      <c r="N3" s="29"/>
    </row>
    <row r="4" spans="1:14" ht="19.3">
      <c r="A4" s="374">
        <v>1</v>
      </c>
      <c r="B4" s="190" t="s">
        <v>344</v>
      </c>
      <c r="C4" s="191" t="str">
        <f>VLOOKUP("D",WRZESIEŃ!$E$2:$AJ$32,32,0)</f>
        <v>F-sz 021</v>
      </c>
      <c r="D4" s="237"/>
      <c r="E4" s="237"/>
      <c r="G4" s="238"/>
      <c r="I4" s="238"/>
      <c r="J4" s="29"/>
      <c r="K4" s="28"/>
      <c r="L4" s="238"/>
      <c r="N4" s="238"/>
    </row>
    <row r="5" spans="1:14" ht="19.3">
      <c r="A5" s="189">
        <v>2</v>
      </c>
      <c r="B5" s="190" t="s">
        <v>338</v>
      </c>
      <c r="C5" s="191" t="str">
        <f>VLOOKUP("D",WRZESIEŃ!F$2:$AJ$31,31,0)</f>
        <v>F-sz 001</v>
      </c>
      <c r="D5" s="240"/>
      <c r="E5" s="192"/>
      <c r="G5" s="307"/>
      <c r="I5" s="308"/>
      <c r="J5" s="29"/>
      <c r="K5" s="28"/>
      <c r="L5" s="309"/>
      <c r="N5" s="310"/>
    </row>
    <row r="6" spans="1:14" ht="21.75" customHeight="1">
      <c r="A6" s="189">
        <v>3</v>
      </c>
      <c r="B6" s="190" t="s">
        <v>339</v>
      </c>
      <c r="C6" s="191" t="str">
        <f>VLOOKUP("D",WRZESIEŃ!G$2:$AJ$29,30,0)</f>
        <v>F-sz 027</v>
      </c>
      <c r="D6" s="192"/>
      <c r="E6" s="192"/>
      <c r="G6" s="307"/>
      <c r="I6" s="308"/>
      <c r="J6" s="29"/>
      <c r="K6" s="28"/>
      <c r="L6" s="309"/>
      <c r="N6" s="310"/>
    </row>
    <row r="7" spans="1:14" ht="21.75" customHeight="1">
      <c r="A7" s="189">
        <v>4</v>
      </c>
      <c r="B7" s="190" t="s">
        <v>340</v>
      </c>
      <c r="C7" s="191" t="str">
        <f>VLOOKUP("D",WRZESIEŃ!H$2:$AJ$30,29,0)</f>
        <v>F-sz 019</v>
      </c>
      <c r="D7" s="192"/>
      <c r="E7" s="192"/>
      <c r="G7" s="307"/>
      <c r="I7" s="308"/>
      <c r="J7" s="29"/>
      <c r="K7" s="28"/>
      <c r="L7" s="309"/>
      <c r="N7" s="310"/>
    </row>
    <row r="8" spans="1:14" ht="21.75" customHeight="1">
      <c r="A8" s="189">
        <v>5</v>
      </c>
      <c r="B8" s="190" t="s">
        <v>341</v>
      </c>
      <c r="C8" s="191" t="str">
        <f>VLOOKUP("D",WRZESIEŃ!I$2:$AJ$30,28,0)</f>
        <v>F-sz 010</v>
      </c>
      <c r="D8" s="192"/>
      <c r="E8" s="192"/>
      <c r="G8" s="307"/>
      <c r="I8" s="308"/>
      <c r="J8" s="29"/>
      <c r="K8" s="28"/>
      <c r="L8" s="309"/>
      <c r="N8" s="310"/>
    </row>
    <row r="9" spans="1:14" ht="21.75" customHeight="1">
      <c r="A9" s="189">
        <v>6</v>
      </c>
      <c r="B9" s="190" t="s">
        <v>342</v>
      </c>
      <c r="C9" s="191" t="str">
        <f>VLOOKUP("D",WRZESIEŃ!J$2:$AJ$30,27,0)</f>
        <v>F-sz 022</v>
      </c>
      <c r="D9" s="192"/>
      <c r="E9" s="192"/>
      <c r="G9" s="28"/>
      <c r="J9" s="29"/>
      <c r="K9" s="28"/>
      <c r="N9" s="29"/>
    </row>
    <row r="10" spans="1:14" ht="21.75" customHeight="1">
      <c r="A10" s="189">
        <v>7</v>
      </c>
      <c r="B10" s="190" t="s">
        <v>343</v>
      </c>
      <c r="C10" s="191" t="str">
        <f>VLOOKUP("D",WRZESIEŃ!K$2:$AJ$30,26,0)</f>
        <v>F-sz 004</v>
      </c>
      <c r="D10" s="192"/>
      <c r="E10" s="192"/>
      <c r="G10" s="249"/>
      <c r="I10" s="249"/>
      <c r="J10" s="29"/>
      <c r="K10" s="28"/>
      <c r="L10" s="249"/>
      <c r="N10" s="249"/>
    </row>
    <row r="11" spans="1:14" ht="21.75" customHeight="1">
      <c r="A11" s="189">
        <v>8</v>
      </c>
      <c r="B11" s="190" t="s">
        <v>344</v>
      </c>
      <c r="C11" s="191" t="str">
        <f>VLOOKUP("D",WRZESIEŃ!L$2:$AJ$30,25,0)</f>
        <v>F-sz 013</v>
      </c>
      <c r="D11" s="193"/>
      <c r="E11" s="192"/>
      <c r="G11" s="307"/>
      <c r="I11" s="308"/>
      <c r="J11" s="29"/>
      <c r="K11" s="28"/>
      <c r="L11" s="310"/>
      <c r="N11" s="310"/>
    </row>
    <row r="12" spans="1:14" ht="21.75" customHeight="1">
      <c r="A12" s="189">
        <v>9</v>
      </c>
      <c r="B12" s="190" t="s">
        <v>338</v>
      </c>
      <c r="C12" s="191" t="str">
        <f>VLOOKUP("D",WRZESIEŃ!M$2:$AJ$30,24,0)</f>
        <v>F-sz 023</v>
      </c>
      <c r="D12" s="192"/>
      <c r="E12" s="192"/>
      <c r="G12" s="307"/>
      <c r="I12" s="308"/>
      <c r="J12" s="29"/>
      <c r="K12" s="28"/>
      <c r="L12" s="310"/>
      <c r="N12" s="310"/>
    </row>
    <row r="13" spans="1:14" ht="21.75" customHeight="1">
      <c r="A13" s="189">
        <v>10</v>
      </c>
      <c r="B13" s="190" t="s">
        <v>339</v>
      </c>
      <c r="C13" s="191" t="str">
        <f>VLOOKUP("D",WRZESIEŃ!N$2:$AJ$30,23,0)</f>
        <v>F-sz 024</v>
      </c>
      <c r="D13" s="192"/>
      <c r="E13" s="192"/>
      <c r="G13" s="307"/>
      <c r="I13" s="308"/>
      <c r="J13" s="29"/>
      <c r="K13" s="28"/>
      <c r="L13" s="310"/>
      <c r="N13" s="310"/>
    </row>
    <row r="14" spans="1:14" ht="21.75" customHeight="1">
      <c r="A14" s="189">
        <v>11</v>
      </c>
      <c r="B14" s="190" t="s">
        <v>340</v>
      </c>
      <c r="C14" s="191" t="str">
        <f>VLOOKUP("D",WRZESIEŃ!O$2:$AJ$30,22,0)</f>
        <v>F-sz 017</v>
      </c>
      <c r="D14" s="192"/>
      <c r="E14" s="192"/>
      <c r="G14" s="307"/>
      <c r="I14" s="308"/>
      <c r="J14" s="29"/>
      <c r="K14" s="28"/>
      <c r="L14" s="310"/>
      <c r="N14" s="310"/>
    </row>
    <row r="15" spans="1:14" ht="21.75" customHeight="1">
      <c r="A15" s="189">
        <v>12</v>
      </c>
      <c r="B15" s="190" t="s">
        <v>341</v>
      </c>
      <c r="C15" s="191" t="str">
        <f>VLOOKUP("D",WRZESIEŃ!P$2:$AJ$30,21,0)</f>
        <v>F-sz 020</v>
      </c>
      <c r="D15" s="192"/>
      <c r="E15" s="192"/>
      <c r="G15" s="28"/>
      <c r="J15" s="29"/>
      <c r="K15" s="28"/>
      <c r="N15" s="29"/>
    </row>
    <row r="16" spans="1:14" ht="21.75" customHeight="1">
      <c r="A16" s="189">
        <v>13</v>
      </c>
      <c r="B16" s="190" t="s">
        <v>342</v>
      </c>
      <c r="C16" s="191" t="str">
        <f>VLOOKUP("D",WRZESIEŃ!Q$2:$AJ$30,20,0)</f>
        <v>F-sz 004</v>
      </c>
      <c r="D16" s="192"/>
      <c r="E16" s="192"/>
      <c r="G16" s="249"/>
      <c r="I16" s="249"/>
      <c r="J16" s="29"/>
      <c r="K16" s="28"/>
      <c r="L16" s="249"/>
      <c r="N16" s="249"/>
    </row>
    <row r="17" spans="1:14" ht="21.75" customHeight="1">
      <c r="A17" s="189">
        <v>14</v>
      </c>
      <c r="B17" s="190" t="s">
        <v>343</v>
      </c>
      <c r="C17" s="191" t="str">
        <f>VLOOKUP("D",WRZESIEŃ!R$2:$AJ$30,19,0)</f>
        <v>F-sz 024</v>
      </c>
      <c r="D17" s="192"/>
      <c r="E17" s="192"/>
      <c r="G17" s="307"/>
      <c r="I17" s="308"/>
      <c r="J17" s="29"/>
      <c r="K17" s="28"/>
      <c r="L17" s="309"/>
      <c r="N17" s="309"/>
    </row>
    <row r="18" spans="1:14" ht="21.75" customHeight="1">
      <c r="A18" s="189">
        <v>15</v>
      </c>
      <c r="B18" s="190" t="s">
        <v>344</v>
      </c>
      <c r="C18" s="191" t="str">
        <f>VLOOKUP("D",WRZESIEŃ!S$2:$AJ$30,18,0)</f>
        <v>F-sz 010</v>
      </c>
      <c r="D18" s="192"/>
      <c r="E18" s="192"/>
      <c r="G18" s="307"/>
      <c r="I18" s="308"/>
      <c r="J18" s="29"/>
      <c r="K18" s="28"/>
      <c r="L18" s="309"/>
      <c r="N18" s="309"/>
    </row>
    <row r="19" spans="1:14" ht="21.75" customHeight="1">
      <c r="A19" s="189">
        <v>16</v>
      </c>
      <c r="B19" s="190" t="s">
        <v>338</v>
      </c>
      <c r="C19" s="191" t="str">
        <f>VLOOKUP("D",WRZESIEŃ!T$2:$AJ$30,17,0)</f>
        <v>F-sz 004</v>
      </c>
      <c r="D19" s="192"/>
      <c r="E19" s="192"/>
      <c r="G19" s="307"/>
      <c r="I19" s="308"/>
      <c r="J19" s="29"/>
      <c r="K19" s="28"/>
      <c r="L19" s="309"/>
      <c r="N19" s="309"/>
    </row>
    <row r="20" spans="1:14" ht="21.75" customHeight="1">
      <c r="A20" s="189">
        <v>17</v>
      </c>
      <c r="B20" s="190" t="s">
        <v>339</v>
      </c>
      <c r="C20" s="191" t="str">
        <f>VLOOKUP("D",WRZESIEŃ!U$2:$AJ$30,16,0)</f>
        <v>F-sz 024</v>
      </c>
      <c r="D20" s="192"/>
      <c r="E20" s="192"/>
      <c r="G20" s="307"/>
      <c r="I20" s="308"/>
      <c r="J20" s="29"/>
      <c r="K20" s="28"/>
      <c r="L20" s="309"/>
      <c r="N20" s="309"/>
    </row>
    <row r="21" spans="1:14" ht="21.75" customHeight="1">
      <c r="A21" s="189">
        <v>18</v>
      </c>
      <c r="B21" s="190" t="s">
        <v>340</v>
      </c>
      <c r="C21" s="191" t="str">
        <f>VLOOKUP("D",WRZESIEŃ!V$2:$AJ$30,15,0)</f>
        <v>F-sz 010</v>
      </c>
      <c r="D21" s="192"/>
      <c r="E21" s="192"/>
      <c r="G21" s="28"/>
      <c r="J21" s="29"/>
      <c r="K21" s="28"/>
      <c r="N21" s="29"/>
    </row>
    <row r="22" spans="1:14" ht="21.75" customHeight="1">
      <c r="A22" s="189">
        <v>19</v>
      </c>
      <c r="B22" s="190" t="s">
        <v>341</v>
      </c>
      <c r="C22" s="191" t="str">
        <f>VLOOKUP("D",WRZESIEŃ!W$2:$AJ$30,14,0)</f>
        <v>F-sz 020</v>
      </c>
      <c r="D22" s="192"/>
      <c r="E22" s="192"/>
      <c r="G22" s="249"/>
      <c r="I22" s="249"/>
      <c r="J22" s="29"/>
      <c r="K22" s="28"/>
      <c r="L22" s="249"/>
      <c r="N22" s="249"/>
    </row>
    <row r="23" spans="1:14" ht="21.75" customHeight="1">
      <c r="A23" s="189">
        <v>20</v>
      </c>
      <c r="B23" s="190" t="s">
        <v>342</v>
      </c>
      <c r="C23" s="191" t="str">
        <f>VLOOKUP("D",WRZESIEŃ!X$2:$AJ$30,13,0)</f>
        <v>F-sz 003</v>
      </c>
      <c r="D23" s="192"/>
      <c r="E23" s="192"/>
      <c r="G23" s="307"/>
      <c r="I23" s="308"/>
      <c r="J23" s="29"/>
      <c r="K23" s="28"/>
      <c r="L23" s="309"/>
      <c r="N23" s="310"/>
    </row>
    <row r="24" spans="1:14" ht="21.75" customHeight="1">
      <c r="A24" s="189">
        <v>21</v>
      </c>
      <c r="B24" s="190" t="s">
        <v>343</v>
      </c>
      <c r="C24" s="191" t="str">
        <f>VLOOKUP("D",WRZESIEŃ!Y$2:$AJ$30,12,0)</f>
        <v>F-sz 024</v>
      </c>
      <c r="D24" s="192"/>
      <c r="E24" s="192"/>
      <c r="G24" s="307"/>
      <c r="I24" s="308"/>
      <c r="J24" s="29"/>
      <c r="K24" s="28"/>
      <c r="L24" s="309"/>
      <c r="N24" s="310"/>
    </row>
    <row r="25" spans="1:14" ht="21.75" customHeight="1">
      <c r="A25" s="189">
        <v>22</v>
      </c>
      <c r="B25" s="190" t="s">
        <v>344</v>
      </c>
      <c r="C25" s="191" t="str">
        <f>VLOOKUP("D",WRZESIEŃ!Z$2:$AJ$30,11,0)</f>
        <v>F-sz 025</v>
      </c>
      <c r="D25" s="192"/>
      <c r="E25" s="192"/>
      <c r="G25" s="307"/>
      <c r="I25" s="308"/>
      <c r="J25" s="29"/>
      <c r="K25" s="28"/>
      <c r="L25" s="309"/>
      <c r="N25" s="310"/>
    </row>
    <row r="26" spans="1:14" ht="21.75" customHeight="1">
      <c r="A26" s="189">
        <v>23</v>
      </c>
      <c r="B26" s="190" t="s">
        <v>338</v>
      </c>
      <c r="C26" s="191" t="str">
        <f>VLOOKUP("D",WRZESIEŃ!AA$2:$AJ$30,10,0)</f>
        <v>F-sz 013</v>
      </c>
      <c r="D26" s="192"/>
      <c r="E26" s="192"/>
      <c r="G26" s="307"/>
      <c r="H26" s="319"/>
      <c r="I26" s="308"/>
      <c r="J26" s="320"/>
      <c r="K26" s="321"/>
      <c r="L26" s="309"/>
      <c r="M26" s="319"/>
      <c r="N26" s="310"/>
    </row>
    <row r="27" spans="1:14" ht="21.75" customHeight="1">
      <c r="A27" s="189">
        <v>24</v>
      </c>
      <c r="B27" s="190" t="s">
        <v>339</v>
      </c>
      <c r="C27" s="191" t="str">
        <f>VLOOKUP("D",WRZESIEŃ!AB$2:$AJ$29,9,0)</f>
        <v>F-sz 002</v>
      </c>
      <c r="D27" s="192"/>
      <c r="E27" s="192"/>
      <c r="G27" s="322"/>
      <c r="H27" s="323"/>
      <c r="I27" s="323"/>
      <c r="J27" s="324"/>
      <c r="K27" s="322"/>
      <c r="L27" s="323"/>
      <c r="M27" s="323"/>
      <c r="N27" s="324"/>
    </row>
    <row r="28" spans="1:14" ht="21.75" customHeight="1">
      <c r="A28" s="189">
        <v>25</v>
      </c>
      <c r="B28" s="190" t="s">
        <v>340</v>
      </c>
      <c r="C28" s="191" t="str">
        <f>VLOOKUP("D",WRZESIEŃ!AC$2:$AJ$30,8,0)</f>
        <v>F-sz 003</v>
      </c>
      <c r="D28" s="192"/>
      <c r="E28" s="192"/>
      <c r="G28" s="249"/>
      <c r="I28" s="325"/>
      <c r="J28" s="29"/>
      <c r="K28" s="28"/>
      <c r="L28" s="249"/>
      <c r="N28" s="326"/>
    </row>
    <row r="29" spans="1:14" ht="21.75" customHeight="1">
      <c r="A29" s="189">
        <v>26</v>
      </c>
      <c r="B29" s="190" t="s">
        <v>341</v>
      </c>
      <c r="C29" s="191" t="str">
        <f>VLOOKUP("D",WRZESIEŃ!AD$2:$AJ$30,7,0)</f>
        <v>F-sz 024</v>
      </c>
      <c r="D29" s="192"/>
      <c r="E29" s="192"/>
      <c r="G29" s="309"/>
      <c r="I29" s="121"/>
      <c r="J29" s="29"/>
      <c r="K29" s="28"/>
      <c r="L29" s="309"/>
      <c r="N29" s="327"/>
    </row>
    <row r="30" spans="1:14" ht="21.75" customHeight="1">
      <c r="A30" s="189">
        <v>27</v>
      </c>
      <c r="B30" s="190" t="s">
        <v>342</v>
      </c>
      <c r="C30" s="191" t="str">
        <f>VLOOKUP("D",WRZESIEŃ!AE$2:$AJ$30,6,0)</f>
        <v>F-sz 008</v>
      </c>
      <c r="D30" s="192"/>
      <c r="E30" s="192"/>
      <c r="G30" s="328"/>
      <c r="J30" s="29"/>
      <c r="K30" s="28"/>
      <c r="L30" s="328"/>
      <c r="N30" s="29"/>
    </row>
    <row r="31" spans="1:14" ht="21.75" customHeight="1">
      <c r="A31" s="189">
        <v>28</v>
      </c>
      <c r="B31" s="190" t="s">
        <v>343</v>
      </c>
      <c r="C31" s="191" t="str">
        <f>VLOOKUP("D",WRZESIEŃ!AF$2:$AJ$30,5,0)</f>
        <v>F-sz 013</v>
      </c>
      <c r="D31" s="192"/>
      <c r="E31" s="192"/>
      <c r="G31" s="329"/>
      <c r="J31" s="29"/>
      <c r="K31" s="28"/>
      <c r="L31" s="329"/>
      <c r="N31" s="29"/>
    </row>
    <row r="32" spans="1:14" ht="21.75" customHeight="1">
      <c r="A32" s="189">
        <v>29</v>
      </c>
      <c r="B32" s="190" t="s">
        <v>344</v>
      </c>
      <c r="C32" s="191" t="str">
        <f>VLOOKUP("D",WRZESIEŃ!AG$2:$AJ$30,4,0)</f>
        <v>F-sz 004</v>
      </c>
      <c r="D32" s="192"/>
      <c r="E32" s="192"/>
      <c r="G32" s="330"/>
      <c r="H32" s="319"/>
      <c r="I32" s="319"/>
      <c r="J32" s="320"/>
      <c r="K32" s="321"/>
      <c r="L32" s="330"/>
      <c r="M32" s="319"/>
      <c r="N32" s="320"/>
    </row>
    <row r="33" spans="1:5" ht="21.75" customHeight="1">
      <c r="A33" s="189">
        <v>30</v>
      </c>
      <c r="B33" s="190" t="s">
        <v>338</v>
      </c>
      <c r="C33" s="191" t="str">
        <f>VLOOKUP("D",WRZESIEŃ!AH$2:$AJ$30,3,0)</f>
        <v>F-sz 008</v>
      </c>
      <c r="D33" s="192"/>
      <c r="E33" s="192"/>
    </row>
    <row r="34" spans="1:5" ht="19.5" customHeight="1">
      <c r="A34" s="189">
        <v>31</v>
      </c>
      <c r="B34" s="190" t="s">
        <v>339</v>
      </c>
      <c r="C34" s="375"/>
      <c r="D34" s="376"/>
      <c r="E34" s="376"/>
    </row>
  </sheetData>
  <mergeCells count="6">
    <mergeCell ref="A3:B3"/>
    <mergeCell ref="B1:E1"/>
    <mergeCell ref="G1:N1"/>
    <mergeCell ref="A2:E2"/>
    <mergeCell ref="G2:I2"/>
    <mergeCell ref="L2:N2"/>
  </mergeCells>
  <pageMargins left="0.23611111111111099" right="0.23611111111111099" top="0.15763888888888899" bottom="0.15763888888888899" header="0.51180555555555496" footer="0.51180555555555496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AMJ116"/>
  <sheetViews>
    <sheetView topLeftCell="C1" zoomScale="90" zoomScaleNormal="90" workbookViewId="0">
      <pane ySplit="1" topLeftCell="A47" activePane="bottomLeft" state="frozen"/>
      <selection activeCell="A19" sqref="A19"/>
      <selection pane="bottomLeft" activeCell="A19" sqref="A19"/>
    </sheetView>
  </sheetViews>
  <sheetFormatPr defaultColWidth="8.84375" defaultRowHeight="14.6"/>
  <cols>
    <col min="1" max="1" width="6" style="1" customWidth="1"/>
    <col min="2" max="2" width="4.3046875" style="1" customWidth="1"/>
    <col min="3" max="3" width="19.4609375" style="7" customWidth="1"/>
    <col min="4" max="4" width="6.4609375" style="1" customWidth="1"/>
    <col min="5" max="35" width="3.53515625" style="1" customWidth="1"/>
    <col min="36" max="36" width="41.4609375" style="1" hidden="1" customWidth="1"/>
    <col min="37" max="37" width="6.4609375" style="8" customWidth="1"/>
    <col min="38" max="38" width="4.69140625" style="1" customWidth="1"/>
    <col min="39" max="39" width="5.69140625" style="1" customWidth="1"/>
    <col min="40" max="40" width="4.53515625" style="1" customWidth="1"/>
    <col min="41" max="43" width="8.84375" style="1"/>
    <col min="44" max="44" width="20.3046875" style="1" customWidth="1"/>
    <col min="45" max="1024" width="8.84375" style="1"/>
  </cols>
  <sheetData>
    <row r="1" spans="1:45" ht="43.3">
      <c r="A1" s="1" t="s">
        <v>52</v>
      </c>
      <c r="D1" s="9">
        <v>44470</v>
      </c>
      <c r="E1" s="11">
        <v>44470</v>
      </c>
      <c r="F1" s="10">
        <v>44471</v>
      </c>
      <c r="G1" s="10">
        <v>44472</v>
      </c>
      <c r="H1" s="11">
        <v>44473</v>
      </c>
      <c r="I1" s="11">
        <v>44474</v>
      </c>
      <c r="J1" s="11">
        <v>44475</v>
      </c>
      <c r="K1" s="11">
        <v>44476</v>
      </c>
      <c r="L1" s="11">
        <v>44477</v>
      </c>
      <c r="M1" s="10">
        <v>44478</v>
      </c>
      <c r="N1" s="10">
        <v>44479</v>
      </c>
      <c r="O1" s="11">
        <v>44480</v>
      </c>
      <c r="P1" s="11">
        <v>44481</v>
      </c>
      <c r="Q1" s="11">
        <v>44482</v>
      </c>
      <c r="R1" s="11">
        <v>44483</v>
      </c>
      <c r="S1" s="11">
        <v>44484</v>
      </c>
      <c r="T1" s="10">
        <v>44485</v>
      </c>
      <c r="U1" s="10">
        <v>44486</v>
      </c>
      <c r="V1" s="11">
        <v>44487</v>
      </c>
      <c r="W1" s="11">
        <v>44488</v>
      </c>
      <c r="X1" s="11">
        <v>44489</v>
      </c>
      <c r="Y1" s="11">
        <v>44490</v>
      </c>
      <c r="Z1" s="11">
        <v>44491</v>
      </c>
      <c r="AA1" s="10">
        <v>44492</v>
      </c>
      <c r="AB1" s="10">
        <v>44493</v>
      </c>
      <c r="AC1" s="11">
        <v>44494</v>
      </c>
      <c r="AD1" s="11">
        <v>44495</v>
      </c>
      <c r="AE1" s="11">
        <v>44496</v>
      </c>
      <c r="AF1" s="11">
        <v>44497</v>
      </c>
      <c r="AG1" s="11">
        <v>44498</v>
      </c>
      <c r="AH1" s="10">
        <v>44499</v>
      </c>
      <c r="AI1" s="10">
        <v>44500</v>
      </c>
      <c r="AJ1" s="14"/>
      <c r="AK1" s="435">
        <f>21*8</f>
        <v>168</v>
      </c>
      <c r="AL1" s="16" t="s">
        <v>53</v>
      </c>
      <c r="AM1" s="17" t="s">
        <v>54</v>
      </c>
      <c r="AN1" s="18" t="s">
        <v>75</v>
      </c>
      <c r="AO1" s="1" t="s">
        <v>56</v>
      </c>
      <c r="AP1" s="1" t="s">
        <v>55</v>
      </c>
    </row>
    <row r="2" spans="1:45" ht="15.9">
      <c r="A2" s="1" t="s">
        <v>58</v>
      </c>
      <c r="B2" s="1" t="s">
        <v>59</v>
      </c>
      <c r="C2" s="198" t="s">
        <v>60</v>
      </c>
      <c r="D2" s="20" t="e">
        <f>Zasoby!#REF!</f>
        <v>#REF!</v>
      </c>
      <c r="E2" s="200" t="s">
        <v>66</v>
      </c>
      <c r="F2" s="23" t="s">
        <v>66</v>
      </c>
      <c r="G2" s="23" t="s">
        <v>66</v>
      </c>
      <c r="H2" s="22" t="s">
        <v>66</v>
      </c>
      <c r="I2" s="22" t="s">
        <v>66</v>
      </c>
      <c r="J2" s="22" t="s">
        <v>66</v>
      </c>
      <c r="K2" s="22" t="s">
        <v>66</v>
      </c>
      <c r="L2" s="22" t="s">
        <v>66</v>
      </c>
      <c r="M2" s="23"/>
      <c r="N2" s="23"/>
      <c r="O2" s="22" t="s">
        <v>69</v>
      </c>
      <c r="P2" s="22" t="s">
        <v>70</v>
      </c>
      <c r="Q2" s="22" t="s">
        <v>70</v>
      </c>
      <c r="R2" s="22" t="s">
        <v>70</v>
      </c>
      <c r="S2" s="22" t="s">
        <v>69</v>
      </c>
      <c r="T2" s="23"/>
      <c r="U2" s="23"/>
      <c r="V2" s="22"/>
      <c r="W2" s="22"/>
      <c r="X2" s="22"/>
      <c r="Y2" s="22"/>
      <c r="Z2" s="22"/>
      <c r="AA2" s="23"/>
      <c r="AB2" s="23"/>
      <c r="AC2" s="22"/>
      <c r="AD2" s="22" t="s">
        <v>113</v>
      </c>
      <c r="AE2" s="22"/>
      <c r="AF2" s="22"/>
      <c r="AG2" s="22"/>
      <c r="AH2" s="23"/>
      <c r="AI2" s="492"/>
      <c r="AJ2" s="440" t="str">
        <f>Tabela13[[#This Row],[FUNKCJONARIUSZ]]</f>
        <v>F-sz 001</v>
      </c>
      <c r="AK2" s="534" t="e">
        <f t="shared" ref="AK2:AK29" si="0">D2+AL2+AM2+AN2-$AK$1+AO2+AP2</f>
        <v>#REF!</v>
      </c>
      <c r="AL2">
        <f t="shared" ref="AL2:AL29" si="1">COUNTIF(E2:AI2,"D")*24+COUNTIF(E2:AI2,"12g")*12</f>
        <v>24</v>
      </c>
      <c r="AM2">
        <f t="shared" ref="AM2:AM29" si="2">SUM(COUNTIF(E2:AI2,"k")+COUNTIF(E2:AI2,"s")+COUNTIF(E2:AI2,"wse"))*24+SUM(COUNTIF(E2:AI2,"Pk")+COUNTIF(E2:AI2,"Ps"))*12</f>
        <v>96</v>
      </c>
      <c r="AN2" s="29">
        <f t="shared" ref="AN2:AN11" si="3">SUM(E2:AI2)+COUNTIF(E2:AI2,"uw")*8+COUNTIF(E2:AI2,"us")*8+COUNTIF(E2:AI2,"uz")*8</f>
        <v>0</v>
      </c>
      <c r="AO2" s="1">
        <f t="shared" ref="AO2:AO29" si="4">COUNTIF(E2:AI2,"DT")*8</f>
        <v>0</v>
      </c>
      <c r="AP2" s="1">
        <f>3*8</f>
        <v>24</v>
      </c>
    </row>
    <row r="3" spans="1:45" ht="15.9">
      <c r="A3" s="1" t="s">
        <v>63</v>
      </c>
      <c r="B3" s="1" t="s">
        <v>64</v>
      </c>
      <c r="C3" s="535" t="s">
        <v>65</v>
      </c>
      <c r="D3" s="20" t="e">
        <f>Zasoby!#REF!</f>
        <v>#REF!</v>
      </c>
      <c r="E3" s="204">
        <v>10</v>
      </c>
      <c r="F3" s="33"/>
      <c r="G3" s="33"/>
      <c r="H3" s="32"/>
      <c r="I3" s="32"/>
      <c r="J3" s="32"/>
      <c r="K3" s="32"/>
      <c r="L3" s="32"/>
      <c r="M3" s="33"/>
      <c r="N3" s="33"/>
      <c r="O3" s="32"/>
      <c r="P3" s="32" t="s">
        <v>113</v>
      </c>
      <c r="Q3" s="32"/>
      <c r="R3" s="32"/>
      <c r="S3" s="32" t="s">
        <v>69</v>
      </c>
      <c r="T3" s="33" t="s">
        <v>70</v>
      </c>
      <c r="U3" s="33" t="s">
        <v>70</v>
      </c>
      <c r="V3" s="32" t="s">
        <v>69</v>
      </c>
      <c r="W3" s="32"/>
      <c r="X3" s="32"/>
      <c r="Y3" s="32"/>
      <c r="Z3" s="32"/>
      <c r="AA3" s="33"/>
      <c r="AB3" s="33"/>
      <c r="AC3" s="32"/>
      <c r="AD3" s="32"/>
      <c r="AE3" s="32"/>
      <c r="AF3" s="32"/>
      <c r="AG3" s="32" t="s">
        <v>61</v>
      </c>
      <c r="AH3" s="33" t="s">
        <v>62</v>
      </c>
      <c r="AI3" s="493" t="s">
        <v>62</v>
      </c>
      <c r="AJ3" s="440" t="str">
        <f>Tabela13[[#This Row],[FUNKCJONARIUSZ]]</f>
        <v>F-sz 002</v>
      </c>
      <c r="AK3" s="534" t="e">
        <f t="shared" si="0"/>
        <v>#REF!</v>
      </c>
      <c r="AL3">
        <f t="shared" si="1"/>
        <v>24</v>
      </c>
      <c r="AM3">
        <f t="shared" si="2"/>
        <v>132</v>
      </c>
      <c r="AN3" s="29">
        <f t="shared" si="3"/>
        <v>10</v>
      </c>
      <c r="AO3" s="1">
        <f t="shared" si="4"/>
        <v>0</v>
      </c>
      <c r="AP3" s="1">
        <v>0</v>
      </c>
    </row>
    <row r="4" spans="1:45" ht="15.9">
      <c r="A4" s="1" t="s">
        <v>67</v>
      </c>
      <c r="B4" s="1" t="s">
        <v>64</v>
      </c>
      <c r="C4" s="535" t="s">
        <v>68</v>
      </c>
      <c r="D4" s="20" t="e">
        <f>Zasoby!#REF!</f>
        <v>#REF!</v>
      </c>
      <c r="E4" s="204">
        <v>1</v>
      </c>
      <c r="F4" s="33"/>
      <c r="G4" s="33"/>
      <c r="H4" s="32">
        <v>17</v>
      </c>
      <c r="I4" s="32" t="s">
        <v>62</v>
      </c>
      <c r="J4" s="32" t="s">
        <v>62</v>
      </c>
      <c r="K4" s="32" t="s">
        <v>62</v>
      </c>
      <c r="L4" s="32" t="s">
        <v>62</v>
      </c>
      <c r="M4" s="33" t="s">
        <v>62</v>
      </c>
      <c r="N4" s="33" t="s">
        <v>62</v>
      </c>
      <c r="O4" s="32" t="s">
        <v>61</v>
      </c>
      <c r="P4" s="32"/>
      <c r="Q4" s="32"/>
      <c r="R4" s="32"/>
      <c r="S4" s="32"/>
      <c r="T4" s="33"/>
      <c r="U4" s="33"/>
      <c r="V4" s="32"/>
      <c r="W4" s="32"/>
      <c r="X4" s="32"/>
      <c r="Y4" s="32"/>
      <c r="Z4" s="32"/>
      <c r="AA4" s="33"/>
      <c r="AB4" s="33"/>
      <c r="AC4" s="32"/>
      <c r="AD4" s="32"/>
      <c r="AE4" s="32"/>
      <c r="AF4" s="32"/>
      <c r="AG4" s="32" t="s">
        <v>66</v>
      </c>
      <c r="AH4" s="33" t="s">
        <v>66</v>
      </c>
      <c r="AI4" s="493" t="s">
        <v>66</v>
      </c>
      <c r="AJ4" s="440" t="str">
        <f>Tabela13[[#This Row],[FUNKCJONARIUSZ]]</f>
        <v>F-sz 003</v>
      </c>
      <c r="AK4" s="534" t="e">
        <f t="shared" si="0"/>
        <v>#REF!</v>
      </c>
      <c r="AL4">
        <f t="shared" si="1"/>
        <v>0</v>
      </c>
      <c r="AM4">
        <f t="shared" si="2"/>
        <v>156</v>
      </c>
      <c r="AN4" s="29">
        <f t="shared" si="3"/>
        <v>18</v>
      </c>
      <c r="AO4" s="1">
        <f t="shared" si="4"/>
        <v>0</v>
      </c>
      <c r="AP4" s="1">
        <v>0</v>
      </c>
    </row>
    <row r="5" spans="1:45" ht="15.9">
      <c r="A5" s="1" t="s">
        <v>63</v>
      </c>
      <c r="B5" s="1" t="s">
        <v>64</v>
      </c>
      <c r="C5" s="203" t="s">
        <v>71</v>
      </c>
      <c r="D5" s="20" t="e">
        <f>Zasoby!#REF!</f>
        <v>#REF!</v>
      </c>
      <c r="E5" s="204" t="s">
        <v>66</v>
      </c>
      <c r="F5" s="33"/>
      <c r="G5" s="33"/>
      <c r="H5" s="32"/>
      <c r="I5" s="32"/>
      <c r="J5" s="32"/>
      <c r="K5" s="32" t="s">
        <v>75</v>
      </c>
      <c r="L5" s="32" t="s">
        <v>75</v>
      </c>
      <c r="M5" s="33" t="s">
        <v>66</v>
      </c>
      <c r="N5" s="33" t="s">
        <v>66</v>
      </c>
      <c r="O5" s="32" t="s">
        <v>75</v>
      </c>
      <c r="P5" s="32" t="s">
        <v>75</v>
      </c>
      <c r="Q5" s="32" t="s">
        <v>75</v>
      </c>
      <c r="R5" s="32" t="s">
        <v>75</v>
      </c>
      <c r="S5" s="32" t="s">
        <v>75</v>
      </c>
      <c r="T5" s="33" t="s">
        <v>66</v>
      </c>
      <c r="U5" s="33" t="s">
        <v>66</v>
      </c>
      <c r="V5" s="32" t="s">
        <v>75</v>
      </c>
      <c r="W5" s="32"/>
      <c r="X5" s="32"/>
      <c r="Y5" s="32"/>
      <c r="Z5" s="32" t="s">
        <v>61</v>
      </c>
      <c r="AA5" s="33" t="s">
        <v>62</v>
      </c>
      <c r="AB5" s="33" t="s">
        <v>62</v>
      </c>
      <c r="AC5" s="32" t="s">
        <v>61</v>
      </c>
      <c r="AD5" s="32"/>
      <c r="AE5" s="32"/>
      <c r="AF5" s="32"/>
      <c r="AG5" s="32"/>
      <c r="AH5" s="33"/>
      <c r="AI5" s="493"/>
      <c r="AJ5" s="440" t="str">
        <f>Tabela13[[#This Row],[FUNKCJONARIUSZ]]</f>
        <v>F-sz 004</v>
      </c>
      <c r="AK5" s="534" t="e">
        <f t="shared" si="0"/>
        <v>#REF!</v>
      </c>
      <c r="AL5">
        <f t="shared" si="1"/>
        <v>0</v>
      </c>
      <c r="AM5">
        <f t="shared" si="2"/>
        <v>72</v>
      </c>
      <c r="AN5" s="29">
        <f t="shared" si="3"/>
        <v>64</v>
      </c>
      <c r="AO5" s="1">
        <f t="shared" si="4"/>
        <v>0</v>
      </c>
      <c r="AP5" s="1">
        <v>0</v>
      </c>
      <c r="AQ5" s="36" t="s">
        <v>59</v>
      </c>
      <c r="AR5" s="1" t="s">
        <v>72</v>
      </c>
      <c r="AS5" s="1">
        <v>24</v>
      </c>
    </row>
    <row r="6" spans="1:45" ht="15.9">
      <c r="A6" s="1" t="s">
        <v>67</v>
      </c>
      <c r="B6" s="1" t="s">
        <v>73</v>
      </c>
      <c r="C6" s="536" t="s">
        <v>74</v>
      </c>
      <c r="D6" s="20" t="e">
        <f>Zasoby!#REF!</f>
        <v>#REF!</v>
      </c>
      <c r="E6" s="204">
        <v>7</v>
      </c>
      <c r="F6" s="33"/>
      <c r="G6" s="33"/>
      <c r="H6" s="32">
        <v>7</v>
      </c>
      <c r="I6" s="32">
        <v>8</v>
      </c>
      <c r="J6" s="32">
        <v>7</v>
      </c>
      <c r="K6" s="32">
        <v>7</v>
      </c>
      <c r="L6" s="32">
        <v>7</v>
      </c>
      <c r="M6" s="33" t="s">
        <v>113</v>
      </c>
      <c r="N6" s="33"/>
      <c r="O6" s="32"/>
      <c r="P6" s="32"/>
      <c r="Q6" s="32"/>
      <c r="R6" s="32"/>
      <c r="S6" s="32"/>
      <c r="T6" s="33" t="s">
        <v>66</v>
      </c>
      <c r="U6" s="33" t="s">
        <v>66</v>
      </c>
      <c r="V6" s="32" t="s">
        <v>66</v>
      </c>
      <c r="W6" s="32"/>
      <c r="X6" s="32"/>
      <c r="Y6" s="32"/>
      <c r="Z6" s="32"/>
      <c r="AA6" s="33"/>
      <c r="AB6" s="33"/>
      <c r="AC6" s="32"/>
      <c r="AD6" s="32"/>
      <c r="AE6" s="32"/>
      <c r="AF6" s="32" t="s">
        <v>103</v>
      </c>
      <c r="AG6" s="32" t="s">
        <v>113</v>
      </c>
      <c r="AH6" s="33"/>
      <c r="AI6" s="493"/>
      <c r="AJ6" s="440" t="str">
        <f>Tabela13[[#This Row],[FUNKCJONARIUSZ]]</f>
        <v>F-sz 005</v>
      </c>
      <c r="AK6" s="534" t="e">
        <f t="shared" si="0"/>
        <v>#REF!</v>
      </c>
      <c r="AL6">
        <f t="shared" si="1"/>
        <v>48</v>
      </c>
      <c r="AM6">
        <f t="shared" si="2"/>
        <v>0</v>
      </c>
      <c r="AN6" s="29">
        <f t="shared" si="3"/>
        <v>43</v>
      </c>
      <c r="AO6" s="1">
        <f t="shared" si="4"/>
        <v>0</v>
      </c>
      <c r="AP6" s="1">
        <v>0</v>
      </c>
      <c r="AQ6" s="36" t="s">
        <v>76</v>
      </c>
      <c r="AR6" s="1" t="s">
        <v>77</v>
      </c>
      <c r="AS6" s="1">
        <v>12</v>
      </c>
    </row>
    <row r="7" spans="1:45" ht="15.9">
      <c r="A7" s="1" t="s">
        <v>67</v>
      </c>
      <c r="B7" s="1" t="s">
        <v>59</v>
      </c>
      <c r="C7" s="30" t="s">
        <v>78</v>
      </c>
      <c r="D7" s="20" t="e">
        <f>Zasoby!#REF!</f>
        <v>#REF!</v>
      </c>
      <c r="E7" s="204"/>
      <c r="F7" s="33"/>
      <c r="G7" s="33"/>
      <c r="H7" s="32"/>
      <c r="I7" s="32"/>
      <c r="J7" s="32"/>
      <c r="K7" s="32"/>
      <c r="L7" s="32"/>
      <c r="M7" s="33"/>
      <c r="N7" s="33"/>
      <c r="O7" s="32"/>
      <c r="P7" s="32" t="s">
        <v>257</v>
      </c>
      <c r="Q7" s="32" t="s">
        <v>257</v>
      </c>
      <c r="R7" s="32"/>
      <c r="S7" s="32"/>
      <c r="T7" s="33"/>
      <c r="U7" s="33"/>
      <c r="V7" s="32"/>
      <c r="W7" s="32" t="s">
        <v>257</v>
      </c>
      <c r="X7" s="32" t="s">
        <v>257</v>
      </c>
      <c r="Y7" s="32" t="s">
        <v>259</v>
      </c>
      <c r="Z7" s="32"/>
      <c r="AA7" s="33"/>
      <c r="AB7" s="33"/>
      <c r="AC7" s="32" t="s">
        <v>69</v>
      </c>
      <c r="AD7" s="32" t="s">
        <v>70</v>
      </c>
      <c r="AE7" s="32" t="s">
        <v>70</v>
      </c>
      <c r="AF7" s="32" t="s">
        <v>70</v>
      </c>
      <c r="AG7" s="32" t="s">
        <v>69</v>
      </c>
      <c r="AH7" s="33"/>
      <c r="AI7" s="493"/>
      <c r="AJ7" s="440" t="str">
        <f>Tabela13[[#This Row],[FUNKCJONARIUSZ]]</f>
        <v>F-sz 006</v>
      </c>
      <c r="AK7" s="534" t="e">
        <f t="shared" si="0"/>
        <v>#REF!</v>
      </c>
      <c r="AL7">
        <f t="shared" si="1"/>
        <v>0</v>
      </c>
      <c r="AM7">
        <f t="shared" si="2"/>
        <v>96</v>
      </c>
      <c r="AN7" s="29">
        <f t="shared" si="3"/>
        <v>0</v>
      </c>
      <c r="AO7" s="1">
        <f t="shared" si="4"/>
        <v>0</v>
      </c>
      <c r="AP7" s="1">
        <v>24</v>
      </c>
      <c r="AQ7" s="36" t="s">
        <v>69</v>
      </c>
      <c r="AR7" s="1" t="s">
        <v>79</v>
      </c>
      <c r="AS7" s="1">
        <v>12</v>
      </c>
    </row>
    <row r="8" spans="1:45" ht="15.9">
      <c r="A8" s="1" t="s">
        <v>67</v>
      </c>
      <c r="B8" s="1" t="s">
        <v>59</v>
      </c>
      <c r="C8" s="203" t="s">
        <v>80</v>
      </c>
      <c r="D8" s="20" t="e">
        <f>Zasoby!#REF!</f>
        <v>#REF!</v>
      </c>
      <c r="E8" s="204"/>
      <c r="F8" s="33"/>
      <c r="G8" s="33"/>
      <c r="H8" s="32"/>
      <c r="I8" s="32" t="s">
        <v>257</v>
      </c>
      <c r="J8" s="32" t="s">
        <v>257</v>
      </c>
      <c r="K8" s="32"/>
      <c r="L8" s="32"/>
      <c r="M8" s="33"/>
      <c r="N8" s="33"/>
      <c r="O8" s="32"/>
      <c r="P8" s="32"/>
      <c r="Q8" s="32"/>
      <c r="R8" s="32"/>
      <c r="S8" s="32"/>
      <c r="T8" s="33"/>
      <c r="U8" s="33"/>
      <c r="V8" s="32" t="s">
        <v>70</v>
      </c>
      <c r="W8" s="32" t="s">
        <v>257</v>
      </c>
      <c r="X8" s="32" t="s">
        <v>257</v>
      </c>
      <c r="Y8" s="32" t="s">
        <v>257</v>
      </c>
      <c r="Z8" s="32"/>
      <c r="AA8" s="33"/>
      <c r="AB8" s="33"/>
      <c r="AC8" s="32"/>
      <c r="AD8" s="32"/>
      <c r="AE8" s="32"/>
      <c r="AF8" s="32"/>
      <c r="AG8" s="32"/>
      <c r="AH8" s="33"/>
      <c r="AI8" s="493"/>
      <c r="AJ8" s="440" t="str">
        <f>Tabela13[[#This Row],[FUNKCJONARIUSZ]]</f>
        <v>F-sz 007</v>
      </c>
      <c r="AK8" s="534" t="e">
        <f t="shared" si="0"/>
        <v>#REF!</v>
      </c>
      <c r="AL8">
        <f t="shared" si="1"/>
        <v>0</v>
      </c>
      <c r="AM8">
        <f t="shared" si="2"/>
        <v>24</v>
      </c>
      <c r="AN8" s="29">
        <f t="shared" si="3"/>
        <v>0</v>
      </c>
      <c r="AO8" s="1">
        <f t="shared" si="4"/>
        <v>0</v>
      </c>
      <c r="AP8" s="1">
        <v>0</v>
      </c>
      <c r="AQ8" s="36" t="s">
        <v>70</v>
      </c>
      <c r="AR8" s="1" t="s">
        <v>81</v>
      </c>
      <c r="AS8" s="1">
        <v>24</v>
      </c>
    </row>
    <row r="9" spans="1:45" ht="15.9">
      <c r="A9" s="1" t="s">
        <v>67</v>
      </c>
      <c r="B9" s="1" t="s">
        <v>59</v>
      </c>
      <c r="C9" s="203" t="s">
        <v>82</v>
      </c>
      <c r="D9" s="20" t="e">
        <f>Zasoby!#REF!</f>
        <v>#REF!</v>
      </c>
      <c r="E9" s="204">
        <v>8</v>
      </c>
      <c r="F9" s="33" t="s">
        <v>66</v>
      </c>
      <c r="G9" s="33"/>
      <c r="H9" s="32">
        <v>17</v>
      </c>
      <c r="I9" s="32" t="s">
        <v>62</v>
      </c>
      <c r="J9" s="32" t="s">
        <v>62</v>
      </c>
      <c r="K9" s="32" t="s">
        <v>62</v>
      </c>
      <c r="L9" s="32" t="s">
        <v>62</v>
      </c>
      <c r="M9" s="33" t="s">
        <v>62</v>
      </c>
      <c r="N9" s="33" t="s">
        <v>62</v>
      </c>
      <c r="O9" s="32" t="s">
        <v>61</v>
      </c>
      <c r="P9" s="32"/>
      <c r="Q9" s="32"/>
      <c r="R9" s="32"/>
      <c r="S9" s="32"/>
      <c r="T9" s="33"/>
      <c r="U9" s="33"/>
      <c r="V9" s="32"/>
      <c r="W9" s="32"/>
      <c r="X9" s="32"/>
      <c r="Y9" s="32"/>
      <c r="Z9" s="32"/>
      <c r="AA9" s="537"/>
      <c r="AB9" s="33"/>
      <c r="AC9" s="32"/>
      <c r="AD9" s="32"/>
      <c r="AE9" s="32"/>
      <c r="AF9" s="32"/>
      <c r="AG9" s="32" t="s">
        <v>61</v>
      </c>
      <c r="AH9" s="33" t="s">
        <v>62</v>
      </c>
      <c r="AI9" s="493" t="s">
        <v>62</v>
      </c>
      <c r="AJ9" s="440" t="str">
        <f>Tabela13[[#This Row],[FUNKCJONARIUSZ]]</f>
        <v>F-sz 008</v>
      </c>
      <c r="AK9" s="534" t="e">
        <f t="shared" si="0"/>
        <v>#REF!</v>
      </c>
      <c r="AL9">
        <f t="shared" si="1"/>
        <v>0</v>
      </c>
      <c r="AM9">
        <f t="shared" si="2"/>
        <v>216</v>
      </c>
      <c r="AN9" s="29">
        <f t="shared" si="3"/>
        <v>25</v>
      </c>
      <c r="AO9" s="1">
        <f t="shared" si="4"/>
        <v>0</v>
      </c>
      <c r="AP9" s="1">
        <v>0</v>
      </c>
      <c r="AQ9" s="36" t="s">
        <v>83</v>
      </c>
      <c r="AR9" s="1" t="s">
        <v>84</v>
      </c>
      <c r="AS9" s="1">
        <v>8</v>
      </c>
    </row>
    <row r="10" spans="1:45" ht="15.9">
      <c r="A10" s="1" t="s">
        <v>58</v>
      </c>
      <c r="B10" s="1" t="s">
        <v>73</v>
      </c>
      <c r="C10" s="203" t="s">
        <v>85</v>
      </c>
      <c r="D10" s="20" t="e">
        <f>Zasoby!#REF!</f>
        <v>#REF!</v>
      </c>
      <c r="E10" s="204" t="s">
        <v>70</v>
      </c>
      <c r="F10" s="33" t="s">
        <v>70</v>
      </c>
      <c r="G10" s="33" t="s">
        <v>70</v>
      </c>
      <c r="H10" s="32">
        <v>13</v>
      </c>
      <c r="I10" s="32" t="s">
        <v>66</v>
      </c>
      <c r="J10" s="32" t="s">
        <v>66</v>
      </c>
      <c r="K10" s="32" t="s">
        <v>66</v>
      </c>
      <c r="L10" s="32" t="s">
        <v>66</v>
      </c>
      <c r="M10" s="33" t="s">
        <v>66</v>
      </c>
      <c r="N10" s="33" t="s">
        <v>66</v>
      </c>
      <c r="O10" s="32"/>
      <c r="P10" s="32"/>
      <c r="Q10" s="32"/>
      <c r="R10" s="32"/>
      <c r="S10" s="32"/>
      <c r="T10" s="33"/>
      <c r="U10" s="33"/>
      <c r="V10" s="32"/>
      <c r="W10" s="32" t="s">
        <v>257</v>
      </c>
      <c r="X10" s="32" t="s">
        <v>257</v>
      </c>
      <c r="Y10" s="32" t="s">
        <v>259</v>
      </c>
      <c r="Z10" s="32"/>
      <c r="AA10" s="33"/>
      <c r="AB10" s="33"/>
      <c r="AC10" s="32"/>
      <c r="AD10" s="32"/>
      <c r="AE10" s="32"/>
      <c r="AF10" s="32" t="s">
        <v>103</v>
      </c>
      <c r="AG10" s="32"/>
      <c r="AH10" s="33"/>
      <c r="AI10" s="493"/>
      <c r="AJ10" s="440" t="str">
        <f>Tabela13[[#This Row],[FUNKCJONARIUSZ]]</f>
        <v>F-sz 009</v>
      </c>
      <c r="AK10" s="534" t="e">
        <f t="shared" si="0"/>
        <v>#REF!</v>
      </c>
      <c r="AL10">
        <f t="shared" si="1"/>
        <v>0</v>
      </c>
      <c r="AM10">
        <f t="shared" si="2"/>
        <v>72</v>
      </c>
      <c r="AN10" s="29">
        <f t="shared" si="3"/>
        <v>13</v>
      </c>
      <c r="AO10" s="1">
        <f t="shared" si="4"/>
        <v>0</v>
      </c>
      <c r="AP10" s="1">
        <v>24</v>
      </c>
      <c r="AQ10" s="36" t="s">
        <v>75</v>
      </c>
      <c r="AR10" s="1" t="s">
        <v>86</v>
      </c>
      <c r="AS10" s="1">
        <v>8</v>
      </c>
    </row>
    <row r="11" spans="1:45" ht="15.9">
      <c r="A11" s="1" t="s">
        <v>58</v>
      </c>
      <c r="B11" s="1" t="s">
        <v>73</v>
      </c>
      <c r="C11" s="203" t="s">
        <v>87</v>
      </c>
      <c r="D11" s="20" t="e">
        <f>Zasoby!#REF!</f>
        <v>#REF!</v>
      </c>
      <c r="E11" s="204"/>
      <c r="F11" s="33"/>
      <c r="G11" s="33" t="s">
        <v>66</v>
      </c>
      <c r="H11" s="32"/>
      <c r="I11" s="32" t="s">
        <v>257</v>
      </c>
      <c r="J11" s="32" t="s">
        <v>257</v>
      </c>
      <c r="K11" s="32"/>
      <c r="L11" s="32"/>
      <c r="M11" s="33"/>
      <c r="N11" s="33" t="s">
        <v>66</v>
      </c>
      <c r="O11" s="32"/>
      <c r="P11" s="32"/>
      <c r="Q11" s="32"/>
      <c r="R11" s="32"/>
      <c r="S11" s="32"/>
      <c r="T11" s="33"/>
      <c r="U11" s="33" t="s">
        <v>113</v>
      </c>
      <c r="V11" s="32"/>
      <c r="W11" s="32"/>
      <c r="X11" s="32"/>
      <c r="Y11" s="32"/>
      <c r="Z11" s="32"/>
      <c r="AA11" s="33"/>
      <c r="AB11" s="33"/>
      <c r="AC11" s="32" t="s">
        <v>61</v>
      </c>
      <c r="AD11" s="32" t="s">
        <v>62</v>
      </c>
      <c r="AE11" s="32" t="s">
        <v>62</v>
      </c>
      <c r="AF11" s="32" t="s">
        <v>62</v>
      </c>
      <c r="AG11" s="32" t="s">
        <v>62</v>
      </c>
      <c r="AH11" s="33" t="s">
        <v>62</v>
      </c>
      <c r="AI11" s="493" t="s">
        <v>62</v>
      </c>
      <c r="AJ11" s="440" t="str">
        <f>Tabela13[[#This Row],[FUNKCJONARIUSZ]]</f>
        <v>F-sz 010</v>
      </c>
      <c r="AK11" s="534" t="e">
        <f t="shared" si="0"/>
        <v>#REF!</v>
      </c>
      <c r="AL11">
        <f t="shared" si="1"/>
        <v>24</v>
      </c>
      <c r="AM11">
        <f t="shared" si="2"/>
        <v>156</v>
      </c>
      <c r="AN11" s="29">
        <f t="shared" si="3"/>
        <v>0</v>
      </c>
      <c r="AO11" s="1">
        <f t="shared" si="4"/>
        <v>0</v>
      </c>
      <c r="AP11" s="1">
        <v>0</v>
      </c>
      <c r="AQ11" s="36" t="s">
        <v>88</v>
      </c>
      <c r="AR11" s="1" t="s">
        <v>89</v>
      </c>
      <c r="AS11" s="1">
        <v>8</v>
      </c>
    </row>
    <row r="12" spans="1:45" ht="15.9">
      <c r="A12" s="1" t="s">
        <v>90</v>
      </c>
      <c r="B12" s="1" t="s">
        <v>64</v>
      </c>
      <c r="C12" s="538" t="s">
        <v>91</v>
      </c>
      <c r="D12" s="20" t="e">
        <f>Zasoby!#REF!</f>
        <v>#REF!</v>
      </c>
      <c r="E12" s="204">
        <v>17</v>
      </c>
      <c r="F12" s="33" t="s">
        <v>70</v>
      </c>
      <c r="G12" s="33" t="s">
        <v>70</v>
      </c>
      <c r="H12" s="32">
        <v>15</v>
      </c>
      <c r="I12" s="32"/>
      <c r="J12" s="32"/>
      <c r="K12" s="32"/>
      <c r="L12" s="43"/>
      <c r="M12" s="539"/>
      <c r="N12" s="539"/>
      <c r="O12" s="32"/>
      <c r="P12" s="32"/>
      <c r="Q12" s="32"/>
      <c r="R12" s="32" t="s">
        <v>113</v>
      </c>
      <c r="S12" s="32"/>
      <c r="T12" s="33"/>
      <c r="U12" s="33"/>
      <c r="V12" s="32"/>
      <c r="W12" s="32"/>
      <c r="X12" s="32"/>
      <c r="Y12" s="32" t="s">
        <v>113</v>
      </c>
      <c r="Z12" s="32"/>
      <c r="AA12" s="33"/>
      <c r="AB12" s="33"/>
      <c r="AC12" s="32" t="s">
        <v>113</v>
      </c>
      <c r="AD12" s="32"/>
      <c r="AE12" s="32"/>
      <c r="AF12" s="32" t="s">
        <v>113</v>
      </c>
      <c r="AG12" s="32"/>
      <c r="AH12" s="33"/>
      <c r="AI12" s="493"/>
      <c r="AJ12" s="440" t="str">
        <f>Tabela13[[#This Row],[FUNKCJONARIUSZ]]</f>
        <v>F-sz 011</v>
      </c>
      <c r="AK12" s="534" t="e">
        <f t="shared" si="0"/>
        <v>#REF!</v>
      </c>
      <c r="AL12">
        <f t="shared" si="1"/>
        <v>96</v>
      </c>
      <c r="AM12">
        <f t="shared" si="2"/>
        <v>48</v>
      </c>
      <c r="AN12" s="29"/>
      <c r="AO12" s="1">
        <f t="shared" si="4"/>
        <v>0</v>
      </c>
      <c r="AP12" s="1">
        <v>0</v>
      </c>
      <c r="AQ12" s="36" t="s">
        <v>92</v>
      </c>
      <c r="AR12" s="1" t="s">
        <v>79</v>
      </c>
      <c r="AS12" s="1">
        <v>12</v>
      </c>
    </row>
    <row r="13" spans="1:45" ht="15.9">
      <c r="A13" s="1" t="s">
        <v>58</v>
      </c>
      <c r="B13" s="1" t="s">
        <v>93</v>
      </c>
      <c r="C13" s="203" t="s">
        <v>94</v>
      </c>
      <c r="D13" s="20" t="e">
        <f>Zasoby!#REF!</f>
        <v>#REF!</v>
      </c>
      <c r="E13" s="204"/>
      <c r="F13" s="33"/>
      <c r="G13" s="33"/>
      <c r="H13" s="32"/>
      <c r="I13" s="32"/>
      <c r="J13" s="32">
        <v>3</v>
      </c>
      <c r="K13" s="32"/>
      <c r="L13" s="32"/>
      <c r="M13" s="33"/>
      <c r="N13" s="33"/>
      <c r="O13" s="32"/>
      <c r="P13" s="32"/>
      <c r="Q13" s="32"/>
      <c r="R13" s="32"/>
      <c r="S13" s="32"/>
      <c r="T13" s="33"/>
      <c r="U13" s="33"/>
      <c r="V13" s="32"/>
      <c r="W13" s="32" t="s">
        <v>259</v>
      </c>
      <c r="X13" s="32" t="s">
        <v>259</v>
      </c>
      <c r="Y13" s="32" t="s">
        <v>257</v>
      </c>
      <c r="Z13" s="32" t="s">
        <v>61</v>
      </c>
      <c r="AA13" s="33" t="s">
        <v>62</v>
      </c>
      <c r="AB13" s="33" t="s">
        <v>62</v>
      </c>
      <c r="AC13" s="32" t="s">
        <v>61</v>
      </c>
      <c r="AD13" s="32"/>
      <c r="AE13" s="32"/>
      <c r="AF13" s="32"/>
      <c r="AG13" s="32"/>
      <c r="AH13" s="33"/>
      <c r="AI13" s="493"/>
      <c r="AJ13" s="440" t="str">
        <f>Tabela13[[#This Row],[FUNKCJONARIUSZ]]</f>
        <v>F-sz 012</v>
      </c>
      <c r="AK13" s="534" t="e">
        <f t="shared" si="0"/>
        <v>#REF!</v>
      </c>
      <c r="AL13">
        <f t="shared" si="1"/>
        <v>0</v>
      </c>
      <c r="AM13">
        <f t="shared" si="2"/>
        <v>72</v>
      </c>
      <c r="AN13" s="29">
        <f t="shared" ref="AN13:AN29" si="5">SUM(E13:AI13)+COUNTIF(E13:AI13,"uw")*8+COUNTIF(E13:AI13,"us")*8+COUNTIF(E13:AI13,"uz")*8</f>
        <v>3</v>
      </c>
      <c r="AO13" s="1">
        <f t="shared" si="4"/>
        <v>0</v>
      </c>
      <c r="AP13" s="1">
        <v>24</v>
      </c>
      <c r="AQ13" s="36" t="s">
        <v>95</v>
      </c>
      <c r="AR13" s="1" t="s">
        <v>96</v>
      </c>
      <c r="AS13" s="1">
        <v>24</v>
      </c>
    </row>
    <row r="14" spans="1:45" ht="15.9">
      <c r="A14" s="1" t="s">
        <v>90</v>
      </c>
      <c r="B14" s="1" t="s">
        <v>59</v>
      </c>
      <c r="C14" s="203" t="s">
        <v>97</v>
      </c>
      <c r="D14" s="20" t="e">
        <f>Zasoby!#REF!</f>
        <v>#REF!</v>
      </c>
      <c r="E14" s="204" t="s">
        <v>66</v>
      </c>
      <c r="F14" s="33" t="s">
        <v>66</v>
      </c>
      <c r="G14" s="33" t="s">
        <v>66</v>
      </c>
      <c r="H14" s="32" t="s">
        <v>66</v>
      </c>
      <c r="I14" s="32"/>
      <c r="J14" s="32"/>
      <c r="K14" s="32"/>
      <c r="L14" s="37" t="s">
        <v>113</v>
      </c>
      <c r="M14" s="38"/>
      <c r="N14" s="38"/>
      <c r="O14" s="32" t="s">
        <v>69</v>
      </c>
      <c r="P14" s="32" t="s">
        <v>70</v>
      </c>
      <c r="Q14" s="32" t="s">
        <v>70</v>
      </c>
      <c r="R14" s="32" t="s">
        <v>70</v>
      </c>
      <c r="S14" s="37" t="s">
        <v>69</v>
      </c>
      <c r="T14" s="33" t="s">
        <v>417</v>
      </c>
      <c r="U14" s="33"/>
      <c r="V14" s="32"/>
      <c r="W14" s="32" t="s">
        <v>257</v>
      </c>
      <c r="X14" s="32" t="s">
        <v>257</v>
      </c>
      <c r="Y14" s="32" t="s">
        <v>257</v>
      </c>
      <c r="Z14" s="37"/>
      <c r="AA14" s="38"/>
      <c r="AB14" s="38"/>
      <c r="AC14" s="32" t="s">
        <v>69</v>
      </c>
      <c r="AD14" s="32" t="s">
        <v>70</v>
      </c>
      <c r="AE14" s="32" t="s">
        <v>70</v>
      </c>
      <c r="AF14" s="32" t="s">
        <v>70</v>
      </c>
      <c r="AG14" s="32" t="s">
        <v>69</v>
      </c>
      <c r="AH14" s="33"/>
      <c r="AI14" s="493"/>
      <c r="AJ14" s="440" t="str">
        <f>Tabela13[[#This Row],[FUNKCJONARIUSZ]]</f>
        <v>F-sz 013</v>
      </c>
      <c r="AK14" s="534" t="e">
        <f t="shared" si="0"/>
        <v>#REF!</v>
      </c>
      <c r="AL14">
        <f t="shared" si="1"/>
        <v>24</v>
      </c>
      <c r="AM14">
        <f t="shared" si="2"/>
        <v>192</v>
      </c>
      <c r="AN14" s="29">
        <f t="shared" si="5"/>
        <v>0</v>
      </c>
      <c r="AO14" s="1">
        <f t="shared" si="4"/>
        <v>0</v>
      </c>
      <c r="AP14" s="1">
        <v>24</v>
      </c>
      <c r="AQ14" s="36" t="s">
        <v>98</v>
      </c>
      <c r="AR14" s="1" t="s">
        <v>99</v>
      </c>
      <c r="AS14" s="1">
        <v>24</v>
      </c>
    </row>
    <row r="15" spans="1:45" ht="15.9">
      <c r="A15" s="1" t="s">
        <v>58</v>
      </c>
      <c r="B15" s="1" t="s">
        <v>93</v>
      </c>
      <c r="C15" s="203" t="s">
        <v>100</v>
      </c>
      <c r="D15" s="20" t="e">
        <f>Zasoby!#REF!</f>
        <v>#REF!</v>
      </c>
      <c r="E15" s="204" t="s">
        <v>66</v>
      </c>
      <c r="F15" s="33" t="s">
        <v>66</v>
      </c>
      <c r="G15" s="33" t="s">
        <v>66</v>
      </c>
      <c r="H15" s="32"/>
      <c r="I15" s="32"/>
      <c r="J15" s="32"/>
      <c r="K15" s="136"/>
      <c r="L15" s="44" t="s">
        <v>66</v>
      </c>
      <c r="M15" s="46" t="s">
        <v>66</v>
      </c>
      <c r="N15" s="540" t="s">
        <v>66</v>
      </c>
      <c r="O15" s="48" t="s">
        <v>113</v>
      </c>
      <c r="P15" s="32"/>
      <c r="Q15" s="32"/>
      <c r="R15" s="136"/>
      <c r="S15" s="44" t="s">
        <v>66</v>
      </c>
      <c r="T15" s="33" t="s">
        <v>66</v>
      </c>
      <c r="U15" s="33" t="s">
        <v>66</v>
      </c>
      <c r="V15" s="48"/>
      <c r="W15" s="32"/>
      <c r="X15" s="32"/>
      <c r="Y15" s="136"/>
      <c r="Z15" s="44" t="s">
        <v>66</v>
      </c>
      <c r="AA15" s="46" t="s">
        <v>66</v>
      </c>
      <c r="AB15" s="540" t="s">
        <v>66</v>
      </c>
      <c r="AC15" s="48" t="s">
        <v>69</v>
      </c>
      <c r="AD15" s="32" t="s">
        <v>70</v>
      </c>
      <c r="AE15" s="32" t="s">
        <v>70</v>
      </c>
      <c r="AF15" s="32" t="s">
        <v>70</v>
      </c>
      <c r="AG15" s="32" t="s">
        <v>69</v>
      </c>
      <c r="AH15" s="33"/>
      <c r="AI15" s="493"/>
      <c r="AJ15" s="440" t="str">
        <f>Tabela13[[#This Row],[FUNKCJONARIUSZ]]</f>
        <v>F-sz 014</v>
      </c>
      <c r="AK15" s="534" t="e">
        <f t="shared" si="0"/>
        <v>#REF!</v>
      </c>
      <c r="AL15">
        <f t="shared" si="1"/>
        <v>24</v>
      </c>
      <c r="AM15">
        <f t="shared" si="2"/>
        <v>96</v>
      </c>
      <c r="AN15" s="29">
        <f t="shared" si="5"/>
        <v>0</v>
      </c>
      <c r="AO15" s="1">
        <f t="shared" si="4"/>
        <v>0</v>
      </c>
      <c r="AP15" s="1">
        <v>0</v>
      </c>
      <c r="AQ15" s="32" t="s">
        <v>101</v>
      </c>
      <c r="AR15" s="1" t="s">
        <v>102</v>
      </c>
      <c r="AS15" s="1" t="s">
        <v>103</v>
      </c>
    </row>
    <row r="16" spans="1:45" ht="15.9">
      <c r="A16" s="1" t="s">
        <v>90</v>
      </c>
      <c r="B16" s="1" t="s">
        <v>64</v>
      </c>
      <c r="C16" s="536" t="s">
        <v>104</v>
      </c>
      <c r="D16" s="20" t="e">
        <f>Zasoby!#REF!</f>
        <v>#REF!</v>
      </c>
      <c r="E16" s="204"/>
      <c r="F16" s="33"/>
      <c r="G16" s="33"/>
      <c r="H16" s="32" t="s">
        <v>113</v>
      </c>
      <c r="I16" s="32"/>
      <c r="J16" s="32"/>
      <c r="K16" s="136"/>
      <c r="L16" s="44" t="s">
        <v>66</v>
      </c>
      <c r="M16" s="46" t="s">
        <v>66</v>
      </c>
      <c r="N16" s="540" t="s">
        <v>66</v>
      </c>
      <c r="O16" s="48"/>
      <c r="P16" s="32"/>
      <c r="Q16" s="32"/>
      <c r="R16" s="32"/>
      <c r="S16" s="41" t="s">
        <v>113</v>
      </c>
      <c r="T16" s="33"/>
      <c r="U16" s="33"/>
      <c r="V16" s="32" t="s">
        <v>61</v>
      </c>
      <c r="W16" s="32" t="s">
        <v>62</v>
      </c>
      <c r="X16" s="32" t="s">
        <v>62</v>
      </c>
      <c r="Y16" s="32" t="s">
        <v>62</v>
      </c>
      <c r="Z16" s="41" t="s">
        <v>61</v>
      </c>
      <c r="AA16" s="42"/>
      <c r="AB16" s="42"/>
      <c r="AC16" s="32"/>
      <c r="AD16" s="32"/>
      <c r="AE16" s="32"/>
      <c r="AF16" s="32"/>
      <c r="AG16" s="32"/>
      <c r="AH16" s="33"/>
      <c r="AI16" s="493"/>
      <c r="AJ16" s="440" t="str">
        <f>Tabela13[[#This Row],[FUNKCJONARIUSZ]]</f>
        <v>F-sz 015</v>
      </c>
      <c r="AK16" s="534" t="e">
        <f t="shared" si="0"/>
        <v>#REF!</v>
      </c>
      <c r="AL16">
        <f t="shared" si="1"/>
        <v>48</v>
      </c>
      <c r="AM16">
        <f t="shared" si="2"/>
        <v>96</v>
      </c>
      <c r="AN16" s="29">
        <f t="shared" si="5"/>
        <v>0</v>
      </c>
      <c r="AO16" s="1">
        <f t="shared" si="4"/>
        <v>0</v>
      </c>
      <c r="AP16" s="1">
        <v>0</v>
      </c>
    </row>
    <row r="17" spans="1:42" ht="15.9">
      <c r="A17" s="1" t="s">
        <v>105</v>
      </c>
      <c r="B17" s="1" t="s">
        <v>64</v>
      </c>
      <c r="C17" s="535" t="s">
        <v>106</v>
      </c>
      <c r="D17" s="20" t="e">
        <f>Zasoby!#REF!</f>
        <v>#REF!</v>
      </c>
      <c r="E17" s="204"/>
      <c r="F17" s="33"/>
      <c r="G17" s="33"/>
      <c r="H17" s="32"/>
      <c r="I17" s="32"/>
      <c r="J17" s="32"/>
      <c r="K17" s="32"/>
      <c r="L17" s="41"/>
      <c r="M17" s="42"/>
      <c r="N17" s="42"/>
      <c r="O17" s="32" t="s">
        <v>61</v>
      </c>
      <c r="P17" s="32" t="s">
        <v>62</v>
      </c>
      <c r="Q17" s="32" t="s">
        <v>62</v>
      </c>
      <c r="R17" s="32" t="s">
        <v>62</v>
      </c>
      <c r="S17" s="32" t="s">
        <v>61</v>
      </c>
      <c r="T17" s="33"/>
      <c r="U17" s="33"/>
      <c r="V17" s="32" t="s">
        <v>66</v>
      </c>
      <c r="W17" s="32" t="s">
        <v>66</v>
      </c>
      <c r="X17" s="32" t="s">
        <v>66</v>
      </c>
      <c r="Y17" s="32" t="s">
        <v>66</v>
      </c>
      <c r="Z17" s="32" t="s">
        <v>66</v>
      </c>
      <c r="AA17" s="33" t="s">
        <v>113</v>
      </c>
      <c r="AB17" s="33"/>
      <c r="AC17" s="32"/>
      <c r="AD17" s="32"/>
      <c r="AE17" s="32"/>
      <c r="AF17" s="32"/>
      <c r="AG17" s="32"/>
      <c r="AH17" s="33"/>
      <c r="AI17" s="493"/>
      <c r="AJ17" s="440" t="str">
        <f>Tabela13[[#This Row],[FUNKCJONARIUSZ]]</f>
        <v>F-sz 016</v>
      </c>
      <c r="AK17" s="534" t="e">
        <f t="shared" si="0"/>
        <v>#REF!</v>
      </c>
      <c r="AL17">
        <f t="shared" si="1"/>
        <v>24</v>
      </c>
      <c r="AM17">
        <f t="shared" si="2"/>
        <v>96</v>
      </c>
      <c r="AN17" s="29">
        <f t="shared" si="5"/>
        <v>0</v>
      </c>
      <c r="AO17" s="1">
        <f t="shared" si="4"/>
        <v>0</v>
      </c>
      <c r="AP17" s="1">
        <v>0</v>
      </c>
    </row>
    <row r="18" spans="1:42" ht="15.9">
      <c r="A18" s="1" t="s">
        <v>67</v>
      </c>
      <c r="B18" s="1" t="s">
        <v>73</v>
      </c>
      <c r="C18" s="203" t="s">
        <v>107</v>
      </c>
      <c r="D18" s="20" t="e">
        <f>Zasoby!#REF!</f>
        <v>#REF!</v>
      </c>
      <c r="E18" s="204"/>
      <c r="F18" s="33"/>
      <c r="G18" s="33"/>
      <c r="H18" s="32"/>
      <c r="I18" s="32"/>
      <c r="J18" s="32"/>
      <c r="K18" s="32"/>
      <c r="L18" s="32"/>
      <c r="M18" s="33"/>
      <c r="N18" s="33"/>
      <c r="O18" s="32"/>
      <c r="P18" s="32" t="s">
        <v>257</v>
      </c>
      <c r="Q18" s="32" t="s">
        <v>257</v>
      </c>
      <c r="R18" s="32"/>
      <c r="S18" s="32"/>
      <c r="T18" s="33" t="s">
        <v>417</v>
      </c>
      <c r="U18" s="33"/>
      <c r="V18" s="32"/>
      <c r="W18" s="32" t="s">
        <v>257</v>
      </c>
      <c r="X18" s="32" t="s">
        <v>257</v>
      </c>
      <c r="Y18" s="32" t="s">
        <v>257</v>
      </c>
      <c r="Z18" s="32"/>
      <c r="AA18" s="33"/>
      <c r="AB18" s="33"/>
      <c r="AC18" s="32"/>
      <c r="AD18" s="32"/>
      <c r="AE18" s="32"/>
      <c r="AF18" s="32" t="s">
        <v>103</v>
      </c>
      <c r="AG18" s="32" t="s">
        <v>75</v>
      </c>
      <c r="AH18" s="33" t="s">
        <v>66</v>
      </c>
      <c r="AI18" s="493" t="s">
        <v>66</v>
      </c>
      <c r="AJ18" s="440" t="str">
        <f>Tabela13[[#This Row],[FUNKCJONARIUSZ]]</f>
        <v>F-sz 017</v>
      </c>
      <c r="AK18" s="534" t="e">
        <f t="shared" si="0"/>
        <v>#REF!</v>
      </c>
      <c r="AL18">
        <f t="shared" si="1"/>
        <v>0</v>
      </c>
      <c r="AM18">
        <f t="shared" si="2"/>
        <v>0</v>
      </c>
      <c r="AN18" s="29">
        <f t="shared" si="5"/>
        <v>8</v>
      </c>
      <c r="AO18" s="1">
        <f t="shared" si="4"/>
        <v>0</v>
      </c>
      <c r="AP18" s="1">
        <v>24</v>
      </c>
    </row>
    <row r="19" spans="1:42" ht="15.9">
      <c r="A19" s="1" t="s">
        <v>90</v>
      </c>
      <c r="B19" s="1" t="s">
        <v>59</v>
      </c>
      <c r="C19" s="203" t="s">
        <v>108</v>
      </c>
      <c r="D19" s="20" t="e">
        <f>Zasoby!#REF!</f>
        <v>#REF!</v>
      </c>
      <c r="E19" s="204" t="s">
        <v>66</v>
      </c>
      <c r="F19" s="33" t="s">
        <v>66</v>
      </c>
      <c r="G19" s="33" t="s">
        <v>66</v>
      </c>
      <c r="H19" s="32" t="s">
        <v>66</v>
      </c>
      <c r="I19" s="32"/>
      <c r="J19" s="32"/>
      <c r="K19" s="32" t="s">
        <v>113</v>
      </c>
      <c r="L19" s="32"/>
      <c r="M19" s="33"/>
      <c r="N19" s="33"/>
      <c r="O19" s="32" t="s">
        <v>66</v>
      </c>
      <c r="P19" s="32" t="s">
        <v>66</v>
      </c>
      <c r="Q19" s="32" t="s">
        <v>66</v>
      </c>
      <c r="R19" s="32" t="s">
        <v>66</v>
      </c>
      <c r="S19" s="37" t="s">
        <v>66</v>
      </c>
      <c r="T19" s="38" t="s">
        <v>66</v>
      </c>
      <c r="U19" s="38"/>
      <c r="V19" s="37" t="s">
        <v>113</v>
      </c>
      <c r="W19" s="32"/>
      <c r="X19" s="32"/>
      <c r="Y19" s="32"/>
      <c r="Z19" s="32" t="s">
        <v>113</v>
      </c>
      <c r="AA19" s="33"/>
      <c r="AB19" s="33"/>
      <c r="AC19" s="32" t="s">
        <v>101</v>
      </c>
      <c r="AD19" s="32" t="s">
        <v>101</v>
      </c>
      <c r="AE19" s="32" t="s">
        <v>101</v>
      </c>
      <c r="AF19" s="32" t="s">
        <v>101</v>
      </c>
      <c r="AG19" s="32" t="s">
        <v>101</v>
      </c>
      <c r="AH19" s="38"/>
      <c r="AI19" s="493"/>
      <c r="AJ19" s="440" t="str">
        <f>Tabela13[[#This Row],[FUNKCJONARIUSZ]]</f>
        <v>F-sz 018</v>
      </c>
      <c r="AK19" s="534" t="e">
        <f t="shared" si="0"/>
        <v>#REF!</v>
      </c>
      <c r="AL19">
        <f t="shared" si="1"/>
        <v>72</v>
      </c>
      <c r="AM19">
        <f t="shared" si="2"/>
        <v>0</v>
      </c>
      <c r="AN19" s="29">
        <f t="shared" si="5"/>
        <v>0</v>
      </c>
      <c r="AO19" s="1">
        <f t="shared" si="4"/>
        <v>0</v>
      </c>
      <c r="AP19" s="1">
        <v>96</v>
      </c>
    </row>
    <row r="20" spans="1:42" ht="15.9">
      <c r="A20" s="1" t="s">
        <v>58</v>
      </c>
      <c r="B20" s="1" t="s">
        <v>59</v>
      </c>
      <c r="C20" s="203" t="s">
        <v>109</v>
      </c>
      <c r="D20" s="20" t="e">
        <f>Zasoby!#REF!</f>
        <v>#REF!</v>
      </c>
      <c r="E20" s="204" t="s">
        <v>75</v>
      </c>
      <c r="F20" s="33" t="s">
        <v>66</v>
      </c>
      <c r="G20" s="33" t="s">
        <v>66</v>
      </c>
      <c r="H20" s="32" t="s">
        <v>75</v>
      </c>
      <c r="I20" s="32" t="s">
        <v>75</v>
      </c>
      <c r="J20" s="32" t="s">
        <v>75</v>
      </c>
      <c r="K20" s="32" t="s">
        <v>75</v>
      </c>
      <c r="L20" s="32" t="s">
        <v>75</v>
      </c>
      <c r="M20" s="33" t="s">
        <v>66</v>
      </c>
      <c r="N20" s="33" t="s">
        <v>66</v>
      </c>
      <c r="O20" s="32" t="s">
        <v>75</v>
      </c>
      <c r="P20" s="32"/>
      <c r="Q20" s="32"/>
      <c r="R20" s="136"/>
      <c r="S20" s="44" t="s">
        <v>69</v>
      </c>
      <c r="T20" s="46" t="s">
        <v>70</v>
      </c>
      <c r="U20" s="46" t="s">
        <v>70</v>
      </c>
      <c r="V20" s="47" t="s">
        <v>69</v>
      </c>
      <c r="W20" s="48" t="s">
        <v>66</v>
      </c>
      <c r="X20" s="32" t="s">
        <v>66</v>
      </c>
      <c r="Y20" s="32" t="s">
        <v>66</v>
      </c>
      <c r="Z20" s="32" t="s">
        <v>66</v>
      </c>
      <c r="AA20" s="33" t="s">
        <v>66</v>
      </c>
      <c r="AB20" s="33" t="s">
        <v>66</v>
      </c>
      <c r="AC20" s="32" t="s">
        <v>66</v>
      </c>
      <c r="AD20" s="32"/>
      <c r="AE20" s="32"/>
      <c r="AF20" s="32"/>
      <c r="AG20" s="136"/>
      <c r="AH20" s="33"/>
      <c r="AI20" s="541"/>
      <c r="AJ20" s="440" t="str">
        <f>Tabela13[[#This Row],[FUNKCJONARIUSZ]]</f>
        <v>F-sz 019</v>
      </c>
      <c r="AK20" s="534" t="e">
        <f t="shared" si="0"/>
        <v>#REF!</v>
      </c>
      <c r="AL20">
        <f t="shared" si="1"/>
        <v>0</v>
      </c>
      <c r="AM20">
        <f t="shared" si="2"/>
        <v>72</v>
      </c>
      <c r="AN20" s="29">
        <f t="shared" si="5"/>
        <v>56</v>
      </c>
      <c r="AO20" s="1">
        <f t="shared" si="4"/>
        <v>0</v>
      </c>
      <c r="AP20" s="1">
        <v>0</v>
      </c>
    </row>
    <row r="21" spans="1:42" ht="15.9">
      <c r="A21" s="1" t="s">
        <v>67</v>
      </c>
      <c r="B21" s="1" t="s">
        <v>93</v>
      </c>
      <c r="C21" s="203" t="s">
        <v>110</v>
      </c>
      <c r="D21" s="20" t="e">
        <f>Zasoby!#REF!</f>
        <v>#REF!</v>
      </c>
      <c r="E21" s="204"/>
      <c r="F21" s="33"/>
      <c r="G21" s="33"/>
      <c r="H21" s="32"/>
      <c r="I21" s="32"/>
      <c r="J21" s="32" t="s">
        <v>113</v>
      </c>
      <c r="K21" s="32"/>
      <c r="L21" s="32"/>
      <c r="M21" s="33"/>
      <c r="N21" s="33"/>
      <c r="O21" s="32"/>
      <c r="P21" s="32"/>
      <c r="Q21" s="32"/>
      <c r="R21" s="32"/>
      <c r="S21" s="41"/>
      <c r="T21" s="42"/>
      <c r="U21" s="42"/>
      <c r="V21" s="41"/>
      <c r="W21" s="32"/>
      <c r="X21" s="32"/>
      <c r="Y21" s="32"/>
      <c r="Z21" s="32"/>
      <c r="AA21" s="33"/>
      <c r="AB21" s="33"/>
      <c r="AC21" s="32"/>
      <c r="AD21" s="32"/>
      <c r="AE21" s="32"/>
      <c r="AF21" s="32"/>
      <c r="AG21" s="32" t="s">
        <v>61</v>
      </c>
      <c r="AH21" s="42" t="s">
        <v>70</v>
      </c>
      <c r="AI21" s="493" t="s">
        <v>70</v>
      </c>
      <c r="AJ21" s="440" t="str">
        <f>Tabela13[[#This Row],[FUNKCJONARIUSZ]]</f>
        <v>F-sz 020</v>
      </c>
      <c r="AK21" s="534" t="e">
        <f t="shared" si="0"/>
        <v>#REF!</v>
      </c>
      <c r="AL21">
        <f t="shared" si="1"/>
        <v>24</v>
      </c>
      <c r="AM21">
        <f t="shared" si="2"/>
        <v>60</v>
      </c>
      <c r="AN21" s="29">
        <f t="shared" si="5"/>
        <v>0</v>
      </c>
      <c r="AO21" s="1">
        <f t="shared" si="4"/>
        <v>0</v>
      </c>
      <c r="AP21" s="1">
        <v>0</v>
      </c>
    </row>
    <row r="22" spans="1:42" ht="15.9">
      <c r="A22" s="1" t="s">
        <v>58</v>
      </c>
      <c r="B22" s="1" t="s">
        <v>59</v>
      </c>
      <c r="C22" s="203" t="s">
        <v>111</v>
      </c>
      <c r="D22" s="20" t="e">
        <f>Zasoby!#REF!</f>
        <v>#REF!</v>
      </c>
      <c r="E22" s="299" t="s">
        <v>70</v>
      </c>
      <c r="F22" s="38" t="s">
        <v>70</v>
      </c>
      <c r="G22" s="38" t="s">
        <v>70</v>
      </c>
      <c r="H22" s="37" t="s">
        <v>69</v>
      </c>
      <c r="I22" s="37" t="s">
        <v>66</v>
      </c>
      <c r="J22" s="37" t="s">
        <v>66</v>
      </c>
      <c r="K22" s="37" t="s">
        <v>66</v>
      </c>
      <c r="L22" s="37" t="s">
        <v>66</v>
      </c>
      <c r="M22" s="38" t="s">
        <v>66</v>
      </c>
      <c r="N22" s="38" t="s">
        <v>66</v>
      </c>
      <c r="O22" s="37" t="s">
        <v>66</v>
      </c>
      <c r="P22" s="32"/>
      <c r="Q22" s="32"/>
      <c r="R22" s="32" t="s">
        <v>66</v>
      </c>
      <c r="S22" s="32"/>
      <c r="T22" s="33"/>
      <c r="U22" s="33" t="s">
        <v>66</v>
      </c>
      <c r="V22" s="32"/>
      <c r="W22" s="32"/>
      <c r="X22" s="32" t="s">
        <v>113</v>
      </c>
      <c r="Y22" s="32"/>
      <c r="Z22" s="32"/>
      <c r="AA22" s="33"/>
      <c r="AB22" s="33" t="s">
        <v>66</v>
      </c>
      <c r="AC22" s="32"/>
      <c r="AD22" s="32"/>
      <c r="AE22" s="32"/>
      <c r="AF22" s="32"/>
      <c r="AG22" s="32"/>
      <c r="AH22" s="33"/>
      <c r="AI22" s="493"/>
      <c r="AJ22" s="440" t="str">
        <f>Tabela13[[#This Row],[FUNKCJONARIUSZ]]</f>
        <v>F-sz 021</v>
      </c>
      <c r="AK22" s="534" t="e">
        <f t="shared" si="0"/>
        <v>#REF!</v>
      </c>
      <c r="AL22">
        <f t="shared" si="1"/>
        <v>24</v>
      </c>
      <c r="AM22">
        <f t="shared" si="2"/>
        <v>84</v>
      </c>
      <c r="AN22" s="29">
        <f t="shared" si="5"/>
        <v>0</v>
      </c>
      <c r="AO22" s="1">
        <f t="shared" si="4"/>
        <v>0</v>
      </c>
      <c r="AP22" s="1">
        <v>0</v>
      </c>
    </row>
    <row r="23" spans="1:42" ht="15.9">
      <c r="A23" s="1" t="s">
        <v>63</v>
      </c>
      <c r="B23" s="1" t="s">
        <v>64</v>
      </c>
      <c r="C23" s="210" t="s">
        <v>112</v>
      </c>
      <c r="D23" s="20" t="e">
        <f>Zasoby!#REF!</f>
        <v>#REF!</v>
      </c>
      <c r="E23" s="707" t="s">
        <v>418</v>
      </c>
      <c r="F23" s="707"/>
      <c r="G23" s="707"/>
      <c r="H23" s="707"/>
      <c r="I23" s="707"/>
      <c r="J23" s="707"/>
      <c r="K23" s="707"/>
      <c r="L23" s="707"/>
      <c r="M23" s="707"/>
      <c r="N23" s="707"/>
      <c r="O23" s="277"/>
      <c r="P23" s="48"/>
      <c r="Q23" s="32"/>
      <c r="R23" s="32"/>
      <c r="S23" s="32"/>
      <c r="T23" s="33"/>
      <c r="U23" s="33"/>
      <c r="V23" s="32" t="s">
        <v>75</v>
      </c>
      <c r="W23" s="32" t="s">
        <v>75</v>
      </c>
      <c r="X23" s="32" t="s">
        <v>75</v>
      </c>
      <c r="Y23" s="32" t="s">
        <v>75</v>
      </c>
      <c r="Z23" s="32" t="s">
        <v>75</v>
      </c>
      <c r="AA23" s="33" t="s">
        <v>66</v>
      </c>
      <c r="AB23" s="33" t="s">
        <v>66</v>
      </c>
      <c r="AC23" s="32" t="s">
        <v>75</v>
      </c>
      <c r="AD23" s="32" t="s">
        <v>75</v>
      </c>
      <c r="AE23" s="32" t="s">
        <v>75</v>
      </c>
      <c r="AF23" s="32" t="s">
        <v>75</v>
      </c>
      <c r="AG23" s="32" t="s">
        <v>75</v>
      </c>
      <c r="AH23" s="33" t="s">
        <v>66</v>
      </c>
      <c r="AI23" s="493" t="s">
        <v>66</v>
      </c>
      <c r="AJ23" s="440" t="str">
        <f>Tabela13[[#This Row],[FUNKCJONARIUSZ]]</f>
        <v>F-sz 022</v>
      </c>
      <c r="AK23" s="534" t="e">
        <f t="shared" si="0"/>
        <v>#REF!</v>
      </c>
      <c r="AL23">
        <f t="shared" si="1"/>
        <v>0</v>
      </c>
      <c r="AM23">
        <f t="shared" si="2"/>
        <v>0</v>
      </c>
      <c r="AN23" s="29">
        <f t="shared" si="5"/>
        <v>80</v>
      </c>
      <c r="AO23" s="1">
        <f t="shared" si="4"/>
        <v>0</v>
      </c>
      <c r="AP23" s="1">
        <v>0</v>
      </c>
    </row>
    <row r="24" spans="1:42" ht="15.9">
      <c r="A24" s="1" t="s">
        <v>67</v>
      </c>
      <c r="B24" s="1" t="s">
        <v>93</v>
      </c>
      <c r="C24" s="203" t="s">
        <v>114</v>
      </c>
      <c r="D24" s="20" t="e">
        <f>Zasoby!#REF!</f>
        <v>#REF!</v>
      </c>
      <c r="E24" s="302" t="s">
        <v>69</v>
      </c>
      <c r="F24" s="42"/>
      <c r="G24" s="42"/>
      <c r="H24" s="41" t="s">
        <v>75</v>
      </c>
      <c r="I24" s="41" t="s">
        <v>75</v>
      </c>
      <c r="J24" s="41" t="s">
        <v>75</v>
      </c>
      <c r="K24" s="41" t="s">
        <v>75</v>
      </c>
      <c r="L24" s="41" t="s">
        <v>75</v>
      </c>
      <c r="M24" s="42" t="s">
        <v>66</v>
      </c>
      <c r="N24" s="42" t="s">
        <v>66</v>
      </c>
      <c r="O24" s="41" t="s">
        <v>75</v>
      </c>
      <c r="P24" s="32" t="s">
        <v>75</v>
      </c>
      <c r="Q24" s="32"/>
      <c r="R24" s="32"/>
      <c r="S24" s="32" t="s">
        <v>69</v>
      </c>
      <c r="T24" s="33" t="s">
        <v>70</v>
      </c>
      <c r="U24" s="33" t="s">
        <v>70</v>
      </c>
      <c r="V24" s="32" t="s">
        <v>69</v>
      </c>
      <c r="W24" s="32"/>
      <c r="X24" s="32"/>
      <c r="Y24" s="32"/>
      <c r="Z24" s="32"/>
      <c r="AA24" s="33"/>
      <c r="AB24" s="33"/>
      <c r="AC24" s="32"/>
      <c r="AD24" s="32"/>
      <c r="AE24" s="32"/>
      <c r="AF24" s="32"/>
      <c r="AG24" s="32"/>
      <c r="AH24" s="33"/>
      <c r="AI24" s="493"/>
      <c r="AJ24" s="440" t="str">
        <f>Tabela13[[#This Row],[FUNKCJONARIUSZ]]</f>
        <v>F-sz 023</v>
      </c>
      <c r="AK24" s="534" t="e">
        <f t="shared" si="0"/>
        <v>#REF!</v>
      </c>
      <c r="AL24">
        <f t="shared" si="1"/>
        <v>0</v>
      </c>
      <c r="AM24">
        <f t="shared" si="2"/>
        <v>84</v>
      </c>
      <c r="AN24" s="29">
        <f t="shared" si="5"/>
        <v>56</v>
      </c>
      <c r="AO24" s="1">
        <f t="shared" si="4"/>
        <v>0</v>
      </c>
      <c r="AP24" s="1">
        <v>0</v>
      </c>
    </row>
    <row r="25" spans="1:42" ht="15.9">
      <c r="A25" s="1" t="s">
        <v>63</v>
      </c>
      <c r="B25" s="1" t="s">
        <v>59</v>
      </c>
      <c r="C25" s="203" t="s">
        <v>115</v>
      </c>
      <c r="D25" s="20" t="e">
        <f>Zasoby!#REF!</f>
        <v>#REF!</v>
      </c>
      <c r="E25" s="204"/>
      <c r="F25" s="33" t="s">
        <v>113</v>
      </c>
      <c r="G25" s="33"/>
      <c r="H25" s="32"/>
      <c r="I25" s="32" t="s">
        <v>113</v>
      </c>
      <c r="J25" s="32"/>
      <c r="K25" s="32" t="s">
        <v>66</v>
      </c>
      <c r="L25" s="32" t="s">
        <v>66</v>
      </c>
      <c r="M25" s="33" t="s">
        <v>66</v>
      </c>
      <c r="N25" s="33" t="s">
        <v>113</v>
      </c>
      <c r="O25" s="32"/>
      <c r="P25" s="32"/>
      <c r="Q25" s="32" t="s">
        <v>113</v>
      </c>
      <c r="R25" s="32"/>
      <c r="S25" s="32"/>
      <c r="T25" s="33" t="s">
        <v>113</v>
      </c>
      <c r="U25" s="33"/>
      <c r="V25" s="32"/>
      <c r="W25" s="32" t="s">
        <v>113</v>
      </c>
      <c r="X25" s="32"/>
      <c r="Y25" s="32"/>
      <c r="Z25" s="32"/>
      <c r="AA25" s="33"/>
      <c r="AB25" s="33" t="s">
        <v>113</v>
      </c>
      <c r="AC25" s="32"/>
      <c r="AD25" s="32"/>
      <c r="AE25" s="37"/>
      <c r="AF25" s="37"/>
      <c r="AG25" s="37"/>
      <c r="AH25" s="38"/>
      <c r="AI25" s="542">
        <v>16</v>
      </c>
      <c r="AJ25" s="440" t="str">
        <f>Tabela13[[#This Row],[FUNKCJONARIUSZ]]</f>
        <v>F-sz 024</v>
      </c>
      <c r="AK25" s="534" t="e">
        <f t="shared" si="0"/>
        <v>#REF!</v>
      </c>
      <c r="AL25">
        <f t="shared" si="1"/>
        <v>168</v>
      </c>
      <c r="AM25">
        <f t="shared" si="2"/>
        <v>0</v>
      </c>
      <c r="AN25" s="29">
        <f t="shared" si="5"/>
        <v>16</v>
      </c>
      <c r="AO25" s="1">
        <f t="shared" si="4"/>
        <v>0</v>
      </c>
      <c r="AP25" s="1">
        <v>0</v>
      </c>
    </row>
    <row r="26" spans="1:42" ht="15.9">
      <c r="A26" s="1" t="s">
        <v>63</v>
      </c>
      <c r="B26" s="1" t="s">
        <v>73</v>
      </c>
      <c r="C26" s="203" t="s">
        <v>116</v>
      </c>
      <c r="D26" s="20" t="e">
        <f>Zasoby!#REF!</f>
        <v>#REF!</v>
      </c>
      <c r="E26" s="204"/>
      <c r="F26" s="33"/>
      <c r="G26" s="33"/>
      <c r="H26" s="32"/>
      <c r="I26" s="32"/>
      <c r="J26" s="32"/>
      <c r="K26" s="32"/>
      <c r="L26" s="32"/>
      <c r="M26" s="33"/>
      <c r="N26" s="33"/>
      <c r="O26" s="32" t="s">
        <v>61</v>
      </c>
      <c r="P26" s="32" t="s">
        <v>62</v>
      </c>
      <c r="Q26" s="32" t="s">
        <v>62</v>
      </c>
      <c r="R26" s="32" t="s">
        <v>62</v>
      </c>
      <c r="S26" s="32" t="s">
        <v>62</v>
      </c>
      <c r="T26" s="33" t="s">
        <v>62</v>
      </c>
      <c r="U26" s="33" t="s">
        <v>62</v>
      </c>
      <c r="V26" s="32" t="s">
        <v>61</v>
      </c>
      <c r="W26" s="32"/>
      <c r="X26" s="32"/>
      <c r="Y26" s="32"/>
      <c r="Z26" s="32"/>
      <c r="AA26" s="33"/>
      <c r="AB26" s="33"/>
      <c r="AC26" s="32"/>
      <c r="AD26" s="136"/>
      <c r="AE26" s="707" t="s">
        <v>419</v>
      </c>
      <c r="AF26" s="707"/>
      <c r="AG26" s="707"/>
      <c r="AH26" s="707"/>
      <c r="AI26" s="707"/>
      <c r="AJ26" s="440" t="str">
        <f>Tabela13[[#This Row],[FUNKCJONARIUSZ]]</f>
        <v>F-sz 025</v>
      </c>
      <c r="AK26" s="534" t="e">
        <f t="shared" si="0"/>
        <v>#REF!</v>
      </c>
      <c r="AL26">
        <f t="shared" si="1"/>
        <v>0</v>
      </c>
      <c r="AM26">
        <f t="shared" si="2"/>
        <v>168</v>
      </c>
      <c r="AN26" s="29">
        <f t="shared" si="5"/>
        <v>0</v>
      </c>
      <c r="AO26" s="1">
        <f t="shared" si="4"/>
        <v>0</v>
      </c>
      <c r="AP26" s="1">
        <v>0</v>
      </c>
    </row>
    <row r="27" spans="1:42" ht="15.9">
      <c r="A27" s="1" t="s">
        <v>58</v>
      </c>
      <c r="B27" s="1" t="s">
        <v>93</v>
      </c>
      <c r="C27" s="203" t="s">
        <v>117</v>
      </c>
      <c r="D27" s="20" t="e">
        <f>Zasoby!#REF!</f>
        <v>#REF!</v>
      </c>
      <c r="E27" s="204"/>
      <c r="F27" s="33"/>
      <c r="G27" s="33"/>
      <c r="H27" s="32"/>
      <c r="I27" s="32"/>
      <c r="J27" s="32"/>
      <c r="K27" s="32"/>
      <c r="L27" s="32" t="s">
        <v>61</v>
      </c>
      <c r="M27" s="33" t="s">
        <v>62</v>
      </c>
      <c r="N27" s="33" t="s">
        <v>62</v>
      </c>
      <c r="O27" s="32" t="s">
        <v>61</v>
      </c>
      <c r="P27" s="32"/>
      <c r="Q27" s="32"/>
      <c r="R27" s="32"/>
      <c r="S27" s="32"/>
      <c r="T27" s="33"/>
      <c r="U27" s="33"/>
      <c r="V27" s="32" t="s">
        <v>69</v>
      </c>
      <c r="W27" s="32" t="s">
        <v>70</v>
      </c>
      <c r="X27" s="32" t="s">
        <v>70</v>
      </c>
      <c r="Y27" s="32" t="s">
        <v>70</v>
      </c>
      <c r="Z27" s="32" t="s">
        <v>69</v>
      </c>
      <c r="AA27" s="33"/>
      <c r="AB27" s="33"/>
      <c r="AC27" s="32"/>
      <c r="AD27" s="32"/>
      <c r="AE27" s="41"/>
      <c r="AF27" s="41"/>
      <c r="AG27" s="41"/>
      <c r="AH27" s="42" t="s">
        <v>113</v>
      </c>
      <c r="AI27" s="543"/>
      <c r="AJ27" s="440" t="str">
        <f>Tabela13[[#This Row],[FUNKCJONARIUSZ]]</f>
        <v>F-sz 026</v>
      </c>
      <c r="AK27" s="534" t="e">
        <f t="shared" si="0"/>
        <v>#REF!</v>
      </c>
      <c r="AL27">
        <f t="shared" si="1"/>
        <v>24</v>
      </c>
      <c r="AM27">
        <f t="shared" si="2"/>
        <v>168</v>
      </c>
      <c r="AN27" s="29">
        <f t="shared" si="5"/>
        <v>0</v>
      </c>
      <c r="AO27" s="1">
        <f t="shared" si="4"/>
        <v>0</v>
      </c>
      <c r="AP27" s="1">
        <v>0</v>
      </c>
    </row>
    <row r="28" spans="1:42" ht="15.9">
      <c r="A28" s="1" t="s">
        <v>105</v>
      </c>
      <c r="B28" s="1" t="s">
        <v>59</v>
      </c>
      <c r="C28" s="203" t="s">
        <v>118</v>
      </c>
      <c r="D28" s="20" t="e">
        <f>Zasoby!#REF!</f>
        <v>#REF!</v>
      </c>
      <c r="E28" s="204" t="s">
        <v>113</v>
      </c>
      <c r="F28" s="33"/>
      <c r="G28" s="33"/>
      <c r="H28" s="32" t="s">
        <v>61</v>
      </c>
      <c r="I28" s="32" t="s">
        <v>62</v>
      </c>
      <c r="J28" s="32" t="s">
        <v>62</v>
      </c>
      <c r="K28" s="32" t="s">
        <v>62</v>
      </c>
      <c r="L28" s="32" t="s">
        <v>61</v>
      </c>
      <c r="M28" s="33"/>
      <c r="N28" s="33"/>
      <c r="O28" s="32"/>
      <c r="P28" s="32"/>
      <c r="Q28" s="32"/>
      <c r="R28" s="32"/>
      <c r="S28" s="32"/>
      <c r="T28" s="33"/>
      <c r="U28" s="33"/>
      <c r="V28" s="32"/>
      <c r="W28" s="32"/>
      <c r="X28" s="32"/>
      <c r="Y28" s="32"/>
      <c r="Z28" s="32"/>
      <c r="AA28" s="33"/>
      <c r="AB28" s="33"/>
      <c r="AC28" s="32"/>
      <c r="AD28" s="32"/>
      <c r="AE28" s="32" t="s">
        <v>113</v>
      </c>
      <c r="AF28" s="32"/>
      <c r="AG28" s="32"/>
      <c r="AH28" s="33"/>
      <c r="AI28" s="493"/>
      <c r="AJ28" s="440" t="str">
        <f>Tabela13[[#This Row],[FUNKCJONARIUSZ]]</f>
        <v>F-sz 027</v>
      </c>
      <c r="AK28" s="534" t="e">
        <f t="shared" si="0"/>
        <v>#REF!</v>
      </c>
      <c r="AL28">
        <f t="shared" si="1"/>
        <v>48</v>
      </c>
      <c r="AM28">
        <f t="shared" si="2"/>
        <v>96</v>
      </c>
      <c r="AN28" s="29">
        <f t="shared" si="5"/>
        <v>0</v>
      </c>
      <c r="AO28" s="1">
        <f t="shared" si="4"/>
        <v>0</v>
      </c>
      <c r="AP28" s="1">
        <v>0</v>
      </c>
    </row>
    <row r="29" spans="1:42" ht="15.9">
      <c r="A29" s="1" t="s">
        <v>58</v>
      </c>
      <c r="B29" s="1" t="s">
        <v>73</v>
      </c>
      <c r="C29" s="544" t="s">
        <v>119</v>
      </c>
      <c r="D29" s="20" t="e">
        <f>Zasoby!#REF!</f>
        <v>#REF!</v>
      </c>
      <c r="E29" s="96">
        <v>8</v>
      </c>
      <c r="F29" s="52"/>
      <c r="G29" s="52" t="s">
        <v>113</v>
      </c>
      <c r="H29" s="51">
        <v>3</v>
      </c>
      <c r="I29" s="51">
        <v>8</v>
      </c>
      <c r="J29" s="51">
        <v>8</v>
      </c>
      <c r="K29" s="51">
        <v>8</v>
      </c>
      <c r="L29" s="51">
        <v>8</v>
      </c>
      <c r="M29" s="52" t="s">
        <v>66</v>
      </c>
      <c r="N29" s="52"/>
      <c r="O29" s="51"/>
      <c r="P29" s="51"/>
      <c r="Q29" s="51"/>
      <c r="R29" s="51"/>
      <c r="S29" s="51"/>
      <c r="T29" s="33"/>
      <c r="U29" s="33"/>
      <c r="V29" s="51"/>
      <c r="W29" s="51"/>
      <c r="X29" s="51"/>
      <c r="Y29" s="51"/>
      <c r="Z29" s="51"/>
      <c r="AA29" s="52"/>
      <c r="AB29" s="52"/>
      <c r="AC29" s="51"/>
      <c r="AD29" s="51"/>
      <c r="AE29" s="51"/>
      <c r="AF29" s="51"/>
      <c r="AG29" s="51"/>
      <c r="AH29" s="52"/>
      <c r="AI29" s="494"/>
      <c r="AJ29" s="440" t="str">
        <f>Tabela13[[#This Row],[FUNKCJONARIUSZ]]</f>
        <v>F-sz 028</v>
      </c>
      <c r="AK29" s="534" t="e">
        <f t="shared" si="0"/>
        <v>#REF!</v>
      </c>
      <c r="AL29">
        <f t="shared" si="1"/>
        <v>24</v>
      </c>
      <c r="AM29">
        <f t="shared" si="2"/>
        <v>0</v>
      </c>
      <c r="AN29" s="29">
        <f t="shared" si="5"/>
        <v>43</v>
      </c>
      <c r="AO29" s="1">
        <f t="shared" si="4"/>
        <v>0</v>
      </c>
      <c r="AP29" s="1">
        <v>0</v>
      </c>
    </row>
    <row r="30" spans="1:42" ht="15.9">
      <c r="A30" s="55"/>
      <c r="B30" s="55"/>
      <c r="C30" s="56"/>
      <c r="D30" s="57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 t="s">
        <v>420</v>
      </c>
      <c r="AE30" s="58"/>
      <c r="AF30" s="58"/>
      <c r="AG30" s="59"/>
      <c r="AH30" s="27"/>
      <c r="AI30" s="27"/>
      <c r="AJ30" s="60"/>
      <c r="AK30" s="27"/>
      <c r="AL30" s="28"/>
      <c r="AM30"/>
      <c r="AN30" s="29"/>
    </row>
    <row r="31" spans="1:42" ht="15.9">
      <c r="B31" s="61"/>
      <c r="C31" s="62" t="s">
        <v>120</v>
      </c>
      <c r="D31" s="63"/>
      <c r="E31" s="64">
        <f t="shared" ref="E31:AI31" si="6">COUNTIF(E2:E29,"D")</f>
        <v>1</v>
      </c>
      <c r="F31" s="64">
        <f t="shared" si="6"/>
        <v>1</v>
      </c>
      <c r="G31" s="64">
        <f t="shared" si="6"/>
        <v>1</v>
      </c>
      <c r="H31" s="64">
        <f t="shared" si="6"/>
        <v>1</v>
      </c>
      <c r="I31" s="64">
        <f t="shared" si="6"/>
        <v>1</v>
      </c>
      <c r="J31" s="64">
        <f t="shared" si="6"/>
        <v>1</v>
      </c>
      <c r="K31" s="64">
        <f t="shared" si="6"/>
        <v>1</v>
      </c>
      <c r="L31" s="64">
        <f t="shared" si="6"/>
        <v>1</v>
      </c>
      <c r="M31" s="64">
        <f t="shared" si="6"/>
        <v>1</v>
      </c>
      <c r="N31" s="64">
        <f t="shared" si="6"/>
        <v>1</v>
      </c>
      <c r="O31" s="64">
        <f t="shared" si="6"/>
        <v>1</v>
      </c>
      <c r="P31" s="64">
        <f t="shared" si="6"/>
        <v>1</v>
      </c>
      <c r="Q31" s="64">
        <f t="shared" si="6"/>
        <v>1</v>
      </c>
      <c r="R31" s="64">
        <f t="shared" si="6"/>
        <v>1</v>
      </c>
      <c r="S31" s="64">
        <f t="shared" si="6"/>
        <v>1</v>
      </c>
      <c r="T31" s="64">
        <f t="shared" si="6"/>
        <v>1</v>
      </c>
      <c r="U31" s="64">
        <f t="shared" si="6"/>
        <v>1</v>
      </c>
      <c r="V31" s="64">
        <f t="shared" si="6"/>
        <v>1</v>
      </c>
      <c r="W31" s="64">
        <f t="shared" si="6"/>
        <v>1</v>
      </c>
      <c r="X31" s="64">
        <f t="shared" si="6"/>
        <v>1</v>
      </c>
      <c r="Y31" s="64">
        <f t="shared" si="6"/>
        <v>1</v>
      </c>
      <c r="Z31" s="64">
        <f t="shared" si="6"/>
        <v>1</v>
      </c>
      <c r="AA31" s="64">
        <f t="shared" si="6"/>
        <v>1</v>
      </c>
      <c r="AB31" s="64">
        <f t="shared" si="6"/>
        <v>1</v>
      </c>
      <c r="AC31" s="64">
        <f t="shared" si="6"/>
        <v>1</v>
      </c>
      <c r="AD31" s="64">
        <f t="shared" si="6"/>
        <v>1</v>
      </c>
      <c r="AE31" s="64">
        <f t="shared" si="6"/>
        <v>1</v>
      </c>
      <c r="AF31" s="64">
        <f t="shared" si="6"/>
        <v>1</v>
      </c>
      <c r="AG31" s="64">
        <f t="shared" si="6"/>
        <v>1</v>
      </c>
      <c r="AH31" s="64">
        <f t="shared" si="6"/>
        <v>1</v>
      </c>
      <c r="AI31" s="64">
        <f t="shared" si="6"/>
        <v>0</v>
      </c>
      <c r="AJ31"/>
      <c r="AK31" s="27"/>
      <c r="AL31" s="28"/>
      <c r="AM31"/>
      <c r="AN31" s="29"/>
    </row>
    <row r="32" spans="1:42" ht="15.9">
      <c r="B32" s="61"/>
      <c r="C32" s="65" t="s">
        <v>121</v>
      </c>
      <c r="D32" s="66"/>
      <c r="E32" s="64">
        <f t="shared" ref="E32:AI32" si="7">COUNTIF(E48:E101,"D")+COUNTIF(E48:E101,"w")</f>
        <v>2</v>
      </c>
      <c r="F32" s="64">
        <f t="shared" si="7"/>
        <v>2</v>
      </c>
      <c r="G32" s="64">
        <f t="shared" si="7"/>
        <v>2</v>
      </c>
      <c r="H32" s="64">
        <f t="shared" si="7"/>
        <v>2</v>
      </c>
      <c r="I32" s="64">
        <f t="shared" si="7"/>
        <v>2</v>
      </c>
      <c r="J32" s="64">
        <f t="shared" si="7"/>
        <v>2</v>
      </c>
      <c r="K32" s="64">
        <f t="shared" si="7"/>
        <v>2</v>
      </c>
      <c r="L32" s="64">
        <f t="shared" si="7"/>
        <v>2</v>
      </c>
      <c r="M32" s="64">
        <f t="shared" si="7"/>
        <v>2</v>
      </c>
      <c r="N32" s="64">
        <f t="shared" si="7"/>
        <v>2</v>
      </c>
      <c r="O32" s="64">
        <f t="shared" si="7"/>
        <v>2</v>
      </c>
      <c r="P32" s="64">
        <f t="shared" si="7"/>
        <v>2</v>
      </c>
      <c r="Q32" s="64">
        <f t="shared" si="7"/>
        <v>2</v>
      </c>
      <c r="R32" s="64">
        <f t="shared" si="7"/>
        <v>2</v>
      </c>
      <c r="S32" s="64">
        <f t="shared" si="7"/>
        <v>2</v>
      </c>
      <c r="T32" s="64">
        <f t="shared" si="7"/>
        <v>2</v>
      </c>
      <c r="U32" s="64">
        <f t="shared" si="7"/>
        <v>2</v>
      </c>
      <c r="V32" s="64">
        <f t="shared" si="7"/>
        <v>2</v>
      </c>
      <c r="W32" s="64">
        <f t="shared" si="7"/>
        <v>2</v>
      </c>
      <c r="X32" s="64">
        <f t="shared" si="7"/>
        <v>2</v>
      </c>
      <c r="Y32" s="64">
        <f t="shared" si="7"/>
        <v>2</v>
      </c>
      <c r="Z32" s="64">
        <f t="shared" si="7"/>
        <v>2</v>
      </c>
      <c r="AA32" s="64">
        <f t="shared" si="7"/>
        <v>2</v>
      </c>
      <c r="AB32" s="64">
        <f t="shared" si="7"/>
        <v>2</v>
      </c>
      <c r="AC32" s="64">
        <f t="shared" si="7"/>
        <v>2</v>
      </c>
      <c r="AD32" s="64">
        <f t="shared" si="7"/>
        <v>2</v>
      </c>
      <c r="AE32" s="64">
        <f t="shared" si="7"/>
        <v>2</v>
      </c>
      <c r="AF32" s="64">
        <f t="shared" si="7"/>
        <v>2</v>
      </c>
      <c r="AG32" s="64">
        <f t="shared" si="7"/>
        <v>2</v>
      </c>
      <c r="AH32" s="64">
        <f t="shared" si="7"/>
        <v>2</v>
      </c>
      <c r="AI32" s="64">
        <f t="shared" si="7"/>
        <v>2</v>
      </c>
      <c r="AJ32"/>
      <c r="AK32" s="27"/>
      <c r="AL32" s="28"/>
      <c r="AM32"/>
      <c r="AN32" s="29"/>
    </row>
    <row r="33" spans="1:42">
      <c r="C33" s="67" t="s">
        <v>122</v>
      </c>
      <c r="D33" s="68"/>
      <c r="E33" s="64">
        <f t="shared" ref="E33:AI33" si="8">COUNTIF(E2:E29,"S")+COUNTIF(E49:E101,"S")</f>
        <v>2</v>
      </c>
      <c r="F33" s="64">
        <f t="shared" si="8"/>
        <v>4</v>
      </c>
      <c r="G33" s="64">
        <f t="shared" si="8"/>
        <v>4</v>
      </c>
      <c r="H33" s="64">
        <f t="shared" si="8"/>
        <v>0</v>
      </c>
      <c r="I33" s="64">
        <f t="shared" si="8"/>
        <v>4</v>
      </c>
      <c r="J33" s="64">
        <f t="shared" si="8"/>
        <v>4</v>
      </c>
      <c r="K33" s="64">
        <f t="shared" si="8"/>
        <v>4</v>
      </c>
      <c r="L33" s="64">
        <f t="shared" si="8"/>
        <v>3</v>
      </c>
      <c r="M33" s="64">
        <f t="shared" si="8"/>
        <v>4</v>
      </c>
      <c r="N33" s="64">
        <f t="shared" si="8"/>
        <v>4</v>
      </c>
      <c r="O33" s="64">
        <f t="shared" si="8"/>
        <v>0</v>
      </c>
      <c r="P33" s="64">
        <f t="shared" si="8"/>
        <v>4</v>
      </c>
      <c r="Q33" s="64">
        <f t="shared" si="8"/>
        <v>4</v>
      </c>
      <c r="R33" s="64">
        <f t="shared" si="8"/>
        <v>4</v>
      </c>
      <c r="S33" s="64">
        <f t="shared" si="8"/>
        <v>1</v>
      </c>
      <c r="T33" s="64">
        <f t="shared" si="8"/>
        <v>4</v>
      </c>
      <c r="U33" s="64">
        <f t="shared" si="8"/>
        <v>4</v>
      </c>
      <c r="V33" s="64">
        <f t="shared" si="8"/>
        <v>1</v>
      </c>
      <c r="W33" s="64">
        <f t="shared" si="8"/>
        <v>3</v>
      </c>
      <c r="X33" s="64">
        <f t="shared" si="8"/>
        <v>3</v>
      </c>
      <c r="Y33" s="64">
        <f t="shared" si="8"/>
        <v>3</v>
      </c>
      <c r="Z33" s="64">
        <f t="shared" si="8"/>
        <v>0</v>
      </c>
      <c r="AA33" s="64">
        <f t="shared" si="8"/>
        <v>3</v>
      </c>
      <c r="AB33" s="64">
        <f t="shared" si="8"/>
        <v>3</v>
      </c>
      <c r="AC33" s="64">
        <f t="shared" si="8"/>
        <v>0</v>
      </c>
      <c r="AD33" s="64">
        <f t="shared" si="8"/>
        <v>4</v>
      </c>
      <c r="AE33" s="64">
        <f t="shared" si="8"/>
        <v>4</v>
      </c>
      <c r="AF33" s="64">
        <f t="shared" si="8"/>
        <v>4</v>
      </c>
      <c r="AG33" s="64">
        <f t="shared" si="8"/>
        <v>1</v>
      </c>
      <c r="AH33" s="64">
        <f t="shared" si="8"/>
        <v>4</v>
      </c>
      <c r="AI33" s="64">
        <f t="shared" si="8"/>
        <v>4</v>
      </c>
      <c r="AJ33"/>
      <c r="AK33" s="27"/>
      <c r="AL33" s="28"/>
      <c r="AM33"/>
      <c r="AN33" s="29"/>
    </row>
    <row r="34" spans="1:42">
      <c r="C34" s="69" t="s">
        <v>123</v>
      </c>
      <c r="D34" s="70"/>
      <c r="E34" s="64">
        <f t="shared" ref="E34:AJ34" si="9">COUNTIF(E2:E31,"K")+COUNTIF(E48:E102,"K")</f>
        <v>3</v>
      </c>
      <c r="F34" s="64">
        <f t="shared" si="9"/>
        <v>4</v>
      </c>
      <c r="G34" s="64">
        <f t="shared" si="9"/>
        <v>4</v>
      </c>
      <c r="H34" s="64">
        <f t="shared" si="9"/>
        <v>4</v>
      </c>
      <c r="I34" s="64">
        <f t="shared" si="9"/>
        <v>0</v>
      </c>
      <c r="J34" s="64">
        <f t="shared" si="9"/>
        <v>4</v>
      </c>
      <c r="K34" s="64">
        <f t="shared" si="9"/>
        <v>4</v>
      </c>
      <c r="L34" s="64">
        <f t="shared" si="9"/>
        <v>4</v>
      </c>
      <c r="M34" s="64">
        <f t="shared" si="9"/>
        <v>4</v>
      </c>
      <c r="N34" s="64">
        <f t="shared" si="9"/>
        <v>4</v>
      </c>
      <c r="O34" s="64">
        <f t="shared" si="9"/>
        <v>4</v>
      </c>
      <c r="P34" s="64">
        <f t="shared" si="9"/>
        <v>0</v>
      </c>
      <c r="Q34" s="64">
        <f t="shared" si="9"/>
        <v>3</v>
      </c>
      <c r="R34" s="64">
        <f t="shared" si="9"/>
        <v>3</v>
      </c>
      <c r="S34" s="64">
        <f t="shared" si="9"/>
        <v>1</v>
      </c>
      <c r="T34" s="64">
        <f t="shared" si="9"/>
        <v>5</v>
      </c>
      <c r="U34" s="64">
        <f t="shared" si="9"/>
        <v>5</v>
      </c>
      <c r="V34" s="64">
        <f t="shared" si="9"/>
        <v>5</v>
      </c>
      <c r="W34" s="64">
        <f t="shared" si="9"/>
        <v>1</v>
      </c>
      <c r="X34" s="64">
        <f t="shared" si="9"/>
        <v>5</v>
      </c>
      <c r="Y34" s="64">
        <f t="shared" si="9"/>
        <v>5</v>
      </c>
      <c r="Z34" s="64">
        <f t="shared" si="9"/>
        <v>3</v>
      </c>
      <c r="AA34" s="64">
        <f t="shared" si="9"/>
        <v>5</v>
      </c>
      <c r="AB34" s="64">
        <f t="shared" si="9"/>
        <v>5</v>
      </c>
      <c r="AC34" s="64">
        <f t="shared" si="9"/>
        <v>5</v>
      </c>
      <c r="AD34" s="64">
        <f t="shared" si="9"/>
        <v>0</v>
      </c>
      <c r="AE34" s="64">
        <f t="shared" si="9"/>
        <v>4</v>
      </c>
      <c r="AF34" s="64">
        <f t="shared" si="9"/>
        <v>4</v>
      </c>
      <c r="AG34" s="64">
        <f t="shared" si="9"/>
        <v>4</v>
      </c>
      <c r="AH34" s="64">
        <f t="shared" si="9"/>
        <v>4</v>
      </c>
      <c r="AI34" s="64">
        <f t="shared" si="9"/>
        <v>4</v>
      </c>
      <c r="AJ34" s="64">
        <f t="shared" si="9"/>
        <v>0</v>
      </c>
      <c r="AK34" s="27"/>
      <c r="AL34" s="28"/>
      <c r="AM34"/>
      <c r="AN34" s="29"/>
    </row>
    <row r="35" spans="1:42" ht="15.9">
      <c r="C35" s="56"/>
      <c r="D35" s="57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2"/>
      <c r="AG35" s="72"/>
      <c r="AH35" s="72"/>
      <c r="AI35" s="27"/>
      <c r="AJ35"/>
      <c r="AK35" s="27"/>
      <c r="AL35" s="28"/>
      <c r="AM35"/>
      <c r="AN35" s="29"/>
    </row>
    <row r="36" spans="1:42" s="73" customFormat="1" ht="15" customHeight="1">
      <c r="C36" s="680" t="s">
        <v>122</v>
      </c>
      <c r="D36" s="680"/>
      <c r="E36" s="673" t="s">
        <v>125</v>
      </c>
      <c r="F36" s="673"/>
      <c r="G36" s="673"/>
      <c r="H36" s="673" t="s">
        <v>129</v>
      </c>
      <c r="I36" s="673"/>
      <c r="J36" s="673"/>
      <c r="K36" s="673"/>
      <c r="L36" s="673" t="s">
        <v>129</v>
      </c>
      <c r="M36" s="673"/>
      <c r="N36" s="673"/>
      <c r="O36" s="673" t="s">
        <v>421</v>
      </c>
      <c r="P36" s="673"/>
      <c r="Q36" s="673"/>
      <c r="R36" s="673"/>
      <c r="S36" s="674" t="s">
        <v>173</v>
      </c>
      <c r="T36" s="674"/>
      <c r="U36" s="674"/>
      <c r="V36" s="673" t="s">
        <v>422</v>
      </c>
      <c r="W36" s="673"/>
      <c r="X36" s="673"/>
      <c r="Y36" s="673"/>
      <c r="Z36" s="673" t="s">
        <v>422</v>
      </c>
      <c r="AA36" s="673"/>
      <c r="AB36" s="673"/>
      <c r="AC36" s="673" t="s">
        <v>126</v>
      </c>
      <c r="AD36" s="673"/>
      <c r="AE36" s="673"/>
      <c r="AF36" s="673"/>
      <c r="AG36" s="666" t="s">
        <v>129</v>
      </c>
      <c r="AH36" s="666"/>
      <c r="AI36" s="666"/>
      <c r="AJ36" s="80"/>
      <c r="AK36" s="27"/>
      <c r="AL36" s="28"/>
      <c r="AM36"/>
      <c r="AN36" s="29"/>
      <c r="AO36" s="1"/>
      <c r="AP36" s="1"/>
    </row>
    <row r="37" spans="1:42" s="73" customFormat="1">
      <c r="C37" s="680"/>
      <c r="D37" s="680"/>
      <c r="E37" s="782" t="s">
        <v>206</v>
      </c>
      <c r="F37" s="782"/>
      <c r="G37" s="782"/>
      <c r="H37" s="783" t="s">
        <v>132</v>
      </c>
      <c r="I37" s="783"/>
      <c r="J37" s="783"/>
      <c r="K37" s="783"/>
      <c r="L37" s="783" t="s">
        <v>194</v>
      </c>
      <c r="M37" s="783"/>
      <c r="N37" s="783"/>
      <c r="O37" s="783" t="s">
        <v>373</v>
      </c>
      <c r="P37" s="783"/>
      <c r="Q37" s="783"/>
      <c r="R37" s="783"/>
      <c r="S37" s="784" t="s">
        <v>174</v>
      </c>
      <c r="T37" s="784"/>
      <c r="U37" s="784"/>
      <c r="V37" s="783" t="s">
        <v>194</v>
      </c>
      <c r="W37" s="783"/>
      <c r="X37" s="783"/>
      <c r="Y37" s="783"/>
      <c r="Z37" s="783" t="s">
        <v>130</v>
      </c>
      <c r="AA37" s="783"/>
      <c r="AB37" s="783"/>
      <c r="AC37" s="783" t="s">
        <v>131</v>
      </c>
      <c r="AD37" s="783"/>
      <c r="AE37" s="783"/>
      <c r="AF37" s="783"/>
      <c r="AG37" s="670" t="s">
        <v>135</v>
      </c>
      <c r="AH37" s="670"/>
      <c r="AI37" s="670"/>
      <c r="AJ37" s="80"/>
      <c r="AK37" s="27"/>
      <c r="AL37" s="28"/>
      <c r="AM37"/>
      <c r="AN37" s="29"/>
      <c r="AO37" s="1"/>
      <c r="AP37" s="1"/>
    </row>
    <row r="38" spans="1:42" s="73" customFormat="1">
      <c r="C38" s="680"/>
      <c r="D38" s="680"/>
      <c r="E38" s="663" t="s">
        <v>141</v>
      </c>
      <c r="F38" s="663"/>
      <c r="G38" s="663"/>
      <c r="H38" s="785" t="s">
        <v>298</v>
      </c>
      <c r="I38" s="785"/>
      <c r="J38" s="785"/>
      <c r="K38" s="785"/>
      <c r="L38" s="785" t="s">
        <v>423</v>
      </c>
      <c r="M38" s="785"/>
      <c r="N38" s="785"/>
      <c r="O38" s="780" t="s">
        <v>136</v>
      </c>
      <c r="P38" s="780"/>
      <c r="Q38" s="780"/>
      <c r="R38" s="780"/>
      <c r="S38" s="781" t="s">
        <v>136</v>
      </c>
      <c r="T38" s="781"/>
      <c r="U38" s="781"/>
      <c r="V38" s="780" t="s">
        <v>246</v>
      </c>
      <c r="W38" s="780"/>
      <c r="X38" s="780"/>
      <c r="Y38" s="780"/>
      <c r="Z38" s="780" t="s">
        <v>138</v>
      </c>
      <c r="AA38" s="780"/>
      <c r="AB38" s="780"/>
      <c r="AC38" s="780" t="s">
        <v>140</v>
      </c>
      <c r="AD38" s="780"/>
      <c r="AE38" s="780"/>
      <c r="AF38" s="780"/>
      <c r="AG38" s="662" t="s">
        <v>140</v>
      </c>
      <c r="AH38" s="662"/>
      <c r="AI38" s="662"/>
      <c r="AJ38" s="80"/>
      <c r="AK38" s="27"/>
      <c r="AL38" s="28"/>
      <c r="AM38"/>
      <c r="AN38" s="29"/>
      <c r="AO38" s="1"/>
      <c r="AP38" s="1"/>
    </row>
    <row r="39" spans="1:42" s="73" customFormat="1">
      <c r="C39" s="680"/>
      <c r="D39" s="680"/>
      <c r="E39" s="780" t="s">
        <v>385</v>
      </c>
      <c r="F39" s="780"/>
      <c r="G39" s="780"/>
      <c r="H39" s="780" t="s">
        <v>145</v>
      </c>
      <c r="I39" s="780"/>
      <c r="J39" s="780"/>
      <c r="K39" s="780"/>
      <c r="L39" s="780" t="s">
        <v>145</v>
      </c>
      <c r="M39" s="780"/>
      <c r="N39" s="780"/>
      <c r="O39" s="780" t="s">
        <v>218</v>
      </c>
      <c r="P39" s="780"/>
      <c r="Q39" s="780"/>
      <c r="R39" s="780"/>
      <c r="S39" s="781" t="s">
        <v>386</v>
      </c>
      <c r="T39" s="781"/>
      <c r="U39" s="781"/>
      <c r="V39" s="780" t="s">
        <v>149</v>
      </c>
      <c r="W39" s="780"/>
      <c r="X39" s="780"/>
      <c r="Y39" s="780"/>
      <c r="Z39" s="780" t="s">
        <v>143</v>
      </c>
      <c r="AA39" s="780"/>
      <c r="AB39" s="780"/>
      <c r="AC39" s="780" t="s">
        <v>375</v>
      </c>
      <c r="AD39" s="780"/>
      <c r="AE39" s="780"/>
      <c r="AF39" s="780"/>
      <c r="AG39" s="662" t="s">
        <v>151</v>
      </c>
      <c r="AH39" s="662"/>
      <c r="AI39" s="662"/>
      <c r="AJ39" s="80"/>
      <c r="AK39" s="27"/>
      <c r="AL39" s="28"/>
      <c r="AM39"/>
      <c r="AN39" s="29"/>
      <c r="AO39" s="1"/>
      <c r="AP39" s="1"/>
    </row>
    <row r="40" spans="1:42" s="73" customFormat="1">
      <c r="C40" s="77"/>
      <c r="D40" s="77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1"/>
      <c r="AH40" s="79"/>
      <c r="AI40" s="79"/>
      <c r="AJ40" s="80"/>
      <c r="AK40" s="27"/>
      <c r="AL40" s="28"/>
      <c r="AM40"/>
      <c r="AN40" s="29"/>
      <c r="AO40" s="1"/>
      <c r="AP40" s="1"/>
    </row>
    <row r="41" spans="1:42" s="73" customFormat="1" ht="16.5" customHeight="1">
      <c r="C41" s="671" t="s">
        <v>123</v>
      </c>
      <c r="D41" s="671"/>
      <c r="E41" s="672" t="s">
        <v>247</v>
      </c>
      <c r="F41" s="672"/>
      <c r="G41" s="672"/>
      <c r="H41" s="672" t="s">
        <v>248</v>
      </c>
      <c r="I41" s="672"/>
      <c r="J41" s="672"/>
      <c r="K41" s="672"/>
      <c r="L41" s="673" t="s">
        <v>248</v>
      </c>
      <c r="M41" s="673"/>
      <c r="N41" s="673"/>
      <c r="O41" s="673" t="s">
        <v>249</v>
      </c>
      <c r="P41" s="673"/>
      <c r="Q41" s="673"/>
      <c r="R41" s="673"/>
      <c r="S41" s="674" t="s">
        <v>205</v>
      </c>
      <c r="T41" s="674"/>
      <c r="U41" s="674"/>
      <c r="V41" s="673" t="s">
        <v>347</v>
      </c>
      <c r="W41" s="673"/>
      <c r="X41" s="673"/>
      <c r="Y41" s="673"/>
      <c r="Z41" s="673" t="s">
        <v>424</v>
      </c>
      <c r="AA41" s="673"/>
      <c r="AB41" s="673"/>
      <c r="AC41" s="673" t="s">
        <v>248</v>
      </c>
      <c r="AD41" s="673"/>
      <c r="AE41" s="673"/>
      <c r="AF41" s="673"/>
      <c r="AG41" s="666" t="s">
        <v>248</v>
      </c>
      <c r="AH41" s="666"/>
      <c r="AI41" s="666"/>
      <c r="AJ41" s="80"/>
      <c r="AK41" s="27"/>
      <c r="AL41" s="28"/>
      <c r="AM41"/>
      <c r="AN41" s="29"/>
      <c r="AO41" s="1"/>
      <c r="AP41" s="1"/>
    </row>
    <row r="42" spans="1:42" s="73" customFormat="1" ht="16.5" customHeight="1">
      <c r="C42" s="671"/>
      <c r="D42" s="671"/>
      <c r="E42" s="667" t="s">
        <v>245</v>
      </c>
      <c r="F42" s="667"/>
      <c r="G42" s="667"/>
      <c r="H42" s="667" t="s">
        <v>202</v>
      </c>
      <c r="I42" s="667"/>
      <c r="J42" s="667"/>
      <c r="K42" s="667"/>
      <c r="L42" s="668" t="s">
        <v>202</v>
      </c>
      <c r="M42" s="668"/>
      <c r="N42" s="668"/>
      <c r="O42" s="668" t="s">
        <v>164</v>
      </c>
      <c r="P42" s="668"/>
      <c r="Q42" s="668"/>
      <c r="R42" s="668"/>
      <c r="S42" s="669" t="s">
        <v>206</v>
      </c>
      <c r="T42" s="669"/>
      <c r="U42" s="669"/>
      <c r="V42" s="668" t="s">
        <v>425</v>
      </c>
      <c r="W42" s="668"/>
      <c r="X42" s="668"/>
      <c r="Y42" s="668"/>
      <c r="Z42" s="668" t="s">
        <v>426</v>
      </c>
      <c r="AA42" s="668"/>
      <c r="AB42" s="668"/>
      <c r="AC42" s="668" t="s">
        <v>209</v>
      </c>
      <c r="AD42" s="668"/>
      <c r="AE42" s="668"/>
      <c r="AF42" s="668"/>
      <c r="AG42" s="670" t="s">
        <v>209</v>
      </c>
      <c r="AH42" s="670"/>
      <c r="AI42" s="670"/>
      <c r="AJ42" s="80"/>
      <c r="AK42" s="27"/>
      <c r="AL42" s="28"/>
      <c r="AM42"/>
      <c r="AN42" s="29"/>
      <c r="AO42" s="1"/>
      <c r="AP42" s="1"/>
    </row>
    <row r="43" spans="1:42" s="73" customFormat="1" ht="16.5" customHeight="1">
      <c r="C43" s="671"/>
      <c r="D43" s="671"/>
      <c r="E43" s="663" t="s">
        <v>210</v>
      </c>
      <c r="F43" s="663"/>
      <c r="G43" s="663"/>
      <c r="H43" s="663" t="s">
        <v>212</v>
      </c>
      <c r="I43" s="663"/>
      <c r="J43" s="663"/>
      <c r="K43" s="663"/>
      <c r="L43" s="664" t="s">
        <v>212</v>
      </c>
      <c r="M43" s="664"/>
      <c r="N43" s="664"/>
      <c r="O43" s="664" t="s">
        <v>146</v>
      </c>
      <c r="P43" s="664"/>
      <c r="Q43" s="664"/>
      <c r="R43" s="664"/>
      <c r="S43" s="665" t="s">
        <v>213</v>
      </c>
      <c r="T43" s="665"/>
      <c r="U43" s="665"/>
      <c r="V43" s="664" t="s">
        <v>196</v>
      </c>
      <c r="W43" s="664"/>
      <c r="X43" s="664"/>
      <c r="Y43" s="664"/>
      <c r="Z43" s="664" t="s">
        <v>196</v>
      </c>
      <c r="AA43" s="664"/>
      <c r="AB43" s="664"/>
      <c r="AC43" s="664" t="s">
        <v>252</v>
      </c>
      <c r="AD43" s="664"/>
      <c r="AE43" s="664"/>
      <c r="AF43" s="664"/>
      <c r="AG43" s="662" t="s">
        <v>252</v>
      </c>
      <c r="AH43" s="662"/>
      <c r="AI43" s="662"/>
      <c r="AJ43" s="80"/>
      <c r="AK43" s="27"/>
      <c r="AL43" s="28"/>
      <c r="AM43"/>
      <c r="AN43" s="29"/>
      <c r="AO43" s="1"/>
      <c r="AP43" s="1"/>
    </row>
    <row r="44" spans="1:42" s="73" customFormat="1" ht="16.5" customHeight="1">
      <c r="C44" s="671"/>
      <c r="D44" s="671"/>
      <c r="E44" s="663" t="s">
        <v>251</v>
      </c>
      <c r="F44" s="663"/>
      <c r="G44" s="663"/>
      <c r="H44" s="663" t="s">
        <v>255</v>
      </c>
      <c r="I44" s="663"/>
      <c r="J44" s="663"/>
      <c r="K44" s="663"/>
      <c r="L44" s="664" t="s">
        <v>255</v>
      </c>
      <c r="M44" s="664"/>
      <c r="N44" s="664"/>
      <c r="O44" s="664" t="s">
        <v>175</v>
      </c>
      <c r="P44" s="664"/>
      <c r="Q44" s="664"/>
      <c r="R44" s="664"/>
      <c r="S44" s="665" t="s">
        <v>146</v>
      </c>
      <c r="T44" s="665"/>
      <c r="U44" s="665"/>
      <c r="V44" s="664" t="s">
        <v>214</v>
      </c>
      <c r="W44" s="664"/>
      <c r="X44" s="664"/>
      <c r="Y44" s="664"/>
      <c r="Z44" s="664" t="s">
        <v>427</v>
      </c>
      <c r="AA44" s="664"/>
      <c r="AB44" s="664"/>
      <c r="AC44" s="664" t="s">
        <v>251</v>
      </c>
      <c r="AD44" s="664"/>
      <c r="AE44" s="664"/>
      <c r="AF44" s="664"/>
      <c r="AG44" s="662" t="s">
        <v>251</v>
      </c>
      <c r="AH44" s="662"/>
      <c r="AI44" s="662"/>
      <c r="AJ44" s="80"/>
      <c r="AK44" s="27"/>
      <c r="AL44" s="28"/>
      <c r="AM44"/>
      <c r="AN44" s="29"/>
      <c r="AO44" s="1"/>
      <c r="AP44" s="1"/>
    </row>
    <row r="45" spans="1:42" ht="15.9">
      <c r="C45" s="61"/>
      <c r="D45" s="81"/>
      <c r="N45" s="659"/>
      <c r="O45" s="659"/>
      <c r="AK45" s="27"/>
      <c r="AL45" s="28"/>
      <c r="AM45"/>
      <c r="AN45" s="29"/>
    </row>
    <row r="46" spans="1:42" ht="15.9">
      <c r="C46" s="61"/>
      <c r="D46" s="81"/>
      <c r="J46" s="778" t="s">
        <v>428</v>
      </c>
      <c r="K46" s="778"/>
      <c r="L46" s="778"/>
      <c r="M46" s="778"/>
      <c r="Q46" s="82"/>
      <c r="R46" s="82"/>
      <c r="S46" s="82"/>
      <c r="T46" s="779" t="s">
        <v>429</v>
      </c>
      <c r="U46" s="779"/>
      <c r="V46" s="779"/>
      <c r="W46" s="83"/>
      <c r="X46" s="83"/>
      <c r="Y46" s="83"/>
      <c r="Z46" s="83"/>
      <c r="AK46" s="27"/>
      <c r="AL46" s="28"/>
      <c r="AM46"/>
      <c r="AN46" s="29"/>
    </row>
    <row r="47" spans="1:42" ht="43.3">
      <c r="A47" s="1" t="s">
        <v>52</v>
      </c>
      <c r="E47" s="11">
        <v>44470</v>
      </c>
      <c r="F47" s="10">
        <v>44471</v>
      </c>
      <c r="G47" s="10">
        <v>44472</v>
      </c>
      <c r="H47" s="11">
        <v>44473</v>
      </c>
      <c r="I47" s="11">
        <v>44474</v>
      </c>
      <c r="J47" s="11">
        <v>44475</v>
      </c>
      <c r="K47" s="11">
        <v>44476</v>
      </c>
      <c r="L47" s="11">
        <v>44477</v>
      </c>
      <c r="M47" s="10">
        <v>44478</v>
      </c>
      <c r="N47" s="10">
        <v>44479</v>
      </c>
      <c r="O47" s="11">
        <v>44480</v>
      </c>
      <c r="P47" s="11">
        <v>44481</v>
      </c>
      <c r="Q47" s="11">
        <v>44482</v>
      </c>
      <c r="R47" s="11">
        <v>44483</v>
      </c>
      <c r="S47" s="11">
        <v>44484</v>
      </c>
      <c r="T47" s="10">
        <v>44485</v>
      </c>
      <c r="U47" s="10">
        <v>44486</v>
      </c>
      <c r="V47" s="11">
        <v>44487</v>
      </c>
      <c r="W47" s="11">
        <v>44488</v>
      </c>
      <c r="X47" s="11">
        <v>44489</v>
      </c>
      <c r="Y47" s="11">
        <v>44490</v>
      </c>
      <c r="Z47" s="11">
        <v>44491</v>
      </c>
      <c r="AA47" s="10">
        <v>44492</v>
      </c>
      <c r="AB47" s="10">
        <v>44493</v>
      </c>
      <c r="AC47" s="11">
        <v>44494</v>
      </c>
      <c r="AD47" s="11">
        <v>44495</v>
      </c>
      <c r="AE47" s="11">
        <v>44496</v>
      </c>
      <c r="AF47" s="11">
        <v>44497</v>
      </c>
      <c r="AG47" s="11">
        <v>44498</v>
      </c>
      <c r="AH47" s="10">
        <v>44499</v>
      </c>
      <c r="AI47" s="10">
        <v>44500</v>
      </c>
      <c r="AJ47" s="84">
        <v>44440</v>
      </c>
      <c r="AK47" s="435">
        <v>168</v>
      </c>
      <c r="AL47" s="16" t="s">
        <v>53</v>
      </c>
      <c r="AM47" s="17" t="s">
        <v>54</v>
      </c>
      <c r="AN47" s="18" t="s">
        <v>55</v>
      </c>
      <c r="AO47" s="1" t="s">
        <v>56</v>
      </c>
      <c r="AP47" s="1" t="s">
        <v>57</v>
      </c>
    </row>
    <row r="48" spans="1:42" ht="15.9">
      <c r="A48" s="1" t="s">
        <v>152</v>
      </c>
      <c r="B48" s="1" t="s">
        <v>93</v>
      </c>
      <c r="C48" s="289" t="s">
        <v>3</v>
      </c>
      <c r="D48" s="86" t="e">
        <f>#REF!</f>
        <v>#REF!</v>
      </c>
      <c r="E48" s="200" t="s">
        <v>154</v>
      </c>
      <c r="F48" s="23" t="s">
        <v>154</v>
      </c>
      <c r="G48" s="23" t="s">
        <v>154</v>
      </c>
      <c r="H48" s="22" t="s">
        <v>154</v>
      </c>
      <c r="I48" s="22">
        <v>15</v>
      </c>
      <c r="J48" s="22"/>
      <c r="K48" s="22"/>
      <c r="L48" s="22"/>
      <c r="M48" s="23"/>
      <c r="N48" s="23"/>
      <c r="O48" s="22"/>
      <c r="P48" s="22"/>
      <c r="Q48" s="22"/>
      <c r="R48" s="22">
        <v>4</v>
      </c>
      <c r="S48" s="22"/>
      <c r="T48" s="23"/>
      <c r="U48" s="23"/>
      <c r="V48" s="22"/>
      <c r="W48" s="22">
        <v>8</v>
      </c>
      <c r="X48" s="22"/>
      <c r="Y48" s="22"/>
      <c r="Z48" s="22"/>
      <c r="AA48" s="23"/>
      <c r="AB48" s="23"/>
      <c r="AC48" s="22"/>
      <c r="AD48" s="22"/>
      <c r="AE48" s="22"/>
      <c r="AF48" s="22"/>
      <c r="AG48" s="22"/>
      <c r="AH48" s="23"/>
      <c r="AI48" s="492"/>
      <c r="AJ48" s="440" t="str">
        <f t="shared" ref="AJ48:AJ79" si="10">C48</f>
        <v>BARAN Marek</v>
      </c>
      <c r="AK48" s="534" t="e">
        <f t="shared" ref="AK48:AK63" si="11">D48+AL48+AM48+AN48-$AK$47+AO48+AP48</f>
        <v>#REF!</v>
      </c>
      <c r="AL48">
        <f t="shared" ref="AL48:AL79" si="12">COUNTIF(E48:AI48,"D")*24+COUNTIF(E48:AI48,"12g")*12+COUNTIF(E48:AI48,"w")*24</f>
        <v>0</v>
      </c>
      <c r="AM48">
        <f t="shared" ref="AM48:AM79" si="13">SUM(COUNTIF(E48:AI48,"k")+COUNTIF(E48:AI48,"s")+COUNTIF(E48:AI48,"wse"))*24+SUM(COUNTIF(E48:AI48,"Pk")+COUNTIF(E48:AI48,"Ps"))*12</f>
        <v>96</v>
      </c>
      <c r="AN48" s="29">
        <f t="shared" ref="AN48:AN79" si="14">SUM(E48:AI48)+COUNTIF(E48:AI48,"uw")*8+COUNTIF(E48:AI48,"us")*8+COUNTIF(E48:AI48,"uz")*8</f>
        <v>27</v>
      </c>
      <c r="AO48" s="1">
        <f t="shared" ref="AO48:AO79" si="15">COUNTIF(E48:AI48,"DT")*8</f>
        <v>0</v>
      </c>
    </row>
    <row r="49" spans="1:42" ht="15.9">
      <c r="A49" s="1" t="s">
        <v>155</v>
      </c>
      <c r="B49" s="1" t="s">
        <v>73</v>
      </c>
      <c r="C49" s="290" t="s">
        <v>4</v>
      </c>
      <c r="D49" s="86" t="e">
        <f>#REF!</f>
        <v>#REF!</v>
      </c>
      <c r="E49" s="204" t="s">
        <v>75</v>
      </c>
      <c r="F49" s="33" t="s">
        <v>66</v>
      </c>
      <c r="G49" s="33" t="s">
        <v>66</v>
      </c>
      <c r="H49" s="32" t="s">
        <v>75</v>
      </c>
      <c r="I49" s="32" t="s">
        <v>75</v>
      </c>
      <c r="J49" s="32" t="s">
        <v>75</v>
      </c>
      <c r="K49" s="32" t="s">
        <v>75</v>
      </c>
      <c r="L49" s="32" t="s">
        <v>75</v>
      </c>
      <c r="M49" s="33"/>
      <c r="N49" s="33"/>
      <c r="O49" s="32"/>
      <c r="P49" s="32"/>
      <c r="Q49" s="32"/>
      <c r="R49" s="32"/>
      <c r="S49" s="32"/>
      <c r="T49" s="33"/>
      <c r="U49" s="33"/>
      <c r="V49" s="32"/>
      <c r="W49" s="32">
        <v>17</v>
      </c>
      <c r="X49" s="32" t="s">
        <v>154</v>
      </c>
      <c r="Y49" s="32" t="s">
        <v>154</v>
      </c>
      <c r="Z49" s="32" t="s">
        <v>154</v>
      </c>
      <c r="AA49" s="33" t="s">
        <v>154</v>
      </c>
      <c r="AB49" s="33" t="s">
        <v>154</v>
      </c>
      <c r="AC49" s="32" t="s">
        <v>154</v>
      </c>
      <c r="AD49" s="32" t="s">
        <v>153</v>
      </c>
      <c r="AE49" s="32"/>
      <c r="AF49" s="32"/>
      <c r="AG49" s="32"/>
      <c r="AH49" s="33"/>
      <c r="AI49" s="493"/>
      <c r="AJ49" s="440" t="str">
        <f t="shared" si="10"/>
        <v>BARTOSIEWICZ Tomasz</v>
      </c>
      <c r="AK49" s="534" t="e">
        <f t="shared" si="11"/>
        <v>#REF!</v>
      </c>
      <c r="AL49">
        <f t="shared" si="12"/>
        <v>0</v>
      </c>
      <c r="AM49">
        <f t="shared" si="13"/>
        <v>156</v>
      </c>
      <c r="AN49" s="29">
        <f t="shared" si="14"/>
        <v>65</v>
      </c>
      <c r="AO49" s="1">
        <f t="shared" si="15"/>
        <v>0</v>
      </c>
    </row>
    <row r="50" spans="1:42" ht="15.9">
      <c r="A50" s="1" t="s">
        <v>67</v>
      </c>
      <c r="B50" s="1" t="s">
        <v>73</v>
      </c>
      <c r="C50" s="545" t="s">
        <v>5</v>
      </c>
      <c r="D50" s="86" t="e">
        <f>#REF!</f>
        <v>#REF!</v>
      </c>
      <c r="E50" s="204"/>
      <c r="F50" s="33"/>
      <c r="G50" s="33"/>
      <c r="H50" s="32"/>
      <c r="I50" s="32"/>
      <c r="J50" s="32"/>
      <c r="K50" s="32"/>
      <c r="L50" s="32"/>
      <c r="M50" s="33"/>
      <c r="N50" s="33"/>
      <c r="O50" s="32" t="s">
        <v>301</v>
      </c>
      <c r="P50" s="32"/>
      <c r="Q50" s="32"/>
      <c r="R50" s="32"/>
      <c r="S50" s="32" t="s">
        <v>113</v>
      </c>
      <c r="T50" s="33"/>
      <c r="U50" s="33"/>
      <c r="V50" s="32"/>
      <c r="W50" s="32"/>
      <c r="X50" s="32"/>
      <c r="Y50" s="32"/>
      <c r="Z50" s="32"/>
      <c r="AA50" s="33"/>
      <c r="AB50" s="33"/>
      <c r="AC50" s="32"/>
      <c r="AD50" s="32"/>
      <c r="AE50" s="32"/>
      <c r="AF50" s="32"/>
      <c r="AG50" s="32"/>
      <c r="AH50" s="33"/>
      <c r="AI50" s="493"/>
      <c r="AJ50" s="440" t="str">
        <f t="shared" si="10"/>
        <v>BUDZISŁAWSKI Sebastian</v>
      </c>
      <c r="AK50" s="534" t="e">
        <f t="shared" si="11"/>
        <v>#REF!</v>
      </c>
      <c r="AL50">
        <f t="shared" si="12"/>
        <v>48</v>
      </c>
      <c r="AM50">
        <f t="shared" si="13"/>
        <v>0</v>
      </c>
      <c r="AN50" s="29">
        <f t="shared" si="14"/>
        <v>0</v>
      </c>
      <c r="AO50" s="1">
        <f t="shared" si="15"/>
        <v>0</v>
      </c>
    </row>
    <row r="51" spans="1:42" ht="15.9">
      <c r="A51" s="1" t="s">
        <v>152</v>
      </c>
      <c r="B51" s="1" t="s">
        <v>64</v>
      </c>
      <c r="C51" s="546" t="s">
        <v>6</v>
      </c>
      <c r="D51" s="86" t="e">
        <f>#REF!</f>
        <v>#REF!</v>
      </c>
      <c r="E51" s="204"/>
      <c r="F51" s="33" t="s">
        <v>113</v>
      </c>
      <c r="G51" s="33"/>
      <c r="H51" s="32"/>
      <c r="I51" s="32"/>
      <c r="J51" s="32"/>
      <c r="K51" s="32"/>
      <c r="L51" s="32"/>
      <c r="M51" s="33"/>
      <c r="N51" s="33" t="s">
        <v>113</v>
      </c>
      <c r="O51" s="32"/>
      <c r="P51" s="32">
        <v>8</v>
      </c>
      <c r="Q51" s="32" t="s">
        <v>301</v>
      </c>
      <c r="R51" s="32"/>
      <c r="S51" s="32">
        <v>8</v>
      </c>
      <c r="T51" s="33"/>
      <c r="U51" s="33"/>
      <c r="V51" s="32" t="s">
        <v>113</v>
      </c>
      <c r="W51" s="32"/>
      <c r="X51" s="32"/>
      <c r="Y51" s="32"/>
      <c r="Z51" s="32"/>
      <c r="AA51" s="33" t="s">
        <v>301</v>
      </c>
      <c r="AB51" s="33"/>
      <c r="AC51" s="32"/>
      <c r="AD51" s="32"/>
      <c r="AE51" s="32"/>
      <c r="AF51" s="32"/>
      <c r="AG51" s="32"/>
      <c r="AH51" s="33"/>
      <c r="AI51" s="493"/>
      <c r="AJ51" s="440" t="str">
        <f t="shared" si="10"/>
        <v>CHĘCIŃSKI Piotr</v>
      </c>
      <c r="AK51" s="534" t="e">
        <f t="shared" si="11"/>
        <v>#REF!</v>
      </c>
      <c r="AL51">
        <f t="shared" si="12"/>
        <v>120</v>
      </c>
      <c r="AM51">
        <f t="shared" si="13"/>
        <v>0</v>
      </c>
      <c r="AN51" s="29">
        <f t="shared" si="14"/>
        <v>16</v>
      </c>
      <c r="AO51" s="1">
        <f t="shared" si="15"/>
        <v>0</v>
      </c>
    </row>
    <row r="52" spans="1:42" ht="15.9">
      <c r="A52" s="1" t="s">
        <v>156</v>
      </c>
      <c r="B52" s="1" t="s">
        <v>59</v>
      </c>
      <c r="C52" s="547" t="s">
        <v>7</v>
      </c>
      <c r="D52" s="86" t="e">
        <f>#REF!</f>
        <v>#REF!</v>
      </c>
      <c r="E52" s="204"/>
      <c r="F52" s="33"/>
      <c r="G52" s="33"/>
      <c r="H52" s="32"/>
      <c r="I52" s="32"/>
      <c r="J52" s="32"/>
      <c r="K52" s="32"/>
      <c r="L52" s="32" t="s">
        <v>66</v>
      </c>
      <c r="M52" s="33" t="s">
        <v>66</v>
      </c>
      <c r="N52" s="33" t="s">
        <v>66</v>
      </c>
      <c r="O52" s="32" t="s">
        <v>66</v>
      </c>
      <c r="P52" s="32" t="s">
        <v>153</v>
      </c>
      <c r="Q52" s="32" t="s">
        <v>154</v>
      </c>
      <c r="R52" s="32" t="s">
        <v>154</v>
      </c>
      <c r="S52" s="32" t="s">
        <v>153</v>
      </c>
      <c r="T52" s="33" t="s">
        <v>66</v>
      </c>
      <c r="U52" s="33" t="s">
        <v>66</v>
      </c>
      <c r="V52" s="32" t="s">
        <v>66</v>
      </c>
      <c r="W52" s="32"/>
      <c r="X52" s="32"/>
      <c r="Y52" s="32"/>
      <c r="Z52" s="32"/>
      <c r="AA52" s="33"/>
      <c r="AB52" s="33"/>
      <c r="AC52" s="32"/>
      <c r="AD52" s="32"/>
      <c r="AE52" s="32"/>
      <c r="AF52" s="32"/>
      <c r="AG52" s="32"/>
      <c r="AH52" s="33"/>
      <c r="AI52" s="493" t="s">
        <v>301</v>
      </c>
      <c r="AJ52" s="440" t="str">
        <f t="shared" si="10"/>
        <v>CHŁOPECKI Przemysław</v>
      </c>
      <c r="AK52" s="534" t="e">
        <f t="shared" si="11"/>
        <v>#REF!</v>
      </c>
      <c r="AL52">
        <f t="shared" si="12"/>
        <v>24</v>
      </c>
      <c r="AM52">
        <f t="shared" si="13"/>
        <v>72</v>
      </c>
      <c r="AN52" s="29">
        <f t="shared" si="14"/>
        <v>0</v>
      </c>
      <c r="AO52" s="1">
        <f t="shared" si="15"/>
        <v>0</v>
      </c>
    </row>
    <row r="53" spans="1:42" ht="15.9">
      <c r="A53" s="1" t="s">
        <v>58</v>
      </c>
      <c r="B53" s="1" t="s">
        <v>73</v>
      </c>
      <c r="C53" s="545" t="s">
        <v>8</v>
      </c>
      <c r="D53" s="86" t="e">
        <f>#REF!</f>
        <v>#REF!</v>
      </c>
      <c r="E53" s="204"/>
      <c r="F53" s="33"/>
      <c r="G53" s="33"/>
      <c r="H53" s="32"/>
      <c r="I53" s="32"/>
      <c r="J53" s="32">
        <v>17</v>
      </c>
      <c r="K53" s="32" t="s">
        <v>98</v>
      </c>
      <c r="L53" s="32" t="s">
        <v>98</v>
      </c>
      <c r="M53" s="33">
        <v>13</v>
      </c>
      <c r="N53" s="33"/>
      <c r="O53" s="32"/>
      <c r="P53" s="32"/>
      <c r="Q53" s="32"/>
      <c r="R53" s="32"/>
      <c r="S53" s="32"/>
      <c r="T53" s="33"/>
      <c r="U53" s="33"/>
      <c r="V53" s="32"/>
      <c r="W53" s="32"/>
      <c r="X53" s="32" t="s">
        <v>301</v>
      </c>
      <c r="Y53" s="32"/>
      <c r="Z53" s="32"/>
      <c r="AA53" s="33"/>
      <c r="AB53" s="33"/>
      <c r="AC53" s="32" t="s">
        <v>113</v>
      </c>
      <c r="AD53" s="32"/>
      <c r="AE53" s="32"/>
      <c r="AF53" s="32"/>
      <c r="AG53" s="32"/>
      <c r="AH53" s="33"/>
      <c r="AI53" s="493"/>
      <c r="AJ53" s="440" t="str">
        <f t="shared" si="10"/>
        <v>CHUDZIAK Dariusz</v>
      </c>
      <c r="AK53" s="534" t="e">
        <f t="shared" si="11"/>
        <v>#REF!</v>
      </c>
      <c r="AL53">
        <f t="shared" si="12"/>
        <v>48</v>
      </c>
      <c r="AM53">
        <f t="shared" si="13"/>
        <v>48</v>
      </c>
      <c r="AN53" s="29">
        <f t="shared" si="14"/>
        <v>30</v>
      </c>
      <c r="AO53" s="1">
        <f t="shared" si="15"/>
        <v>0</v>
      </c>
    </row>
    <row r="54" spans="1:42" ht="15.9">
      <c r="A54" s="1" t="s">
        <v>152</v>
      </c>
      <c r="B54" s="1" t="s">
        <v>59</v>
      </c>
      <c r="C54" s="546" t="s">
        <v>9</v>
      </c>
      <c r="D54" s="86" t="e">
        <f>#REF!</f>
        <v>#REF!</v>
      </c>
      <c r="E54" s="204"/>
      <c r="F54" s="33"/>
      <c r="G54" s="33"/>
      <c r="H54" s="32"/>
      <c r="I54" s="32"/>
      <c r="J54" s="32">
        <v>17</v>
      </c>
      <c r="K54" s="32" t="s">
        <v>98</v>
      </c>
      <c r="L54" s="32" t="s">
        <v>98</v>
      </c>
      <c r="M54" s="33">
        <v>13</v>
      </c>
      <c r="N54" s="33"/>
      <c r="O54" s="32"/>
      <c r="P54" s="32"/>
      <c r="Q54" s="32"/>
      <c r="R54" s="32"/>
      <c r="S54" s="32"/>
      <c r="T54" s="33">
        <v>8</v>
      </c>
      <c r="U54" s="33" t="s">
        <v>98</v>
      </c>
      <c r="V54" s="32">
        <v>15</v>
      </c>
      <c r="W54" s="32"/>
      <c r="X54" s="32"/>
      <c r="Y54" s="32"/>
      <c r="Z54" s="32"/>
      <c r="AA54" s="33"/>
      <c r="AB54" s="33"/>
      <c r="AC54" s="32"/>
      <c r="AD54" s="32"/>
      <c r="AE54" s="32"/>
      <c r="AF54" s="32"/>
      <c r="AG54" s="32"/>
      <c r="AH54" s="33"/>
      <c r="AI54" s="493"/>
      <c r="AJ54" s="440" t="str">
        <f t="shared" si="10"/>
        <v>FIR Paweł</v>
      </c>
      <c r="AK54" s="534" t="e">
        <f t="shared" si="11"/>
        <v>#REF!</v>
      </c>
      <c r="AL54">
        <f t="shared" si="12"/>
        <v>0</v>
      </c>
      <c r="AM54">
        <f t="shared" si="13"/>
        <v>72</v>
      </c>
      <c r="AN54" s="29">
        <f t="shared" si="14"/>
        <v>53</v>
      </c>
      <c r="AO54" s="1">
        <f t="shared" si="15"/>
        <v>0</v>
      </c>
    </row>
    <row r="55" spans="1:42" ht="15.9">
      <c r="A55" s="1" t="s">
        <v>157</v>
      </c>
      <c r="B55" s="1" t="s">
        <v>59</v>
      </c>
      <c r="C55" s="547" t="s">
        <v>10</v>
      </c>
      <c r="D55" s="86" t="e">
        <f>#REF!</f>
        <v>#REF!</v>
      </c>
      <c r="E55" s="204" t="s">
        <v>61</v>
      </c>
      <c r="F55" s="33" t="s">
        <v>62</v>
      </c>
      <c r="G55" s="33" t="s">
        <v>62</v>
      </c>
      <c r="H55" s="32" t="s">
        <v>61</v>
      </c>
      <c r="I55" s="32"/>
      <c r="J55" s="32"/>
      <c r="K55" s="32"/>
      <c r="L55" s="32" t="s">
        <v>113</v>
      </c>
      <c r="M55" s="33"/>
      <c r="N55" s="33"/>
      <c r="O55" s="32"/>
      <c r="P55" s="32"/>
      <c r="Q55" s="32"/>
      <c r="R55" s="32"/>
      <c r="S55" s="32" t="s">
        <v>153</v>
      </c>
      <c r="T55" s="33" t="s">
        <v>154</v>
      </c>
      <c r="U55" s="33" t="s">
        <v>154</v>
      </c>
      <c r="V55" s="32" t="s">
        <v>154</v>
      </c>
      <c r="W55" s="32" t="s">
        <v>95</v>
      </c>
      <c r="X55" s="32" t="s">
        <v>95</v>
      </c>
      <c r="Y55" s="32" t="s">
        <v>95</v>
      </c>
      <c r="Z55" s="32" t="s">
        <v>92</v>
      </c>
      <c r="AA55" s="33"/>
      <c r="AB55" s="33"/>
      <c r="AC55" s="32"/>
      <c r="AD55" s="32"/>
      <c r="AE55" s="37"/>
      <c r="AF55" s="37"/>
      <c r="AG55" s="37"/>
      <c r="AH55" s="38"/>
      <c r="AI55" s="542"/>
      <c r="AJ55" s="440" t="str">
        <f t="shared" si="10"/>
        <v>GĘBALA Miłosz</v>
      </c>
      <c r="AK55" s="534" t="e">
        <f t="shared" si="11"/>
        <v>#REF!</v>
      </c>
      <c r="AL55">
        <f t="shared" si="12"/>
        <v>24</v>
      </c>
      <c r="AM55">
        <f t="shared" si="13"/>
        <v>240</v>
      </c>
      <c r="AN55" s="29">
        <f t="shared" si="14"/>
        <v>0</v>
      </c>
      <c r="AO55" s="1">
        <f t="shared" si="15"/>
        <v>0</v>
      </c>
    </row>
    <row r="56" spans="1:42" ht="15.9">
      <c r="A56" s="1" t="s">
        <v>156</v>
      </c>
      <c r="B56" s="1" t="s">
        <v>73</v>
      </c>
      <c r="C56" s="548" t="s">
        <v>158</v>
      </c>
      <c r="D56" s="86" t="e">
        <f>#REF!</f>
        <v>#REF!</v>
      </c>
      <c r="E56" s="204"/>
      <c r="F56" s="33"/>
      <c r="G56" s="33"/>
      <c r="H56" s="32"/>
      <c r="I56" s="32" t="s">
        <v>113</v>
      </c>
      <c r="J56" s="32"/>
      <c r="K56" s="32"/>
      <c r="L56" s="32"/>
      <c r="M56" s="33"/>
      <c r="N56" s="33"/>
      <c r="O56" s="32"/>
      <c r="P56" s="32"/>
      <c r="Q56" s="32"/>
      <c r="R56" s="32"/>
      <c r="S56" s="32" t="s">
        <v>92</v>
      </c>
      <c r="T56" s="33" t="s">
        <v>95</v>
      </c>
      <c r="U56" s="33" t="s">
        <v>95</v>
      </c>
      <c r="V56" s="32" t="s">
        <v>95</v>
      </c>
      <c r="W56" s="32" t="s">
        <v>92</v>
      </c>
      <c r="X56" s="32"/>
      <c r="Y56" s="32"/>
      <c r="Z56" s="32"/>
      <c r="AA56" s="33"/>
      <c r="AB56" s="33"/>
      <c r="AC56" s="32"/>
      <c r="AD56" s="136"/>
      <c r="AE56" s="707" t="s">
        <v>430</v>
      </c>
      <c r="AF56" s="707"/>
      <c r="AG56" s="707"/>
      <c r="AH56" s="707"/>
      <c r="AI56" s="707"/>
      <c r="AJ56" s="440" t="str">
        <f t="shared" si="10"/>
        <v>GRABIŃSKI Marcin</v>
      </c>
      <c r="AK56" s="534" t="e">
        <f t="shared" si="11"/>
        <v>#REF!</v>
      </c>
      <c r="AL56">
        <f t="shared" si="12"/>
        <v>24</v>
      </c>
      <c r="AM56">
        <f t="shared" si="13"/>
        <v>96</v>
      </c>
      <c r="AN56" s="29">
        <f t="shared" si="14"/>
        <v>0</v>
      </c>
      <c r="AO56" s="1">
        <f t="shared" si="15"/>
        <v>0</v>
      </c>
    </row>
    <row r="57" spans="1:42" ht="15.9">
      <c r="A57" s="1" t="s">
        <v>58</v>
      </c>
      <c r="B57" s="1" t="s">
        <v>59</v>
      </c>
      <c r="C57" s="545" t="s">
        <v>11</v>
      </c>
      <c r="D57" s="86" t="e">
        <f>#REF!</f>
        <v>#REF!</v>
      </c>
      <c r="E57" s="204" t="s">
        <v>75</v>
      </c>
      <c r="F57" s="33" t="s">
        <v>66</v>
      </c>
      <c r="G57" s="33" t="s">
        <v>66</v>
      </c>
      <c r="H57" s="32" t="s">
        <v>75</v>
      </c>
      <c r="I57" s="32" t="s">
        <v>75</v>
      </c>
      <c r="J57" s="32"/>
      <c r="K57" s="32"/>
      <c r="L57" s="32"/>
      <c r="M57" s="33"/>
      <c r="N57" s="33"/>
      <c r="O57" s="32"/>
      <c r="P57" s="32"/>
      <c r="Q57" s="32"/>
      <c r="R57" s="32"/>
      <c r="S57" s="32"/>
      <c r="T57" s="33"/>
      <c r="U57" s="33"/>
      <c r="V57" s="32"/>
      <c r="W57" s="32" t="s">
        <v>153</v>
      </c>
      <c r="X57" s="32" t="s">
        <v>154</v>
      </c>
      <c r="Y57" s="32" t="s">
        <v>154</v>
      </c>
      <c r="Z57" s="32" t="s">
        <v>154</v>
      </c>
      <c r="AA57" s="33" t="s">
        <v>154</v>
      </c>
      <c r="AB57" s="33" t="s">
        <v>154</v>
      </c>
      <c r="AC57" s="32" t="s">
        <v>154</v>
      </c>
      <c r="AD57" s="32" t="s">
        <v>153</v>
      </c>
      <c r="AE57" s="41"/>
      <c r="AF57" s="41"/>
      <c r="AG57" s="41"/>
      <c r="AH57" s="42"/>
      <c r="AI57" s="543"/>
      <c r="AJ57" s="440" t="str">
        <f t="shared" si="10"/>
        <v>GRZEGORCZYK Tomasz</v>
      </c>
      <c r="AK57" s="534" t="e">
        <f t="shared" si="11"/>
        <v>#REF!</v>
      </c>
      <c r="AL57">
        <f t="shared" si="12"/>
        <v>0</v>
      </c>
      <c r="AM57">
        <f t="shared" si="13"/>
        <v>168</v>
      </c>
      <c r="AN57" s="29">
        <f t="shared" si="14"/>
        <v>24</v>
      </c>
      <c r="AO57" s="1">
        <f t="shared" si="15"/>
        <v>0</v>
      </c>
    </row>
    <row r="58" spans="1:42" ht="15.9">
      <c r="A58" s="1" t="s">
        <v>152</v>
      </c>
      <c r="B58" s="1" t="s">
        <v>64</v>
      </c>
      <c r="C58" s="546" t="s">
        <v>12</v>
      </c>
      <c r="D58" s="86" t="e">
        <f>#REF!</f>
        <v>#REF!</v>
      </c>
      <c r="E58" s="204" t="s">
        <v>301</v>
      </c>
      <c r="F58" s="33"/>
      <c r="G58" s="33"/>
      <c r="H58" s="32" t="s">
        <v>75</v>
      </c>
      <c r="I58" s="32" t="s">
        <v>75</v>
      </c>
      <c r="J58" s="32" t="s">
        <v>75</v>
      </c>
      <c r="K58" s="32" t="s">
        <v>75</v>
      </c>
      <c r="L58" s="32" t="s">
        <v>75</v>
      </c>
      <c r="M58" s="33"/>
      <c r="N58" s="33"/>
      <c r="O58" s="32"/>
      <c r="P58" s="32"/>
      <c r="Q58" s="32"/>
      <c r="R58" s="32"/>
      <c r="S58" s="32" t="s">
        <v>303</v>
      </c>
      <c r="T58" s="33"/>
      <c r="U58" s="33"/>
      <c r="V58" s="32"/>
      <c r="W58" s="32"/>
      <c r="X58" s="32"/>
      <c r="Y58" s="32"/>
      <c r="Z58" s="32" t="s">
        <v>92</v>
      </c>
      <c r="AA58" s="33" t="s">
        <v>95</v>
      </c>
      <c r="AB58" s="33" t="s">
        <v>95</v>
      </c>
      <c r="AC58" s="32" t="s">
        <v>95</v>
      </c>
      <c r="AD58" s="32" t="s">
        <v>92</v>
      </c>
      <c r="AE58" s="32"/>
      <c r="AF58" s="32"/>
      <c r="AG58" s="32"/>
      <c r="AH58" s="33"/>
      <c r="AI58" s="493"/>
      <c r="AJ58" s="440" t="str">
        <f t="shared" si="10"/>
        <v>JACUŃSKI Andrzej</v>
      </c>
      <c r="AK58" s="534" t="e">
        <f t="shared" si="11"/>
        <v>#REF!</v>
      </c>
      <c r="AL58">
        <f t="shared" si="12"/>
        <v>48</v>
      </c>
      <c r="AM58">
        <f t="shared" si="13"/>
        <v>96</v>
      </c>
      <c r="AN58" s="29">
        <f t="shared" si="14"/>
        <v>40</v>
      </c>
      <c r="AO58" s="1">
        <f t="shared" si="15"/>
        <v>0</v>
      </c>
    </row>
    <row r="59" spans="1:42" ht="15.9">
      <c r="A59" s="1" t="s">
        <v>152</v>
      </c>
      <c r="B59" s="1" t="s">
        <v>93</v>
      </c>
      <c r="C59" s="546" t="s">
        <v>13</v>
      </c>
      <c r="D59" s="86" t="e">
        <f>#REF!</f>
        <v>#REF!</v>
      </c>
      <c r="E59" s="204"/>
      <c r="F59" s="33"/>
      <c r="G59" s="33"/>
      <c r="H59" s="32" t="s">
        <v>75</v>
      </c>
      <c r="I59" s="32" t="s">
        <v>75</v>
      </c>
      <c r="J59" s="32" t="s">
        <v>75</v>
      </c>
      <c r="K59" s="32" t="s">
        <v>75</v>
      </c>
      <c r="L59" s="32" t="s">
        <v>75</v>
      </c>
      <c r="M59" s="33" t="s">
        <v>66</v>
      </c>
      <c r="N59" s="33" t="s">
        <v>66</v>
      </c>
      <c r="O59" s="32" t="s">
        <v>75</v>
      </c>
      <c r="P59" s="32" t="s">
        <v>75</v>
      </c>
      <c r="Q59" s="32" t="s">
        <v>75</v>
      </c>
      <c r="R59" s="32" t="s">
        <v>75</v>
      </c>
      <c r="S59" s="32" t="s">
        <v>75</v>
      </c>
      <c r="T59" s="33" t="s">
        <v>66</v>
      </c>
      <c r="U59" s="33" t="s">
        <v>66</v>
      </c>
      <c r="V59" s="32" t="s">
        <v>294</v>
      </c>
      <c r="W59" s="32" t="s">
        <v>294</v>
      </c>
      <c r="X59" s="32" t="s">
        <v>294</v>
      </c>
      <c r="Y59" s="32" t="s">
        <v>294</v>
      </c>
      <c r="Z59" s="32" t="s">
        <v>294</v>
      </c>
      <c r="AA59" s="33" t="s">
        <v>66</v>
      </c>
      <c r="AB59" s="33" t="s">
        <v>66</v>
      </c>
      <c r="AC59" s="32" t="s">
        <v>294</v>
      </c>
      <c r="AD59" s="32" t="s">
        <v>294</v>
      </c>
      <c r="AE59" s="32" t="s">
        <v>294</v>
      </c>
      <c r="AF59" s="32" t="s">
        <v>294</v>
      </c>
      <c r="AG59" s="32" t="s">
        <v>294</v>
      </c>
      <c r="AH59" s="33"/>
      <c r="AI59" s="493"/>
      <c r="AJ59" s="440" t="str">
        <f t="shared" si="10"/>
        <v>JAROCKI Rafał</v>
      </c>
      <c r="AK59" s="534" t="e">
        <f t="shared" si="11"/>
        <v>#REF!</v>
      </c>
      <c r="AL59">
        <f t="shared" si="12"/>
        <v>0</v>
      </c>
      <c r="AM59">
        <f t="shared" si="13"/>
        <v>0</v>
      </c>
      <c r="AN59" s="29">
        <f t="shared" si="14"/>
        <v>160</v>
      </c>
      <c r="AO59" s="1">
        <f t="shared" si="15"/>
        <v>0</v>
      </c>
    </row>
    <row r="60" spans="1:42" ht="15.9">
      <c r="A60" s="1" t="s">
        <v>152</v>
      </c>
      <c r="B60" s="1" t="s">
        <v>64</v>
      </c>
      <c r="C60" s="546" t="s">
        <v>14</v>
      </c>
      <c r="D60" s="86" t="e">
        <f>#REF!</f>
        <v>#REF!</v>
      </c>
      <c r="E60" s="204"/>
      <c r="F60" s="33"/>
      <c r="G60" s="33"/>
      <c r="H60" s="32"/>
      <c r="I60" s="32"/>
      <c r="J60" s="32">
        <v>17</v>
      </c>
      <c r="K60" s="32" t="s">
        <v>98</v>
      </c>
      <c r="L60" s="32" t="s">
        <v>98</v>
      </c>
      <c r="M60" s="33">
        <v>13</v>
      </c>
      <c r="N60" s="33"/>
      <c r="O60" s="32"/>
      <c r="P60" s="32"/>
      <c r="Q60" s="32"/>
      <c r="R60" s="32"/>
      <c r="S60" s="32"/>
      <c r="T60" s="33"/>
      <c r="U60" s="33"/>
      <c r="V60" s="32"/>
      <c r="W60" s="32"/>
      <c r="X60" s="32"/>
      <c r="Y60" s="32"/>
      <c r="Z60" s="32" t="s">
        <v>113</v>
      </c>
      <c r="AA60" s="33"/>
      <c r="AB60" s="33"/>
      <c r="AC60" s="32"/>
      <c r="AD60" s="32"/>
      <c r="AE60" s="32" t="s">
        <v>301</v>
      </c>
      <c r="AF60" s="32"/>
      <c r="AG60" s="32"/>
      <c r="AH60" s="33"/>
      <c r="AI60" s="493"/>
      <c r="AJ60" s="440" t="str">
        <f t="shared" si="10"/>
        <v>KANIA Krzysztof</v>
      </c>
      <c r="AK60" s="534" t="e">
        <f t="shared" si="11"/>
        <v>#REF!</v>
      </c>
      <c r="AL60">
        <f t="shared" si="12"/>
        <v>48</v>
      </c>
      <c r="AM60">
        <f t="shared" si="13"/>
        <v>48</v>
      </c>
      <c r="AN60" s="29">
        <f t="shared" si="14"/>
        <v>30</v>
      </c>
      <c r="AO60" s="1">
        <f t="shared" si="15"/>
        <v>0</v>
      </c>
    </row>
    <row r="61" spans="1:42" ht="15.9">
      <c r="A61" s="1" t="s">
        <v>155</v>
      </c>
      <c r="B61" s="1" t="s">
        <v>64</v>
      </c>
      <c r="C61" s="549" t="s">
        <v>15</v>
      </c>
      <c r="D61" s="86" t="e">
        <f>#REF!</f>
        <v>#REF!</v>
      </c>
      <c r="E61" s="204"/>
      <c r="F61" s="33"/>
      <c r="G61" s="33"/>
      <c r="H61" s="32"/>
      <c r="I61" s="32"/>
      <c r="J61" s="32"/>
      <c r="K61" s="32"/>
      <c r="L61" s="32"/>
      <c r="M61" s="33"/>
      <c r="N61" s="33"/>
      <c r="O61" s="32"/>
      <c r="P61" s="32"/>
      <c r="Q61" s="32"/>
      <c r="R61" s="32"/>
      <c r="S61" s="32"/>
      <c r="T61" s="33"/>
      <c r="U61" s="33"/>
      <c r="V61" s="32"/>
      <c r="W61" s="32" t="s">
        <v>153</v>
      </c>
      <c r="X61" s="32" t="s">
        <v>154</v>
      </c>
      <c r="Y61" s="32" t="s">
        <v>154</v>
      </c>
      <c r="Z61" s="32" t="s">
        <v>95</v>
      </c>
      <c r="AA61" s="33" t="s">
        <v>95</v>
      </c>
      <c r="AB61" s="33" t="s">
        <v>95</v>
      </c>
      <c r="AC61" s="32" t="s">
        <v>95</v>
      </c>
      <c r="AD61" s="32" t="s">
        <v>92</v>
      </c>
      <c r="AE61" s="32"/>
      <c r="AF61" s="32"/>
      <c r="AG61" s="32"/>
      <c r="AH61" s="33"/>
      <c r="AI61" s="493"/>
      <c r="AJ61" s="440" t="str">
        <f t="shared" si="10"/>
        <v xml:space="preserve">KOMOSA Sebastian </v>
      </c>
      <c r="AK61" s="534" t="e">
        <f t="shared" si="11"/>
        <v>#REF!</v>
      </c>
      <c r="AL61">
        <f t="shared" si="12"/>
        <v>0</v>
      </c>
      <c r="AM61">
        <f t="shared" si="13"/>
        <v>168</v>
      </c>
      <c r="AN61" s="29">
        <f t="shared" si="14"/>
        <v>0</v>
      </c>
      <c r="AO61" s="1">
        <f t="shared" si="15"/>
        <v>0</v>
      </c>
    </row>
    <row r="62" spans="1:42" ht="15.9">
      <c r="A62" s="1" t="s">
        <v>67</v>
      </c>
      <c r="B62" s="1" t="s">
        <v>64</v>
      </c>
      <c r="C62" s="545" t="s">
        <v>16</v>
      </c>
      <c r="D62" s="86" t="e">
        <f>#REF!</f>
        <v>#REF!</v>
      </c>
      <c r="E62" s="204" t="s">
        <v>66</v>
      </c>
      <c r="F62" s="33" t="s">
        <v>66</v>
      </c>
      <c r="G62" s="33" t="s">
        <v>66</v>
      </c>
      <c r="H62" s="32" t="s">
        <v>66</v>
      </c>
      <c r="I62" s="32" t="s">
        <v>66</v>
      </c>
      <c r="J62" s="32" t="s">
        <v>66</v>
      </c>
      <c r="K62" s="32" t="s">
        <v>66</v>
      </c>
      <c r="L62" s="32" t="s">
        <v>66</v>
      </c>
      <c r="M62" s="33" t="s">
        <v>66</v>
      </c>
      <c r="N62" s="33" t="s">
        <v>66</v>
      </c>
      <c r="O62" s="32" t="s">
        <v>66</v>
      </c>
      <c r="P62" s="32" t="s">
        <v>66</v>
      </c>
      <c r="Q62" s="32" t="s">
        <v>66</v>
      </c>
      <c r="R62" s="32" t="s">
        <v>66</v>
      </c>
      <c r="S62" s="32" t="s">
        <v>66</v>
      </c>
      <c r="T62" s="33" t="s">
        <v>66</v>
      </c>
      <c r="U62" s="33" t="s">
        <v>66</v>
      </c>
      <c r="V62" s="32" t="s">
        <v>66</v>
      </c>
      <c r="W62" s="32" t="s">
        <v>66</v>
      </c>
      <c r="X62" s="32" t="s">
        <v>66</v>
      </c>
      <c r="Y62" s="32" t="s">
        <v>66</v>
      </c>
      <c r="Z62" s="32" t="s">
        <v>66</v>
      </c>
      <c r="AA62" s="33" t="s">
        <v>66</v>
      </c>
      <c r="AB62" s="33" t="s">
        <v>66</v>
      </c>
      <c r="AC62" s="32" t="s">
        <v>66</v>
      </c>
      <c r="AD62" s="32"/>
      <c r="AE62" s="32"/>
      <c r="AF62" s="32"/>
      <c r="AG62" s="32"/>
      <c r="AH62" s="33"/>
      <c r="AI62" s="493"/>
      <c r="AJ62" s="440" t="str">
        <f t="shared" si="10"/>
        <v>KOSIŃSKI Krzysztof</v>
      </c>
      <c r="AK62" s="534" t="e">
        <f t="shared" si="11"/>
        <v>#REF!</v>
      </c>
      <c r="AL62">
        <f t="shared" si="12"/>
        <v>0</v>
      </c>
      <c r="AM62">
        <f t="shared" si="13"/>
        <v>0</v>
      </c>
      <c r="AN62" s="29">
        <f t="shared" si="14"/>
        <v>0</v>
      </c>
      <c r="AO62" s="1">
        <f t="shared" si="15"/>
        <v>0</v>
      </c>
      <c r="AP62" s="1">
        <v>152</v>
      </c>
    </row>
    <row r="63" spans="1:42" ht="15.9">
      <c r="A63" s="1" t="s">
        <v>155</v>
      </c>
      <c r="B63" s="1" t="s">
        <v>93</v>
      </c>
      <c r="C63" s="545" t="s">
        <v>17</v>
      </c>
      <c r="D63" s="86" t="e">
        <f>#REF!</f>
        <v>#REF!</v>
      </c>
      <c r="E63" s="204"/>
      <c r="F63" s="33"/>
      <c r="G63" s="33"/>
      <c r="H63" s="32"/>
      <c r="I63" s="32" t="s">
        <v>92</v>
      </c>
      <c r="J63" s="32" t="s">
        <v>95</v>
      </c>
      <c r="K63" s="32" t="s">
        <v>95</v>
      </c>
      <c r="L63" s="32" t="s">
        <v>95</v>
      </c>
      <c r="M63" s="33" t="s">
        <v>95</v>
      </c>
      <c r="N63" s="33" t="s">
        <v>95</v>
      </c>
      <c r="O63" s="32" t="s">
        <v>95</v>
      </c>
      <c r="P63" s="32" t="s">
        <v>92</v>
      </c>
      <c r="Q63" s="32"/>
      <c r="R63" s="32"/>
      <c r="S63" s="32"/>
      <c r="T63" s="33"/>
      <c r="U63" s="33"/>
      <c r="V63" s="32"/>
      <c r="W63" s="32"/>
      <c r="X63" s="32"/>
      <c r="Y63" s="32"/>
      <c r="Z63" s="32"/>
      <c r="AA63" s="33"/>
      <c r="AB63" s="33"/>
      <c r="AC63" s="32"/>
      <c r="AD63" s="32" t="s">
        <v>153</v>
      </c>
      <c r="AE63" s="32" t="s">
        <v>154</v>
      </c>
      <c r="AF63" s="32" t="s">
        <v>154</v>
      </c>
      <c r="AG63" s="32" t="s">
        <v>154</v>
      </c>
      <c r="AH63" s="33" t="s">
        <v>154</v>
      </c>
      <c r="AI63" s="493" t="s">
        <v>154</v>
      </c>
      <c r="AJ63" s="440" t="str">
        <f t="shared" si="10"/>
        <v>KOSTRZEWSKI Paweł</v>
      </c>
      <c r="AK63" s="534" t="e">
        <f t="shared" si="11"/>
        <v>#REF!</v>
      </c>
      <c r="AL63">
        <f t="shared" si="12"/>
        <v>0</v>
      </c>
      <c r="AM63">
        <f t="shared" si="13"/>
        <v>300</v>
      </c>
      <c r="AN63" s="29">
        <f t="shared" si="14"/>
        <v>0</v>
      </c>
      <c r="AO63" s="1">
        <f t="shared" si="15"/>
        <v>0</v>
      </c>
    </row>
    <row r="64" spans="1:42" ht="15.9">
      <c r="A64" s="1" t="s">
        <v>155</v>
      </c>
      <c r="B64" s="1" t="s">
        <v>64</v>
      </c>
      <c r="C64" s="547" t="s">
        <v>18</v>
      </c>
      <c r="D64" s="86" t="e">
        <f>#REF!</f>
        <v>#REF!</v>
      </c>
      <c r="E64" s="204" t="s">
        <v>169</v>
      </c>
      <c r="F64" s="33" t="s">
        <v>169</v>
      </c>
      <c r="G64" s="33" t="s">
        <v>169</v>
      </c>
      <c r="H64" s="33" t="s">
        <v>169</v>
      </c>
      <c r="I64" s="33" t="s">
        <v>169</v>
      </c>
      <c r="J64" s="33" t="s">
        <v>169</v>
      </c>
      <c r="K64" s="33" t="s">
        <v>169</v>
      </c>
      <c r="L64" s="33" t="s">
        <v>169</v>
      </c>
      <c r="M64" s="33" t="s">
        <v>169</v>
      </c>
      <c r="N64" s="33" t="s">
        <v>169</v>
      </c>
      <c r="O64" s="33" t="s">
        <v>169</v>
      </c>
      <c r="P64" s="33" t="s">
        <v>169</v>
      </c>
      <c r="Q64" s="33" t="s">
        <v>169</v>
      </c>
      <c r="R64" s="33" t="s">
        <v>169</v>
      </c>
      <c r="S64" s="33" t="s">
        <v>169</v>
      </c>
      <c r="T64" s="33" t="s">
        <v>169</v>
      </c>
      <c r="U64" s="33" t="s">
        <v>169</v>
      </c>
      <c r="V64" s="33" t="s">
        <v>169</v>
      </c>
      <c r="W64" s="33" t="s">
        <v>169</v>
      </c>
      <c r="X64" s="33" t="s">
        <v>169</v>
      </c>
      <c r="Y64" s="33" t="s">
        <v>169</v>
      </c>
      <c r="Z64" s="33" t="s">
        <v>169</v>
      </c>
      <c r="AA64" s="33" t="s">
        <v>169</v>
      </c>
      <c r="AB64" s="33" t="s">
        <v>169</v>
      </c>
      <c r="AC64" s="33" t="s">
        <v>169</v>
      </c>
      <c r="AD64" s="33" t="s">
        <v>169</v>
      </c>
      <c r="AE64" s="38" t="s">
        <v>169</v>
      </c>
      <c r="AF64" s="38" t="s">
        <v>169</v>
      </c>
      <c r="AG64" s="38" t="s">
        <v>169</v>
      </c>
      <c r="AH64" s="38" t="s">
        <v>169</v>
      </c>
      <c r="AI64" s="38" t="s">
        <v>169</v>
      </c>
      <c r="AJ64" s="440" t="str">
        <f t="shared" si="10"/>
        <v>KRYGER Katarzyna</v>
      </c>
      <c r="AK64" s="534">
        <v>0</v>
      </c>
      <c r="AL64">
        <f t="shared" si="12"/>
        <v>0</v>
      </c>
      <c r="AM64">
        <f t="shared" si="13"/>
        <v>0</v>
      </c>
      <c r="AN64" s="29">
        <f t="shared" si="14"/>
        <v>0</v>
      </c>
      <c r="AO64" s="1">
        <f t="shared" si="15"/>
        <v>0</v>
      </c>
    </row>
    <row r="65" spans="1:41" ht="15.9">
      <c r="A65" s="1" t="s">
        <v>157</v>
      </c>
      <c r="B65" s="1" t="s">
        <v>59</v>
      </c>
      <c r="C65" s="546" t="s">
        <v>19</v>
      </c>
      <c r="D65" s="86" t="e">
        <f>#REF!</f>
        <v>#REF!</v>
      </c>
      <c r="E65" s="204"/>
      <c r="F65" s="33"/>
      <c r="G65" s="33"/>
      <c r="H65" s="32"/>
      <c r="I65" s="32" t="s">
        <v>153</v>
      </c>
      <c r="J65" s="32" t="s">
        <v>154</v>
      </c>
      <c r="K65" s="32" t="s">
        <v>154</v>
      </c>
      <c r="L65" s="32" t="s">
        <v>154</v>
      </c>
      <c r="M65" s="33" t="s">
        <v>154</v>
      </c>
      <c r="N65" s="33" t="s">
        <v>154</v>
      </c>
      <c r="O65" s="32" t="s">
        <v>154</v>
      </c>
      <c r="P65" s="32" t="s">
        <v>153</v>
      </c>
      <c r="Q65" s="32"/>
      <c r="R65" s="32"/>
      <c r="S65" s="32"/>
      <c r="T65" s="33"/>
      <c r="U65" s="33"/>
      <c r="V65" s="32"/>
      <c r="W65" s="32"/>
      <c r="X65" s="32"/>
      <c r="Y65" s="32"/>
      <c r="Z65" s="32"/>
      <c r="AA65" s="33"/>
      <c r="AB65" s="33"/>
      <c r="AC65" s="32"/>
      <c r="AD65" s="136"/>
      <c r="AE65" s="43"/>
      <c r="AF65" s="43"/>
      <c r="AG65" s="43" t="s">
        <v>303</v>
      </c>
      <c r="AH65" s="43"/>
      <c r="AI65" s="43"/>
      <c r="AJ65" s="440" t="str">
        <f t="shared" si="10"/>
        <v>KRYSZTOFIAK Mariusz</v>
      </c>
      <c r="AK65" s="534" t="e">
        <f t="shared" ref="AK65:AK86" si="16">D65+AL65+AM65+AN65-$AK$47+AO65+AP65</f>
        <v>#REF!</v>
      </c>
      <c r="AL65">
        <f t="shared" si="12"/>
        <v>24</v>
      </c>
      <c r="AM65">
        <f t="shared" si="13"/>
        <v>168</v>
      </c>
      <c r="AN65" s="29">
        <f t="shared" si="14"/>
        <v>0</v>
      </c>
      <c r="AO65" s="1">
        <f t="shared" si="15"/>
        <v>0</v>
      </c>
    </row>
    <row r="66" spans="1:41" ht="15.9">
      <c r="A66" s="1" t="s">
        <v>152</v>
      </c>
      <c r="B66" s="1" t="s">
        <v>64</v>
      </c>
      <c r="C66" s="546" t="s">
        <v>20</v>
      </c>
      <c r="D66" s="86" t="e">
        <f>#REF!</f>
        <v>#REF!</v>
      </c>
      <c r="E66" s="204"/>
      <c r="F66" s="33"/>
      <c r="G66" s="33" t="s">
        <v>301</v>
      </c>
      <c r="H66" s="32"/>
      <c r="I66" s="32"/>
      <c r="J66" s="32">
        <v>17</v>
      </c>
      <c r="K66" s="32" t="s">
        <v>98</v>
      </c>
      <c r="L66" s="32" t="s">
        <v>98</v>
      </c>
      <c r="M66" s="33">
        <v>13</v>
      </c>
      <c r="N66" s="33"/>
      <c r="O66" s="32"/>
      <c r="P66" s="32"/>
      <c r="Q66" s="32"/>
      <c r="R66" s="32" t="s">
        <v>301</v>
      </c>
      <c r="S66" s="32"/>
      <c r="T66" s="33"/>
      <c r="U66" s="33" t="s">
        <v>113</v>
      </c>
      <c r="V66" s="32"/>
      <c r="W66" s="32"/>
      <c r="X66" s="32" t="s">
        <v>113</v>
      </c>
      <c r="Y66" s="32"/>
      <c r="Z66" s="32"/>
      <c r="AA66" s="33"/>
      <c r="AB66" s="33"/>
      <c r="AC66" s="32"/>
      <c r="AD66" s="32"/>
      <c r="AE66" s="41"/>
      <c r="AF66" s="41"/>
      <c r="AG66" s="41"/>
      <c r="AH66" s="42"/>
      <c r="AI66" s="543"/>
      <c r="AJ66" s="440" t="str">
        <f t="shared" si="10"/>
        <v>KRZYSZTOFIAK Dariusz</v>
      </c>
      <c r="AK66" s="534" t="e">
        <f t="shared" si="16"/>
        <v>#REF!</v>
      </c>
      <c r="AL66">
        <f t="shared" si="12"/>
        <v>96</v>
      </c>
      <c r="AM66">
        <f t="shared" si="13"/>
        <v>48</v>
      </c>
      <c r="AN66" s="29">
        <f t="shared" si="14"/>
        <v>30</v>
      </c>
      <c r="AO66" s="1">
        <f t="shared" si="15"/>
        <v>0</v>
      </c>
    </row>
    <row r="67" spans="1:41" ht="15.9">
      <c r="A67" s="1" t="s">
        <v>152</v>
      </c>
      <c r="B67" s="1" t="s">
        <v>64</v>
      </c>
      <c r="C67" s="546" t="s">
        <v>21</v>
      </c>
      <c r="D67" s="86" t="e">
        <f>#REF!</f>
        <v>#REF!</v>
      </c>
      <c r="E67" s="204"/>
      <c r="F67" s="33"/>
      <c r="G67" s="33"/>
      <c r="H67" s="32" t="s">
        <v>113</v>
      </c>
      <c r="I67" s="32"/>
      <c r="J67" s="32">
        <v>17</v>
      </c>
      <c r="K67" s="32" t="s">
        <v>98</v>
      </c>
      <c r="L67" s="32" t="s">
        <v>98</v>
      </c>
      <c r="M67" s="33">
        <v>13</v>
      </c>
      <c r="N67" s="33"/>
      <c r="O67" s="32"/>
      <c r="P67" s="32"/>
      <c r="Q67" s="32"/>
      <c r="R67" s="32"/>
      <c r="S67" s="32"/>
      <c r="T67" s="33"/>
      <c r="U67" s="33" t="s">
        <v>301</v>
      </c>
      <c r="V67" s="32"/>
      <c r="W67" s="32"/>
      <c r="X67" s="32"/>
      <c r="Y67" s="32"/>
      <c r="Z67" s="32"/>
      <c r="AA67" s="33"/>
      <c r="AB67" s="33"/>
      <c r="AC67" s="32"/>
      <c r="AD67" s="32"/>
      <c r="AE67" s="32"/>
      <c r="AF67" s="32"/>
      <c r="AG67" s="32" t="s">
        <v>113</v>
      </c>
      <c r="AH67" s="33"/>
      <c r="AI67" s="493"/>
      <c r="AJ67" s="440" t="str">
        <f t="shared" si="10"/>
        <v>KRZYSZTOFIAK Zbigniew</v>
      </c>
      <c r="AK67" s="534" t="e">
        <f t="shared" si="16"/>
        <v>#REF!</v>
      </c>
      <c r="AL67">
        <f t="shared" si="12"/>
        <v>72</v>
      </c>
      <c r="AM67">
        <f t="shared" si="13"/>
        <v>48</v>
      </c>
      <c r="AN67" s="29">
        <f t="shared" si="14"/>
        <v>30</v>
      </c>
      <c r="AO67" s="1">
        <f t="shared" si="15"/>
        <v>0</v>
      </c>
    </row>
    <row r="68" spans="1:41" ht="15.9">
      <c r="A68" s="1" t="s">
        <v>155</v>
      </c>
      <c r="B68" s="1" t="s">
        <v>59</v>
      </c>
      <c r="C68" s="545" t="s">
        <v>22</v>
      </c>
      <c r="D68" s="86" t="e">
        <f>#REF!</f>
        <v>#REF!</v>
      </c>
      <c r="E68" s="204"/>
      <c r="F68" s="33"/>
      <c r="G68" s="33"/>
      <c r="H68" s="32"/>
      <c r="I68" s="32"/>
      <c r="J68" s="32"/>
      <c r="K68" s="32"/>
      <c r="L68" s="32"/>
      <c r="M68" s="33"/>
      <c r="N68" s="33"/>
      <c r="O68" s="32"/>
      <c r="P68" s="32"/>
      <c r="Q68" s="32"/>
      <c r="R68" s="32"/>
      <c r="S68" s="32"/>
      <c r="T68" s="33">
        <v>8</v>
      </c>
      <c r="U68" s="33" t="s">
        <v>98</v>
      </c>
      <c r="V68" s="32">
        <v>15</v>
      </c>
      <c r="W68" s="32"/>
      <c r="X68" s="32"/>
      <c r="Y68" s="32"/>
      <c r="Z68" s="32"/>
      <c r="AA68" s="33"/>
      <c r="AB68" s="33"/>
      <c r="AC68" s="32"/>
      <c r="AD68" s="32"/>
      <c r="AE68" s="32"/>
      <c r="AF68" s="32"/>
      <c r="AG68" s="32"/>
      <c r="AH68" s="33"/>
      <c r="AI68" s="493"/>
      <c r="AJ68" s="440" t="str">
        <f t="shared" si="10"/>
        <v>KUKIEŁKA Wojciech</v>
      </c>
      <c r="AK68" s="534" t="e">
        <f t="shared" si="16"/>
        <v>#REF!</v>
      </c>
      <c r="AL68">
        <f t="shared" si="12"/>
        <v>0</v>
      </c>
      <c r="AM68">
        <f t="shared" si="13"/>
        <v>24</v>
      </c>
      <c r="AN68" s="29">
        <f t="shared" si="14"/>
        <v>23</v>
      </c>
      <c r="AO68" s="1">
        <f t="shared" si="15"/>
        <v>0</v>
      </c>
    </row>
    <row r="69" spans="1:41" ht="15.9">
      <c r="A69" s="1" t="s">
        <v>155</v>
      </c>
      <c r="B69" s="1" t="s">
        <v>59</v>
      </c>
      <c r="C69" s="545" t="s">
        <v>23</v>
      </c>
      <c r="D69" s="86" t="e">
        <f>#REF!</f>
        <v>#REF!</v>
      </c>
      <c r="E69" s="204" t="s">
        <v>92</v>
      </c>
      <c r="F69" s="33" t="s">
        <v>95</v>
      </c>
      <c r="G69" s="33" t="s">
        <v>95</v>
      </c>
      <c r="H69" s="32" t="s">
        <v>95</v>
      </c>
      <c r="I69" s="32" t="s">
        <v>92</v>
      </c>
      <c r="J69" s="32"/>
      <c r="K69" s="32"/>
      <c r="L69" s="32"/>
      <c r="M69" s="33"/>
      <c r="N69" s="33"/>
      <c r="O69" s="32"/>
      <c r="P69" s="32"/>
      <c r="Q69" s="32"/>
      <c r="R69" s="32"/>
      <c r="S69" s="32"/>
      <c r="T69" s="33"/>
      <c r="U69" s="33"/>
      <c r="V69" s="32"/>
      <c r="W69" s="32"/>
      <c r="X69" s="32"/>
      <c r="Y69" s="32"/>
      <c r="Z69" s="32" t="s">
        <v>153</v>
      </c>
      <c r="AA69" s="33" t="s">
        <v>154</v>
      </c>
      <c r="AB69" s="33" t="s">
        <v>154</v>
      </c>
      <c r="AC69" s="32" t="s">
        <v>154</v>
      </c>
      <c r="AD69" s="32" t="s">
        <v>153</v>
      </c>
      <c r="AE69" s="32"/>
      <c r="AF69" s="32"/>
      <c r="AG69" s="32"/>
      <c r="AH69" s="33"/>
      <c r="AI69" s="493"/>
      <c r="AJ69" s="440" t="str">
        <f t="shared" si="10"/>
        <v>KUSIAK Jacek</v>
      </c>
      <c r="AK69" s="534" t="e">
        <f t="shared" si="16"/>
        <v>#REF!</v>
      </c>
      <c r="AL69">
        <f t="shared" si="12"/>
        <v>0</v>
      </c>
      <c r="AM69">
        <f t="shared" si="13"/>
        <v>192</v>
      </c>
      <c r="AN69" s="29">
        <f t="shared" si="14"/>
        <v>0</v>
      </c>
      <c r="AO69" s="1">
        <f t="shared" si="15"/>
        <v>0</v>
      </c>
    </row>
    <row r="70" spans="1:41" ht="15.9">
      <c r="A70" s="1" t="s">
        <v>155</v>
      </c>
      <c r="B70" s="1" t="s">
        <v>64</v>
      </c>
      <c r="C70" s="545" t="s">
        <v>24</v>
      </c>
      <c r="D70" s="86">
        <v>117.5</v>
      </c>
      <c r="E70" s="204"/>
      <c r="F70" s="33"/>
      <c r="G70" s="33"/>
      <c r="H70" s="32"/>
      <c r="I70" s="32"/>
      <c r="J70" s="32"/>
      <c r="K70" s="32"/>
      <c r="L70" s="32"/>
      <c r="M70" s="33"/>
      <c r="N70" s="33"/>
      <c r="O70" s="32" t="s">
        <v>294</v>
      </c>
      <c r="P70" s="32" t="s">
        <v>294</v>
      </c>
      <c r="Q70" s="32" t="s">
        <v>294</v>
      </c>
      <c r="R70" s="32" t="s">
        <v>294</v>
      </c>
      <c r="S70" s="32" t="s">
        <v>294</v>
      </c>
      <c r="T70" s="33"/>
      <c r="U70" s="33"/>
      <c r="V70" s="32"/>
      <c r="W70" s="32"/>
      <c r="X70" s="32"/>
      <c r="Y70" s="32"/>
      <c r="Z70" s="32"/>
      <c r="AA70" s="33"/>
      <c r="AB70" s="33"/>
      <c r="AC70" s="32"/>
      <c r="AD70" s="32"/>
      <c r="AE70" s="32"/>
      <c r="AF70" s="32"/>
      <c r="AG70" s="32"/>
      <c r="AH70" s="33"/>
      <c r="AI70" s="493"/>
      <c r="AJ70" s="440" t="str">
        <f t="shared" si="10"/>
        <v>LISEWSKI Sebastian</v>
      </c>
      <c r="AK70" s="534">
        <f t="shared" si="16"/>
        <v>-10.5</v>
      </c>
      <c r="AL70">
        <f t="shared" si="12"/>
        <v>0</v>
      </c>
      <c r="AM70">
        <f t="shared" si="13"/>
        <v>0</v>
      </c>
      <c r="AN70" s="29">
        <f t="shared" si="14"/>
        <v>40</v>
      </c>
      <c r="AO70" s="1">
        <f t="shared" si="15"/>
        <v>0</v>
      </c>
    </row>
    <row r="71" spans="1:41" ht="15.9">
      <c r="A71" s="1" t="s">
        <v>152</v>
      </c>
      <c r="B71" s="1" t="s">
        <v>73</v>
      </c>
      <c r="C71" s="546" t="s">
        <v>25</v>
      </c>
      <c r="D71" s="86" t="e">
        <f>#REF!</f>
        <v>#REF!</v>
      </c>
      <c r="E71" s="204"/>
      <c r="F71" s="33" t="s">
        <v>301</v>
      </c>
      <c r="G71" s="33"/>
      <c r="H71" s="32"/>
      <c r="I71" s="32"/>
      <c r="J71" s="32">
        <v>17</v>
      </c>
      <c r="K71" s="32" t="s">
        <v>98</v>
      </c>
      <c r="L71" s="32" t="s">
        <v>98</v>
      </c>
      <c r="M71" s="33">
        <v>13</v>
      </c>
      <c r="N71" s="33"/>
      <c r="O71" s="32"/>
      <c r="P71" s="32"/>
      <c r="Q71" s="32"/>
      <c r="R71" s="32"/>
      <c r="S71" s="32"/>
      <c r="T71" s="33"/>
      <c r="U71" s="33"/>
      <c r="V71" s="32"/>
      <c r="W71" s="32"/>
      <c r="X71" s="32"/>
      <c r="Y71" s="32"/>
      <c r="Z71" s="32" t="s">
        <v>69</v>
      </c>
      <c r="AA71" s="33" t="s">
        <v>70</v>
      </c>
      <c r="AB71" s="33" t="s">
        <v>70</v>
      </c>
      <c r="AC71" s="32" t="s">
        <v>69</v>
      </c>
      <c r="AD71" s="32"/>
      <c r="AE71" s="32"/>
      <c r="AF71" s="32" t="s">
        <v>431</v>
      </c>
      <c r="AG71" s="32"/>
      <c r="AH71" s="33"/>
      <c r="AI71" s="493"/>
      <c r="AJ71" s="440" t="str">
        <f t="shared" si="10"/>
        <v>ŁUSZCZYŃSKI Jordan</v>
      </c>
      <c r="AK71" s="534" t="e">
        <f t="shared" si="16"/>
        <v>#REF!</v>
      </c>
      <c r="AL71">
        <f t="shared" si="12"/>
        <v>24</v>
      </c>
      <c r="AM71">
        <f t="shared" si="13"/>
        <v>120</v>
      </c>
      <c r="AN71" s="29">
        <f t="shared" si="14"/>
        <v>30</v>
      </c>
      <c r="AO71" s="1">
        <f t="shared" si="15"/>
        <v>0</v>
      </c>
    </row>
    <row r="72" spans="1:41" ht="15.9">
      <c r="A72" s="1" t="s">
        <v>155</v>
      </c>
      <c r="B72" s="1" t="s">
        <v>59</v>
      </c>
      <c r="C72" s="545" t="s">
        <v>26</v>
      </c>
      <c r="D72" s="86" t="e">
        <f>#REF!</f>
        <v>#REF!</v>
      </c>
      <c r="E72" s="204" t="s">
        <v>92</v>
      </c>
      <c r="F72" s="33"/>
      <c r="G72" s="33"/>
      <c r="H72" s="32"/>
      <c r="I72" s="32"/>
      <c r="J72" s="32"/>
      <c r="K72" s="32"/>
      <c r="L72" s="32"/>
      <c r="M72" s="33"/>
      <c r="N72" s="33"/>
      <c r="O72" s="32"/>
      <c r="P72" s="32"/>
      <c r="Q72" s="32"/>
      <c r="R72" s="32"/>
      <c r="S72" s="32" t="s">
        <v>92</v>
      </c>
      <c r="T72" s="33" t="s">
        <v>95</v>
      </c>
      <c r="U72" s="33" t="s">
        <v>95</v>
      </c>
      <c r="V72" s="32" t="s">
        <v>95</v>
      </c>
      <c r="W72" s="32" t="s">
        <v>92</v>
      </c>
      <c r="X72" s="32"/>
      <c r="Y72" s="32"/>
      <c r="Z72" s="32"/>
      <c r="AA72" s="33"/>
      <c r="AB72" s="33"/>
      <c r="AC72" s="32"/>
      <c r="AD72" s="32"/>
      <c r="AE72" s="32"/>
      <c r="AF72" s="32"/>
      <c r="AG72" s="32"/>
      <c r="AH72" s="33"/>
      <c r="AI72" s="493"/>
      <c r="AJ72" s="440" t="str">
        <f t="shared" si="10"/>
        <v>MAJCHER Cezary</v>
      </c>
      <c r="AK72" s="534" t="e">
        <f t="shared" si="16"/>
        <v>#REF!</v>
      </c>
      <c r="AL72">
        <f t="shared" si="12"/>
        <v>0</v>
      </c>
      <c r="AM72">
        <f t="shared" si="13"/>
        <v>108</v>
      </c>
      <c r="AN72" s="29">
        <f t="shared" si="14"/>
        <v>0</v>
      </c>
      <c r="AO72" s="1">
        <f t="shared" si="15"/>
        <v>0</v>
      </c>
    </row>
    <row r="73" spans="1:41" ht="15.9">
      <c r="A73" s="1" t="s">
        <v>152</v>
      </c>
      <c r="B73" s="1" t="s">
        <v>73</v>
      </c>
      <c r="C73" s="546" t="s">
        <v>27</v>
      </c>
      <c r="D73" s="86" t="e">
        <f>#REF!</f>
        <v>#REF!</v>
      </c>
      <c r="E73" s="204"/>
      <c r="F73" s="33"/>
      <c r="G73" s="33"/>
      <c r="H73" s="32"/>
      <c r="I73" s="32"/>
      <c r="J73" s="32">
        <v>17</v>
      </c>
      <c r="K73" s="32" t="s">
        <v>98</v>
      </c>
      <c r="L73" s="32" t="s">
        <v>98</v>
      </c>
      <c r="M73" s="33">
        <v>13</v>
      </c>
      <c r="N73" s="33"/>
      <c r="O73" s="32"/>
      <c r="P73" s="32"/>
      <c r="Q73" s="32"/>
      <c r="R73" s="32"/>
      <c r="S73" s="32"/>
      <c r="T73" s="33">
        <v>8</v>
      </c>
      <c r="U73" s="33" t="s">
        <v>98</v>
      </c>
      <c r="V73" s="32">
        <v>15</v>
      </c>
      <c r="W73" s="32"/>
      <c r="X73" s="32"/>
      <c r="Y73" s="32"/>
      <c r="Z73" s="32" t="s">
        <v>301</v>
      </c>
      <c r="AA73" s="33"/>
      <c r="AB73" s="33"/>
      <c r="AC73" s="32"/>
      <c r="AD73" s="32"/>
      <c r="AE73" s="32"/>
      <c r="AF73" s="32"/>
      <c r="AG73" s="32"/>
      <c r="AH73" s="33"/>
      <c r="AI73" s="493"/>
      <c r="AJ73" s="440" t="str">
        <f t="shared" si="10"/>
        <v>MAŁKOWSKI Jakub</v>
      </c>
      <c r="AK73" s="534" t="e">
        <f t="shared" si="16"/>
        <v>#REF!</v>
      </c>
      <c r="AL73">
        <f t="shared" si="12"/>
        <v>24</v>
      </c>
      <c r="AM73">
        <f t="shared" si="13"/>
        <v>72</v>
      </c>
      <c r="AN73" s="29">
        <f t="shared" si="14"/>
        <v>53</v>
      </c>
      <c r="AO73" s="1">
        <f t="shared" si="15"/>
        <v>0</v>
      </c>
    </row>
    <row r="74" spans="1:41" ht="15.9">
      <c r="A74" s="1" t="s">
        <v>155</v>
      </c>
      <c r="B74" s="1" t="s">
        <v>73</v>
      </c>
      <c r="C74" s="545" t="s">
        <v>28</v>
      </c>
      <c r="D74" s="86" t="e">
        <f>#REF!</f>
        <v>#REF!</v>
      </c>
      <c r="E74" s="204"/>
      <c r="F74" s="33"/>
      <c r="G74" s="33"/>
      <c r="H74" s="32"/>
      <c r="I74" s="32" t="s">
        <v>153</v>
      </c>
      <c r="J74" s="32" t="s">
        <v>154</v>
      </c>
      <c r="K74" s="32" t="s">
        <v>154</v>
      </c>
      <c r="L74" s="32" t="s">
        <v>154</v>
      </c>
      <c r="M74" s="33" t="s">
        <v>154</v>
      </c>
      <c r="N74" s="33" t="s">
        <v>154</v>
      </c>
      <c r="O74" s="32" t="s">
        <v>154</v>
      </c>
      <c r="P74" s="32" t="s">
        <v>153</v>
      </c>
      <c r="Q74" s="32"/>
      <c r="R74" s="32"/>
      <c r="S74" s="32"/>
      <c r="T74" s="33"/>
      <c r="U74" s="33"/>
      <c r="V74" s="32"/>
      <c r="W74" s="32"/>
      <c r="X74" s="32"/>
      <c r="Y74" s="32"/>
      <c r="Z74" s="32"/>
      <c r="AA74" s="33"/>
      <c r="AB74" s="33"/>
      <c r="AC74" s="32"/>
      <c r="AD74" s="32"/>
      <c r="AE74" s="32"/>
      <c r="AF74" s="32"/>
      <c r="AG74" s="32"/>
      <c r="AH74" s="33"/>
      <c r="AI74" s="493"/>
      <c r="AJ74" s="440" t="str">
        <f t="shared" si="10"/>
        <v>MATUK Tomasz</v>
      </c>
      <c r="AK74" s="534" t="e">
        <f t="shared" si="16"/>
        <v>#REF!</v>
      </c>
      <c r="AL74">
        <f t="shared" si="12"/>
        <v>0</v>
      </c>
      <c r="AM74">
        <f t="shared" si="13"/>
        <v>168</v>
      </c>
      <c r="AN74" s="29">
        <f t="shared" si="14"/>
        <v>0</v>
      </c>
      <c r="AO74" s="1">
        <f t="shared" si="15"/>
        <v>0</v>
      </c>
    </row>
    <row r="75" spans="1:41" ht="15.9">
      <c r="A75" s="1" t="s">
        <v>152</v>
      </c>
      <c r="B75" s="1" t="s">
        <v>59</v>
      </c>
      <c r="C75" s="546" t="s">
        <v>160</v>
      </c>
      <c r="D75" s="86" t="e">
        <f>#REF!</f>
        <v>#REF!</v>
      </c>
      <c r="E75" s="204"/>
      <c r="F75" s="33"/>
      <c r="G75" s="33"/>
      <c r="H75" s="32"/>
      <c r="I75" s="32"/>
      <c r="J75" s="32">
        <v>17</v>
      </c>
      <c r="K75" s="32" t="s">
        <v>98</v>
      </c>
      <c r="L75" s="32" t="s">
        <v>98</v>
      </c>
      <c r="M75" s="33">
        <v>13</v>
      </c>
      <c r="N75" s="33"/>
      <c r="O75" s="32" t="s">
        <v>113</v>
      </c>
      <c r="P75" s="32"/>
      <c r="Q75" s="32"/>
      <c r="R75" s="32"/>
      <c r="S75" s="32"/>
      <c r="T75" s="33"/>
      <c r="U75" s="33"/>
      <c r="V75" s="32"/>
      <c r="W75" s="32" t="s">
        <v>153</v>
      </c>
      <c r="X75" s="32" t="s">
        <v>154</v>
      </c>
      <c r="Y75" s="32" t="s">
        <v>154</v>
      </c>
      <c r="Z75" s="32" t="s">
        <v>153</v>
      </c>
      <c r="AA75" s="33"/>
      <c r="AB75" s="33"/>
      <c r="AC75" s="32"/>
      <c r="AD75" s="32"/>
      <c r="AE75" s="32"/>
      <c r="AF75" s="32"/>
      <c r="AG75" s="32"/>
      <c r="AH75" s="33"/>
      <c r="AI75" s="493"/>
      <c r="AJ75" s="440" t="str">
        <f t="shared" si="10"/>
        <v>MRUCZKIEWICZ Sławomir</v>
      </c>
      <c r="AK75" s="534" t="e">
        <f t="shared" si="16"/>
        <v>#REF!</v>
      </c>
      <c r="AL75">
        <f t="shared" si="12"/>
        <v>24</v>
      </c>
      <c r="AM75">
        <f t="shared" si="13"/>
        <v>120</v>
      </c>
      <c r="AN75" s="29">
        <f t="shared" si="14"/>
        <v>30</v>
      </c>
      <c r="AO75" s="1">
        <f t="shared" si="15"/>
        <v>0</v>
      </c>
    </row>
    <row r="76" spans="1:41" ht="15.9">
      <c r="A76" s="1" t="s">
        <v>155</v>
      </c>
      <c r="B76" s="1" t="s">
        <v>73</v>
      </c>
      <c r="C76" s="545" t="s">
        <v>29</v>
      </c>
      <c r="D76" s="86" t="e">
        <f>#REF!</f>
        <v>#REF!</v>
      </c>
      <c r="E76" s="204"/>
      <c r="F76" s="33"/>
      <c r="G76" s="33"/>
      <c r="H76" s="32"/>
      <c r="I76" s="32"/>
      <c r="J76" s="32" t="s">
        <v>301</v>
      </c>
      <c r="K76" s="32"/>
      <c r="L76" s="32"/>
      <c r="M76" s="33" t="s">
        <v>301</v>
      </c>
      <c r="N76" s="33"/>
      <c r="O76" s="32"/>
      <c r="P76" s="32"/>
      <c r="Q76" s="32"/>
      <c r="R76" s="32"/>
      <c r="S76" s="32" t="s">
        <v>153</v>
      </c>
      <c r="T76" s="33" t="s">
        <v>154</v>
      </c>
      <c r="U76" s="33" t="s">
        <v>154</v>
      </c>
      <c r="V76" s="32" t="s">
        <v>154</v>
      </c>
      <c r="W76" s="32" t="s">
        <v>153</v>
      </c>
      <c r="X76" s="32"/>
      <c r="Y76" s="32"/>
      <c r="Z76" s="32"/>
      <c r="AA76" s="33"/>
      <c r="AB76" s="33"/>
      <c r="AC76" s="32"/>
      <c r="AD76" s="32"/>
      <c r="AE76" s="32"/>
      <c r="AF76" s="32"/>
      <c r="AG76" s="32"/>
      <c r="AH76" s="33" t="s">
        <v>113</v>
      </c>
      <c r="AI76" s="493"/>
      <c r="AJ76" s="440" t="str">
        <f t="shared" si="10"/>
        <v>ORZECHOWSKI Bartosz</v>
      </c>
      <c r="AK76" s="534" t="e">
        <f t="shared" si="16"/>
        <v>#REF!</v>
      </c>
      <c r="AL76">
        <f t="shared" si="12"/>
        <v>72</v>
      </c>
      <c r="AM76">
        <f t="shared" si="13"/>
        <v>96</v>
      </c>
      <c r="AN76" s="29">
        <f t="shared" si="14"/>
        <v>0</v>
      </c>
      <c r="AO76" s="1">
        <f t="shared" si="15"/>
        <v>0</v>
      </c>
    </row>
    <row r="77" spans="1:41" ht="15.9">
      <c r="A77" s="1" t="s">
        <v>155</v>
      </c>
      <c r="B77" s="1" t="s">
        <v>59</v>
      </c>
      <c r="C77" s="545" t="s">
        <v>30</v>
      </c>
      <c r="D77" s="86">
        <v>90</v>
      </c>
      <c r="E77" s="204"/>
      <c r="F77" s="33"/>
      <c r="G77" s="33"/>
      <c r="H77" s="32"/>
      <c r="I77" s="32"/>
      <c r="J77" s="32"/>
      <c r="K77" s="32"/>
      <c r="L77" s="32"/>
      <c r="M77" s="33"/>
      <c r="N77" s="33"/>
      <c r="O77" s="32"/>
      <c r="P77" s="32"/>
      <c r="Q77" s="32"/>
      <c r="R77" s="32"/>
      <c r="S77" s="32"/>
      <c r="T77" s="33"/>
      <c r="U77" s="33"/>
      <c r="V77" s="32"/>
      <c r="W77" s="32" t="s">
        <v>294</v>
      </c>
      <c r="X77" s="32" t="s">
        <v>294</v>
      </c>
      <c r="Y77" s="32" t="s">
        <v>294</v>
      </c>
      <c r="Z77" s="32" t="s">
        <v>294</v>
      </c>
      <c r="AA77" s="33" t="s">
        <v>66</v>
      </c>
      <c r="AB77" s="33" t="s">
        <v>66</v>
      </c>
      <c r="AC77" s="32" t="s">
        <v>294</v>
      </c>
      <c r="AD77" s="32" t="s">
        <v>294</v>
      </c>
      <c r="AE77" s="32" t="s">
        <v>294</v>
      </c>
      <c r="AF77" s="32" t="s">
        <v>294</v>
      </c>
      <c r="AG77" s="32" t="s">
        <v>294</v>
      </c>
      <c r="AH77" s="33" t="s">
        <v>66</v>
      </c>
      <c r="AI77" s="493" t="s">
        <v>66</v>
      </c>
      <c r="AJ77" s="440" t="str">
        <f t="shared" si="10"/>
        <v>PADJAS Marek</v>
      </c>
      <c r="AK77" s="534">
        <f t="shared" si="16"/>
        <v>-6</v>
      </c>
      <c r="AL77">
        <f t="shared" si="12"/>
        <v>0</v>
      </c>
      <c r="AM77">
        <f t="shared" si="13"/>
        <v>0</v>
      </c>
      <c r="AN77" s="29">
        <f t="shared" si="14"/>
        <v>72</v>
      </c>
      <c r="AO77" s="1">
        <f t="shared" si="15"/>
        <v>0</v>
      </c>
    </row>
    <row r="78" spans="1:41" ht="15.9">
      <c r="A78" s="1" t="s">
        <v>155</v>
      </c>
      <c r="B78" s="1" t="s">
        <v>73</v>
      </c>
      <c r="C78" s="545" t="s">
        <v>31</v>
      </c>
      <c r="D78" s="86">
        <v>100</v>
      </c>
      <c r="E78" s="204"/>
      <c r="F78" s="33"/>
      <c r="G78" s="33" t="s">
        <v>113</v>
      </c>
      <c r="H78" s="32"/>
      <c r="I78" s="32"/>
      <c r="J78" s="32"/>
      <c r="K78" s="32"/>
      <c r="L78" s="32"/>
      <c r="M78" s="33" t="s">
        <v>66</v>
      </c>
      <c r="N78" s="33"/>
      <c r="O78" s="32"/>
      <c r="P78" s="32"/>
      <c r="Q78" s="32"/>
      <c r="R78" s="32"/>
      <c r="S78" s="32"/>
      <c r="T78" s="33">
        <v>8</v>
      </c>
      <c r="U78" s="33" t="s">
        <v>98</v>
      </c>
      <c r="V78" s="32">
        <v>15</v>
      </c>
      <c r="W78" s="32"/>
      <c r="X78" s="32"/>
      <c r="Y78" s="32"/>
      <c r="Z78" s="32"/>
      <c r="AA78" s="33"/>
      <c r="AB78" s="33"/>
      <c r="AC78" s="32"/>
      <c r="AD78" s="32" t="s">
        <v>153</v>
      </c>
      <c r="AE78" s="32" t="s">
        <v>154</v>
      </c>
      <c r="AF78" s="32" t="s">
        <v>154</v>
      </c>
      <c r="AG78" s="32" t="s">
        <v>154</v>
      </c>
      <c r="AH78" s="33" t="s">
        <v>154</v>
      </c>
      <c r="AI78" s="493" t="s">
        <v>154</v>
      </c>
      <c r="AJ78" s="440" t="str">
        <f t="shared" si="10"/>
        <v>PAWLAK Maciej Tomasz</v>
      </c>
      <c r="AK78" s="534">
        <f t="shared" si="16"/>
        <v>135</v>
      </c>
      <c r="AL78">
        <f t="shared" si="12"/>
        <v>24</v>
      </c>
      <c r="AM78">
        <f t="shared" si="13"/>
        <v>156</v>
      </c>
      <c r="AN78" s="29">
        <f t="shared" si="14"/>
        <v>23</v>
      </c>
      <c r="AO78" s="1">
        <f t="shared" si="15"/>
        <v>0</v>
      </c>
    </row>
    <row r="79" spans="1:41" ht="15.9">
      <c r="A79" s="1" t="s">
        <v>157</v>
      </c>
      <c r="B79" s="1" t="s">
        <v>64</v>
      </c>
      <c r="C79" s="550" t="s">
        <v>32</v>
      </c>
      <c r="D79" s="86" t="e">
        <f>#REF!</f>
        <v>#REF!</v>
      </c>
      <c r="E79" s="204"/>
      <c r="F79" s="33"/>
      <c r="G79" s="33"/>
      <c r="H79" s="32"/>
      <c r="I79" s="32"/>
      <c r="J79" s="32"/>
      <c r="K79" s="32"/>
      <c r="L79" s="32"/>
      <c r="M79" s="33"/>
      <c r="N79" s="33"/>
      <c r="O79" s="32"/>
      <c r="P79" s="32"/>
      <c r="Q79" s="32"/>
      <c r="R79" s="32"/>
      <c r="S79" s="32"/>
      <c r="T79" s="33"/>
      <c r="U79" s="33"/>
      <c r="V79" s="32"/>
      <c r="W79" s="32" t="s">
        <v>113</v>
      </c>
      <c r="X79" s="32"/>
      <c r="Y79" s="32"/>
      <c r="Z79" s="32"/>
      <c r="AA79" s="33"/>
      <c r="AB79" s="33" t="s">
        <v>301</v>
      </c>
      <c r="AC79" s="32"/>
      <c r="AD79" s="32"/>
      <c r="AE79" s="32"/>
      <c r="AF79" s="32"/>
      <c r="AG79" s="32"/>
      <c r="AH79" s="33"/>
      <c r="AI79" s="493"/>
      <c r="AJ79" s="440" t="str">
        <f t="shared" si="10"/>
        <v>PAWŁOWSKA Agata</v>
      </c>
      <c r="AK79" s="534" t="e">
        <f t="shared" si="16"/>
        <v>#REF!</v>
      </c>
      <c r="AL79">
        <f t="shared" si="12"/>
        <v>48</v>
      </c>
      <c r="AM79">
        <f t="shared" si="13"/>
        <v>0</v>
      </c>
      <c r="AN79" s="29">
        <f t="shared" si="14"/>
        <v>0</v>
      </c>
      <c r="AO79" s="1">
        <f t="shared" si="15"/>
        <v>0</v>
      </c>
    </row>
    <row r="80" spans="1:41" ht="15.9">
      <c r="A80" s="1" t="s">
        <v>155</v>
      </c>
      <c r="B80" s="1" t="s">
        <v>73</v>
      </c>
      <c r="C80" s="551" t="s">
        <v>33</v>
      </c>
      <c r="D80" s="86" t="e">
        <f>#REF!</f>
        <v>#REF!</v>
      </c>
      <c r="E80" s="204" t="s">
        <v>66</v>
      </c>
      <c r="F80" s="33" t="s">
        <v>66</v>
      </c>
      <c r="G80" s="33" t="s">
        <v>66</v>
      </c>
      <c r="H80" s="32"/>
      <c r="I80" s="32" t="s">
        <v>301</v>
      </c>
      <c r="J80" s="32"/>
      <c r="K80" s="32"/>
      <c r="L80" s="32"/>
      <c r="M80" s="33"/>
      <c r="N80" s="33" t="s">
        <v>301</v>
      </c>
      <c r="O80" s="32"/>
      <c r="P80" s="32"/>
      <c r="Q80" s="32"/>
      <c r="R80" s="32"/>
      <c r="S80" s="32"/>
      <c r="T80" s="33"/>
      <c r="U80" s="33"/>
      <c r="V80" s="32" t="s">
        <v>69</v>
      </c>
      <c r="W80" s="32" t="s">
        <v>70</v>
      </c>
      <c r="X80" s="32" t="s">
        <v>70</v>
      </c>
      <c r="Y80" s="32" t="s">
        <v>70</v>
      </c>
      <c r="Z80" s="32" t="s">
        <v>69</v>
      </c>
      <c r="AA80" s="33"/>
      <c r="AB80" s="33"/>
      <c r="AC80" s="32"/>
      <c r="AD80" s="32"/>
      <c r="AE80" s="32"/>
      <c r="AF80" s="32"/>
      <c r="AG80" s="32"/>
      <c r="AH80" s="33"/>
      <c r="AI80" s="493" t="s">
        <v>113</v>
      </c>
      <c r="AJ80" s="440" t="str">
        <f t="shared" ref="AJ80:AJ101" si="17">C80</f>
        <v>PAWŁOWSKI Piotr</v>
      </c>
      <c r="AK80" s="534" t="e">
        <f t="shared" si="16"/>
        <v>#REF!</v>
      </c>
      <c r="AL80">
        <f t="shared" ref="AL80:AL100" si="18">COUNTIF(E80:AI80,"D")*24+COUNTIF(E80:AI80,"12g")*12+COUNTIF(E80:AI80,"w")*24</f>
        <v>72</v>
      </c>
      <c r="AM80">
        <f t="shared" ref="AM80:AM100" si="19">SUM(COUNTIF(E80:AI80,"k")+COUNTIF(E80:AI80,"s")+COUNTIF(E80:AI80,"wse"))*24+SUM(COUNTIF(E80:AI80,"Pk")+COUNTIF(E80:AI80,"Ps"))*12</f>
        <v>96</v>
      </c>
      <c r="AN80" s="29">
        <f t="shared" ref="AN80:AN100" si="20">SUM(E80:AI80)+COUNTIF(E80:AI80,"uw")*8+COUNTIF(E80:AI80,"us")*8+COUNTIF(E80:AI80,"uz")*8</f>
        <v>0</v>
      </c>
      <c r="AO80" s="1">
        <f t="shared" ref="AO80:AO100" si="21">COUNTIF(E80:AI80,"DT")*8</f>
        <v>0</v>
      </c>
    </row>
    <row r="81" spans="1:42" ht="15.9">
      <c r="A81" s="1" t="s">
        <v>152</v>
      </c>
      <c r="B81" s="1" t="s">
        <v>64</v>
      </c>
      <c r="C81" s="547" t="s">
        <v>34</v>
      </c>
      <c r="D81" s="86" t="e">
        <f>#REF!</f>
        <v>#REF!</v>
      </c>
      <c r="E81" s="204"/>
      <c r="F81" s="33"/>
      <c r="G81" s="33"/>
      <c r="H81" s="32"/>
      <c r="I81" s="32"/>
      <c r="J81" s="32">
        <v>17</v>
      </c>
      <c r="K81" s="32" t="s">
        <v>98</v>
      </c>
      <c r="L81" s="32" t="s">
        <v>98</v>
      </c>
      <c r="M81" s="33">
        <v>13</v>
      </c>
      <c r="N81" s="33"/>
      <c r="O81" s="32"/>
      <c r="P81" s="32" t="s">
        <v>113</v>
      </c>
      <c r="Q81" s="32"/>
      <c r="R81" s="32"/>
      <c r="S81" s="32"/>
      <c r="T81" s="33"/>
      <c r="U81" s="33"/>
      <c r="V81" s="32"/>
      <c r="W81" s="32"/>
      <c r="X81" s="32"/>
      <c r="Y81" s="32"/>
      <c r="Z81" s="32"/>
      <c r="AA81" s="33"/>
      <c r="AB81" s="33"/>
      <c r="AC81" s="32"/>
      <c r="AD81" s="32" t="s">
        <v>113</v>
      </c>
      <c r="AE81" s="32"/>
      <c r="AF81" s="32"/>
      <c r="AG81" s="32"/>
      <c r="AH81" s="33"/>
      <c r="AI81" s="493"/>
      <c r="AJ81" s="440" t="str">
        <f t="shared" si="17"/>
        <v>PERKOWSKI Tadeusz</v>
      </c>
      <c r="AK81" s="534" t="e">
        <f t="shared" si="16"/>
        <v>#REF!</v>
      </c>
      <c r="AL81">
        <f t="shared" si="18"/>
        <v>48</v>
      </c>
      <c r="AM81">
        <f t="shared" si="19"/>
        <v>48</v>
      </c>
      <c r="AN81" s="29">
        <f t="shared" si="20"/>
        <v>30</v>
      </c>
      <c r="AO81" s="1">
        <f t="shared" si="21"/>
        <v>0</v>
      </c>
    </row>
    <row r="82" spans="1:42" ht="15.9">
      <c r="A82" s="1" t="s">
        <v>156</v>
      </c>
      <c r="B82" s="1" t="s">
        <v>64</v>
      </c>
      <c r="C82" s="547" t="s">
        <v>35</v>
      </c>
      <c r="D82" s="86">
        <v>-80</v>
      </c>
      <c r="E82" s="204" t="s">
        <v>75</v>
      </c>
      <c r="F82" s="33" t="s">
        <v>66</v>
      </c>
      <c r="G82" s="33" t="s">
        <v>66</v>
      </c>
      <c r="H82" s="32"/>
      <c r="I82" s="32"/>
      <c r="J82" s="32"/>
      <c r="K82" s="32" t="s">
        <v>301</v>
      </c>
      <c r="L82" s="32"/>
      <c r="M82" s="33"/>
      <c r="N82" s="33"/>
      <c r="O82" s="32"/>
      <c r="P82" s="32" t="s">
        <v>153</v>
      </c>
      <c r="Q82" s="32" t="s">
        <v>154</v>
      </c>
      <c r="R82" s="32" t="s">
        <v>154</v>
      </c>
      <c r="S82" s="32" t="s">
        <v>154</v>
      </c>
      <c r="T82" s="33" t="s">
        <v>154</v>
      </c>
      <c r="U82" s="33" t="s">
        <v>154</v>
      </c>
      <c r="V82" s="32" t="s">
        <v>154</v>
      </c>
      <c r="W82" s="32" t="s">
        <v>153</v>
      </c>
      <c r="X82" s="32"/>
      <c r="Y82" s="32"/>
      <c r="Z82" s="32"/>
      <c r="AA82" s="33"/>
      <c r="AB82" s="33"/>
      <c r="AC82" s="32"/>
      <c r="AD82" s="32"/>
      <c r="AE82" s="32"/>
      <c r="AF82" s="32"/>
      <c r="AG82" s="32"/>
      <c r="AH82" s="33"/>
      <c r="AI82" s="493"/>
      <c r="AJ82" s="440" t="str">
        <f t="shared" si="17"/>
        <v>PEZAŁA Maciej</v>
      </c>
      <c r="AK82" s="534">
        <f t="shared" si="16"/>
        <v>-48</v>
      </c>
      <c r="AL82">
        <f t="shared" si="18"/>
        <v>24</v>
      </c>
      <c r="AM82">
        <f t="shared" si="19"/>
        <v>168</v>
      </c>
      <c r="AN82" s="29">
        <f t="shared" si="20"/>
        <v>8</v>
      </c>
      <c r="AO82" s="1">
        <f t="shared" si="21"/>
        <v>0</v>
      </c>
    </row>
    <row r="83" spans="1:42" ht="15.9">
      <c r="A83" s="1" t="s">
        <v>156</v>
      </c>
      <c r="B83" s="1" t="s">
        <v>59</v>
      </c>
      <c r="C83" s="547" t="s">
        <v>36</v>
      </c>
      <c r="D83" s="86" t="e">
        <f>#REF!</f>
        <v>#REF!</v>
      </c>
      <c r="E83" s="204" t="s">
        <v>294</v>
      </c>
      <c r="F83" s="33" t="s">
        <v>66</v>
      </c>
      <c r="G83" s="33" t="s">
        <v>66</v>
      </c>
      <c r="H83" s="32" t="s">
        <v>294</v>
      </c>
      <c r="I83" s="32" t="s">
        <v>294</v>
      </c>
      <c r="J83" s="32" t="s">
        <v>294</v>
      </c>
      <c r="K83" s="32" t="s">
        <v>294</v>
      </c>
      <c r="L83" s="32"/>
      <c r="M83" s="33"/>
      <c r="N83" s="33"/>
      <c r="O83" s="32" t="s">
        <v>294</v>
      </c>
      <c r="P83" s="32" t="s">
        <v>294</v>
      </c>
      <c r="Q83" s="32" t="s">
        <v>294</v>
      </c>
      <c r="R83" s="32" t="s">
        <v>294</v>
      </c>
      <c r="S83" s="32"/>
      <c r="T83" s="33"/>
      <c r="U83" s="33"/>
      <c r="V83" s="32"/>
      <c r="W83" s="32" t="s">
        <v>169</v>
      </c>
      <c r="X83" s="32" t="s">
        <v>169</v>
      </c>
      <c r="Y83" s="32" t="s">
        <v>169</v>
      </c>
      <c r="Z83" s="32" t="s">
        <v>169</v>
      </c>
      <c r="AA83" s="33" t="s">
        <v>169</v>
      </c>
      <c r="AB83" s="33" t="s">
        <v>169</v>
      </c>
      <c r="AC83" s="32" t="s">
        <v>169</v>
      </c>
      <c r="AD83" s="32" t="s">
        <v>169</v>
      </c>
      <c r="AE83" s="32"/>
      <c r="AF83" s="32"/>
      <c r="AG83" s="32"/>
      <c r="AH83" s="33"/>
      <c r="AI83" s="493"/>
      <c r="AJ83" s="440" t="str">
        <f t="shared" si="17"/>
        <v>PIEŃKOWSKI Mirosław</v>
      </c>
      <c r="AK83" s="534" t="e">
        <f t="shared" si="16"/>
        <v>#REF!</v>
      </c>
      <c r="AL83">
        <f t="shared" si="18"/>
        <v>0</v>
      </c>
      <c r="AM83">
        <f t="shared" si="19"/>
        <v>0</v>
      </c>
      <c r="AN83" s="29">
        <f t="shared" si="20"/>
        <v>72</v>
      </c>
      <c r="AO83" s="1">
        <f t="shared" si="21"/>
        <v>0</v>
      </c>
      <c r="AP83" s="1">
        <v>168</v>
      </c>
    </row>
    <row r="84" spans="1:42" ht="15.9">
      <c r="A84" s="1" t="s">
        <v>152</v>
      </c>
      <c r="B84" s="1" t="s">
        <v>93</v>
      </c>
      <c r="C84" s="546" t="s">
        <v>37</v>
      </c>
      <c r="D84" s="86" t="e">
        <f>#REF!</f>
        <v>#REF!</v>
      </c>
      <c r="E84" s="204">
        <v>8</v>
      </c>
      <c r="F84" s="33"/>
      <c r="G84" s="33"/>
      <c r="H84" s="32">
        <v>8</v>
      </c>
      <c r="I84" s="32">
        <v>8</v>
      </c>
      <c r="J84" s="32">
        <v>14</v>
      </c>
      <c r="K84" s="32" t="s">
        <v>98</v>
      </c>
      <c r="L84" s="32" t="s">
        <v>98</v>
      </c>
      <c r="M84" s="33">
        <v>13</v>
      </c>
      <c r="N84" s="33"/>
      <c r="O84" s="32"/>
      <c r="P84" s="32"/>
      <c r="Q84" s="32"/>
      <c r="R84" s="32"/>
      <c r="S84" s="32"/>
      <c r="T84" s="33"/>
      <c r="U84" s="33"/>
      <c r="V84" s="32"/>
      <c r="W84" s="32"/>
      <c r="X84" s="32"/>
      <c r="Y84" s="32"/>
      <c r="Z84" s="32"/>
      <c r="AA84" s="33"/>
      <c r="AB84" s="33"/>
      <c r="AC84" s="32"/>
      <c r="AD84" s="32"/>
      <c r="AE84" s="32"/>
      <c r="AF84" s="32"/>
      <c r="AG84" s="32"/>
      <c r="AH84" s="33"/>
      <c r="AI84" s="493"/>
      <c r="AJ84" s="440" t="str">
        <f t="shared" si="17"/>
        <v>PUJANEK Sebastian</v>
      </c>
      <c r="AK84" s="534" t="e">
        <f t="shared" si="16"/>
        <v>#REF!</v>
      </c>
      <c r="AL84">
        <f t="shared" si="18"/>
        <v>0</v>
      </c>
      <c r="AM84">
        <f t="shared" si="19"/>
        <v>48</v>
      </c>
      <c r="AN84" s="29">
        <f t="shared" si="20"/>
        <v>51</v>
      </c>
      <c r="AO84" s="1">
        <f t="shared" si="21"/>
        <v>0</v>
      </c>
    </row>
    <row r="85" spans="1:42" ht="15.9">
      <c r="A85" s="1" t="s">
        <v>152</v>
      </c>
      <c r="B85" s="1" t="s">
        <v>64</v>
      </c>
      <c r="C85" s="552" t="s">
        <v>38</v>
      </c>
      <c r="D85" s="86" t="e">
        <f>#REF!</f>
        <v>#REF!</v>
      </c>
      <c r="E85" s="204"/>
      <c r="F85" s="33"/>
      <c r="G85" s="33"/>
      <c r="H85" s="32"/>
      <c r="I85" s="32"/>
      <c r="J85" s="32" t="s">
        <v>113</v>
      </c>
      <c r="K85" s="32"/>
      <c r="L85" s="32"/>
      <c r="M85" s="33"/>
      <c r="N85" s="33"/>
      <c r="O85" s="32"/>
      <c r="P85" s="32"/>
      <c r="Q85" s="32"/>
      <c r="R85" s="32"/>
      <c r="S85" s="32"/>
      <c r="T85" s="33"/>
      <c r="U85" s="33"/>
      <c r="V85" s="32"/>
      <c r="W85" s="32"/>
      <c r="X85" s="32"/>
      <c r="Y85" s="32" t="s">
        <v>113</v>
      </c>
      <c r="Z85" s="32"/>
      <c r="AA85" s="33"/>
      <c r="AB85" s="33"/>
      <c r="AC85" s="32"/>
      <c r="AD85" s="32"/>
      <c r="AE85" s="32"/>
      <c r="AF85" s="32"/>
      <c r="AG85" s="32"/>
      <c r="AH85" s="33"/>
      <c r="AI85" s="493"/>
      <c r="AJ85" s="440" t="str">
        <f t="shared" si="17"/>
        <v>REIMANN Daniel</v>
      </c>
      <c r="AK85" s="534" t="e">
        <f t="shared" si="16"/>
        <v>#REF!</v>
      </c>
      <c r="AL85">
        <f t="shared" si="18"/>
        <v>48</v>
      </c>
      <c r="AM85">
        <f t="shared" si="19"/>
        <v>0</v>
      </c>
      <c r="AN85" s="29">
        <f t="shared" si="20"/>
        <v>0</v>
      </c>
      <c r="AO85" s="1">
        <f t="shared" si="21"/>
        <v>0</v>
      </c>
    </row>
    <row r="86" spans="1:42" ht="15.9">
      <c r="A86" s="1" t="s">
        <v>58</v>
      </c>
      <c r="B86" s="1" t="s">
        <v>64</v>
      </c>
      <c r="C86" s="536" t="s">
        <v>161</v>
      </c>
      <c r="D86" s="86" t="e">
        <f>#REF!</f>
        <v>#REF!</v>
      </c>
      <c r="E86" s="204"/>
      <c r="F86" s="33"/>
      <c r="G86" s="33"/>
      <c r="H86" s="32"/>
      <c r="I86" s="32"/>
      <c r="J86" s="32"/>
      <c r="K86" s="32"/>
      <c r="L86" s="32"/>
      <c r="M86" s="33"/>
      <c r="N86" s="33"/>
      <c r="O86" s="32"/>
      <c r="P86" s="32" t="s">
        <v>153</v>
      </c>
      <c r="Q86" s="32" t="s">
        <v>154</v>
      </c>
      <c r="R86" s="32" t="s">
        <v>154</v>
      </c>
      <c r="S86" s="32" t="s">
        <v>153</v>
      </c>
      <c r="T86" s="33"/>
      <c r="U86" s="33"/>
      <c r="V86" s="32"/>
      <c r="W86" s="32"/>
      <c r="X86" s="32"/>
      <c r="Y86" s="32"/>
      <c r="Z86" s="32"/>
      <c r="AA86" s="33"/>
      <c r="AB86" s="33"/>
      <c r="AC86" s="32"/>
      <c r="AD86" s="32"/>
      <c r="AE86" s="32"/>
      <c r="AF86" s="32"/>
      <c r="AG86" s="32"/>
      <c r="AH86" s="33"/>
      <c r="AI86" s="493"/>
      <c r="AJ86" s="440" t="str">
        <f t="shared" si="17"/>
        <v>ROZMYTAŃSKA - PEŁECH Olga</v>
      </c>
      <c r="AK86" s="534" t="e">
        <f t="shared" si="16"/>
        <v>#REF!</v>
      </c>
      <c r="AL86">
        <f t="shared" si="18"/>
        <v>0</v>
      </c>
      <c r="AM86">
        <f t="shared" si="19"/>
        <v>72</v>
      </c>
      <c r="AN86" s="29">
        <f t="shared" si="20"/>
        <v>0</v>
      </c>
      <c r="AO86" s="1">
        <f t="shared" si="21"/>
        <v>0</v>
      </c>
    </row>
    <row r="87" spans="1:42" ht="15.9">
      <c r="A87" s="1" t="s">
        <v>155</v>
      </c>
      <c r="B87" s="1" t="s">
        <v>93</v>
      </c>
      <c r="C87" s="545" t="s">
        <v>39</v>
      </c>
      <c r="D87" s="86" t="e">
        <f>#REF!</f>
        <v>#REF!</v>
      </c>
      <c r="E87" s="204" t="s">
        <v>169</v>
      </c>
      <c r="F87" s="33" t="s">
        <v>169</v>
      </c>
      <c r="G87" s="33" t="s">
        <v>169</v>
      </c>
      <c r="H87" s="33" t="s">
        <v>169</v>
      </c>
      <c r="I87" s="33" t="s">
        <v>169</v>
      </c>
      <c r="J87" s="33" t="s">
        <v>169</v>
      </c>
      <c r="K87" s="33" t="s">
        <v>169</v>
      </c>
      <c r="L87" s="33" t="s">
        <v>169</v>
      </c>
      <c r="M87" s="33" t="s">
        <v>169</v>
      </c>
      <c r="N87" s="33" t="s">
        <v>169</v>
      </c>
      <c r="O87" s="33" t="s">
        <v>169</v>
      </c>
      <c r="P87" s="33" t="s">
        <v>169</v>
      </c>
      <c r="Q87" s="33" t="s">
        <v>169</v>
      </c>
      <c r="R87" s="33" t="s">
        <v>169</v>
      </c>
      <c r="S87" s="33" t="s">
        <v>169</v>
      </c>
      <c r="T87" s="33" t="s">
        <v>169</v>
      </c>
      <c r="U87" s="33" t="s">
        <v>169</v>
      </c>
      <c r="V87" s="33" t="s">
        <v>169</v>
      </c>
      <c r="W87" s="33" t="s">
        <v>169</v>
      </c>
      <c r="X87" s="33" t="s">
        <v>169</v>
      </c>
      <c r="Y87" s="33" t="s">
        <v>169</v>
      </c>
      <c r="Z87" s="33" t="s">
        <v>169</v>
      </c>
      <c r="AA87" s="33" t="s">
        <v>169</v>
      </c>
      <c r="AB87" s="33" t="s">
        <v>169</v>
      </c>
      <c r="AC87" s="33" t="s">
        <v>169</v>
      </c>
      <c r="AD87" s="33" t="s">
        <v>169</v>
      </c>
      <c r="AE87" s="33" t="s">
        <v>169</v>
      </c>
      <c r="AF87" s="33" t="s">
        <v>169</v>
      </c>
      <c r="AG87" s="33" t="s">
        <v>169</v>
      </c>
      <c r="AH87" s="33" t="s">
        <v>169</v>
      </c>
      <c r="AI87" s="33" t="s">
        <v>169</v>
      </c>
      <c r="AJ87" s="440" t="str">
        <f t="shared" si="17"/>
        <v>SCHEEL Magdalena</v>
      </c>
      <c r="AK87" s="534">
        <v>0</v>
      </c>
      <c r="AL87">
        <f t="shared" si="18"/>
        <v>0</v>
      </c>
      <c r="AM87">
        <f t="shared" si="19"/>
        <v>0</v>
      </c>
      <c r="AN87" s="29">
        <f t="shared" si="20"/>
        <v>0</v>
      </c>
      <c r="AO87" s="1">
        <f t="shared" si="21"/>
        <v>0</v>
      </c>
    </row>
    <row r="88" spans="1:42" ht="15.9">
      <c r="A88" s="1" t="s">
        <v>155</v>
      </c>
      <c r="B88" s="1" t="s">
        <v>64</v>
      </c>
      <c r="C88" s="545" t="s">
        <v>40</v>
      </c>
      <c r="D88" s="86" t="e">
        <f>#REF!</f>
        <v>#REF!</v>
      </c>
      <c r="E88" s="204" t="s">
        <v>154</v>
      </c>
      <c r="F88" s="33" t="s">
        <v>154</v>
      </c>
      <c r="G88" s="33" t="s">
        <v>154</v>
      </c>
      <c r="H88" s="32" t="s">
        <v>154</v>
      </c>
      <c r="I88" s="32" t="s">
        <v>153</v>
      </c>
      <c r="J88" s="32"/>
      <c r="K88" s="32"/>
      <c r="L88" s="32"/>
      <c r="M88" s="33"/>
      <c r="N88" s="33"/>
      <c r="O88" s="32"/>
      <c r="P88" s="32"/>
      <c r="Q88" s="32"/>
      <c r="R88" s="32"/>
      <c r="S88" s="32"/>
      <c r="T88" s="33"/>
      <c r="U88" s="33"/>
      <c r="V88" s="32"/>
      <c r="W88" s="32"/>
      <c r="X88" s="32"/>
      <c r="Y88" s="32"/>
      <c r="Z88" s="32"/>
      <c r="AA88" s="33"/>
      <c r="AB88" s="33"/>
      <c r="AC88" s="32"/>
      <c r="AD88" s="32" t="s">
        <v>153</v>
      </c>
      <c r="AE88" s="32" t="s">
        <v>154</v>
      </c>
      <c r="AF88" s="32" t="s">
        <v>154</v>
      </c>
      <c r="AG88" s="32" t="s">
        <v>154</v>
      </c>
      <c r="AH88" s="33" t="s">
        <v>154</v>
      </c>
      <c r="AI88" s="493" t="s">
        <v>154</v>
      </c>
      <c r="AJ88" s="440" t="str">
        <f t="shared" si="17"/>
        <v>SKALSKA Paulina</v>
      </c>
      <c r="AK88" s="534" t="e">
        <f t="shared" ref="AK88:AK100" si="22">D88+AL88+AM88+AN88-$AK$47+AO88+AP88</f>
        <v>#REF!</v>
      </c>
      <c r="AL88">
        <f t="shared" si="18"/>
        <v>0</v>
      </c>
      <c r="AM88">
        <f t="shared" si="19"/>
        <v>240</v>
      </c>
      <c r="AN88" s="29">
        <f t="shared" si="20"/>
        <v>0</v>
      </c>
      <c r="AO88" s="1">
        <f t="shared" si="21"/>
        <v>0</v>
      </c>
    </row>
    <row r="89" spans="1:42" ht="15.9">
      <c r="A89" s="1" t="s">
        <v>155</v>
      </c>
      <c r="B89" s="1" t="s">
        <v>93</v>
      </c>
      <c r="C89" s="545" t="s">
        <v>42</v>
      </c>
      <c r="D89" s="86" t="e">
        <f>#REF!</f>
        <v>#REF!</v>
      </c>
      <c r="E89" s="204"/>
      <c r="F89" s="33"/>
      <c r="G89" s="33"/>
      <c r="H89" s="32"/>
      <c r="I89" s="32"/>
      <c r="J89" s="32"/>
      <c r="K89" s="32"/>
      <c r="L89" s="32"/>
      <c r="M89" s="33"/>
      <c r="N89" s="33"/>
      <c r="O89" s="32"/>
      <c r="P89" s="32"/>
      <c r="Q89" s="32"/>
      <c r="R89" s="32"/>
      <c r="S89" s="32"/>
      <c r="T89" s="33"/>
      <c r="U89" s="33"/>
      <c r="V89" s="32"/>
      <c r="W89" s="32" t="s">
        <v>294</v>
      </c>
      <c r="X89" s="32" t="s">
        <v>294</v>
      </c>
      <c r="Y89" s="32" t="s">
        <v>294</v>
      </c>
      <c r="Z89" s="32" t="s">
        <v>294</v>
      </c>
      <c r="AA89" s="33"/>
      <c r="AB89" s="33"/>
      <c r="AC89" s="32"/>
      <c r="AD89" s="32"/>
      <c r="AE89" s="32"/>
      <c r="AF89" s="32"/>
      <c r="AG89" s="32"/>
      <c r="AH89" s="33" t="s">
        <v>301</v>
      </c>
      <c r="AI89" s="493"/>
      <c r="AJ89" s="440" t="str">
        <f t="shared" si="17"/>
        <v>STOPA Maciej</v>
      </c>
      <c r="AK89" s="534" t="e">
        <f t="shared" si="22"/>
        <v>#REF!</v>
      </c>
      <c r="AL89">
        <f t="shared" si="18"/>
        <v>24</v>
      </c>
      <c r="AM89">
        <f t="shared" si="19"/>
        <v>0</v>
      </c>
      <c r="AN89" s="29">
        <f t="shared" si="20"/>
        <v>32</v>
      </c>
      <c r="AO89" s="1">
        <f t="shared" si="21"/>
        <v>0</v>
      </c>
    </row>
    <row r="90" spans="1:42" ht="15.9">
      <c r="A90" s="1" t="s">
        <v>155</v>
      </c>
      <c r="B90" s="1" t="s">
        <v>73</v>
      </c>
      <c r="C90" s="545" t="s">
        <v>43</v>
      </c>
      <c r="D90" s="86" t="e">
        <f>#REF!</f>
        <v>#REF!</v>
      </c>
      <c r="E90" s="204"/>
      <c r="F90" s="33"/>
      <c r="G90" s="33"/>
      <c r="H90" s="32">
        <v>17</v>
      </c>
      <c r="I90" s="32" t="s">
        <v>62</v>
      </c>
      <c r="J90" s="32" t="s">
        <v>62</v>
      </c>
      <c r="K90" s="32" t="s">
        <v>62</v>
      </c>
      <c r="L90" s="32" t="s">
        <v>70</v>
      </c>
      <c r="M90" s="33" t="s">
        <v>70</v>
      </c>
      <c r="N90" s="33" t="s">
        <v>70</v>
      </c>
      <c r="O90" s="32">
        <v>15</v>
      </c>
      <c r="P90" s="32"/>
      <c r="Q90" s="32"/>
      <c r="R90" s="32"/>
      <c r="S90" s="32"/>
      <c r="T90" s="33"/>
      <c r="U90" s="33"/>
      <c r="V90" s="32"/>
      <c r="W90" s="32"/>
      <c r="X90" s="32"/>
      <c r="Y90" s="32" t="s">
        <v>75</v>
      </c>
      <c r="Z90" s="32" t="s">
        <v>75</v>
      </c>
      <c r="AA90" s="33" t="s">
        <v>66</v>
      </c>
      <c r="AB90" s="33" t="s">
        <v>66</v>
      </c>
      <c r="AC90" s="32" t="s">
        <v>75</v>
      </c>
      <c r="AD90" s="32" t="s">
        <v>75</v>
      </c>
      <c r="AE90" s="32" t="s">
        <v>75</v>
      </c>
      <c r="AF90" s="32" t="s">
        <v>75</v>
      </c>
      <c r="AG90" s="32" t="s">
        <v>75</v>
      </c>
      <c r="AH90" s="33"/>
      <c r="AI90" s="493"/>
      <c r="AJ90" s="440" t="str">
        <f t="shared" si="17"/>
        <v>SUSZEK Bartosz</v>
      </c>
      <c r="AK90" s="534" t="e">
        <f t="shared" si="22"/>
        <v>#REF!</v>
      </c>
      <c r="AL90">
        <f t="shared" si="18"/>
        <v>0</v>
      </c>
      <c r="AM90">
        <f t="shared" si="19"/>
        <v>144</v>
      </c>
      <c r="AN90" s="29">
        <f t="shared" si="20"/>
        <v>88</v>
      </c>
      <c r="AO90" s="1">
        <f t="shared" si="21"/>
        <v>0</v>
      </c>
    </row>
    <row r="91" spans="1:42" ht="15.9">
      <c r="A91" s="1" t="s">
        <v>152</v>
      </c>
      <c r="B91" s="1" t="s">
        <v>64</v>
      </c>
      <c r="C91" s="552" t="s">
        <v>44</v>
      </c>
      <c r="D91" s="86" t="e">
        <f>#REF!</f>
        <v>#REF!</v>
      </c>
      <c r="E91" s="204"/>
      <c r="F91" s="33"/>
      <c r="G91" s="33"/>
      <c r="H91" s="32"/>
      <c r="I91" s="32"/>
      <c r="J91" s="32">
        <v>17</v>
      </c>
      <c r="K91" s="32" t="s">
        <v>98</v>
      </c>
      <c r="L91" s="32" t="s">
        <v>98</v>
      </c>
      <c r="M91" s="33">
        <v>13</v>
      </c>
      <c r="N91" s="33"/>
      <c r="O91" s="32"/>
      <c r="P91" s="32" t="s">
        <v>301</v>
      </c>
      <c r="Q91" s="32"/>
      <c r="R91" s="32"/>
      <c r="S91" s="32"/>
      <c r="T91" s="33"/>
      <c r="U91" s="33"/>
      <c r="V91" s="32"/>
      <c r="W91" s="32"/>
      <c r="X91" s="32"/>
      <c r="Y91" s="32"/>
      <c r="Z91" s="32"/>
      <c r="AA91" s="33"/>
      <c r="AB91" s="33"/>
      <c r="AC91" s="32"/>
      <c r="AD91" s="32" t="s">
        <v>301</v>
      </c>
      <c r="AE91" s="32"/>
      <c r="AF91" s="32"/>
      <c r="AG91" s="32"/>
      <c r="AH91" s="33"/>
      <c r="AI91" s="493"/>
      <c r="AJ91" s="440" t="str">
        <f t="shared" si="17"/>
        <v>SZCZEPAŃSKI Tomasz Łukasz</v>
      </c>
      <c r="AK91" s="534" t="e">
        <f t="shared" si="22"/>
        <v>#REF!</v>
      </c>
      <c r="AL91">
        <f t="shared" si="18"/>
        <v>48</v>
      </c>
      <c r="AM91">
        <f t="shared" si="19"/>
        <v>48</v>
      </c>
      <c r="AN91" s="29">
        <f t="shared" si="20"/>
        <v>30</v>
      </c>
      <c r="AO91" s="1">
        <f t="shared" si="21"/>
        <v>0</v>
      </c>
    </row>
    <row r="92" spans="1:42" ht="15.9">
      <c r="A92" s="1" t="s">
        <v>152</v>
      </c>
      <c r="B92" s="1" t="s">
        <v>64</v>
      </c>
      <c r="C92" s="203" t="s">
        <v>162</v>
      </c>
      <c r="D92" s="86" t="e">
        <f>#REF!</f>
        <v>#REF!</v>
      </c>
      <c r="E92" s="204" t="s">
        <v>66</v>
      </c>
      <c r="F92" s="33"/>
      <c r="G92" s="33"/>
      <c r="H92" s="32"/>
      <c r="I92" s="32"/>
      <c r="J92" s="32">
        <v>17</v>
      </c>
      <c r="K92" s="32" t="s">
        <v>98</v>
      </c>
      <c r="L92" s="32" t="s">
        <v>98</v>
      </c>
      <c r="M92" s="33">
        <v>13</v>
      </c>
      <c r="N92" s="33"/>
      <c r="O92" s="32" t="s">
        <v>75</v>
      </c>
      <c r="P92" s="32" t="s">
        <v>75</v>
      </c>
      <c r="Q92" s="32" t="s">
        <v>75</v>
      </c>
      <c r="R92" s="32"/>
      <c r="S92" s="32"/>
      <c r="T92" s="33">
        <v>8</v>
      </c>
      <c r="U92" s="33" t="s">
        <v>98</v>
      </c>
      <c r="V92" s="32">
        <v>15</v>
      </c>
      <c r="W92" s="32"/>
      <c r="X92" s="32"/>
      <c r="Y92" s="32"/>
      <c r="Z92" s="32"/>
      <c r="AA92" s="33"/>
      <c r="AB92" s="33"/>
      <c r="AC92" s="32" t="s">
        <v>301</v>
      </c>
      <c r="AD92" s="32"/>
      <c r="AE92" s="32"/>
      <c r="AF92" s="32"/>
      <c r="AG92" s="32"/>
      <c r="AH92" s="33"/>
      <c r="AI92" s="493"/>
      <c r="AJ92" s="440" t="str">
        <f t="shared" si="17"/>
        <v>SZNAJDER Wiktor</v>
      </c>
      <c r="AK92" s="534" t="e">
        <f t="shared" si="22"/>
        <v>#REF!</v>
      </c>
      <c r="AL92">
        <f t="shared" si="18"/>
        <v>24</v>
      </c>
      <c r="AM92">
        <f t="shared" si="19"/>
        <v>72</v>
      </c>
      <c r="AN92" s="29">
        <f t="shared" si="20"/>
        <v>77</v>
      </c>
      <c r="AO92" s="1">
        <f t="shared" si="21"/>
        <v>0</v>
      </c>
    </row>
    <row r="93" spans="1:42" ht="15.9">
      <c r="A93" s="1" t="s">
        <v>152</v>
      </c>
      <c r="B93" s="1" t="s">
        <v>73</v>
      </c>
      <c r="C93" s="546" t="s">
        <v>163</v>
      </c>
      <c r="D93" s="86" t="e">
        <f>#REF!</f>
        <v>#REF!</v>
      </c>
      <c r="E93" s="204"/>
      <c r="F93" s="33"/>
      <c r="G93" s="33"/>
      <c r="H93" s="32"/>
      <c r="I93" s="32"/>
      <c r="J93" s="32">
        <v>17</v>
      </c>
      <c r="K93" s="32" t="s">
        <v>98</v>
      </c>
      <c r="L93" s="32" t="s">
        <v>98</v>
      </c>
      <c r="M93" s="33">
        <v>13</v>
      </c>
      <c r="N93" s="33"/>
      <c r="O93" s="32"/>
      <c r="P93" s="32"/>
      <c r="Q93" s="32"/>
      <c r="R93" s="32"/>
      <c r="S93" s="32"/>
      <c r="T93" s="33"/>
      <c r="U93" s="33"/>
      <c r="V93" s="32" t="s">
        <v>75</v>
      </c>
      <c r="W93" s="32" t="s">
        <v>75</v>
      </c>
      <c r="X93" s="32" t="s">
        <v>75</v>
      </c>
      <c r="Y93" s="32" t="s">
        <v>75</v>
      </c>
      <c r="Z93" s="32" t="s">
        <v>75</v>
      </c>
      <c r="AA93" s="33" t="s">
        <v>66</v>
      </c>
      <c r="AB93" s="33" t="s">
        <v>66</v>
      </c>
      <c r="AC93" s="32" t="s">
        <v>75</v>
      </c>
      <c r="AD93" s="32" t="s">
        <v>75</v>
      </c>
      <c r="AE93" s="32" t="s">
        <v>75</v>
      </c>
      <c r="AF93" s="32" t="s">
        <v>75</v>
      </c>
      <c r="AG93" s="32" t="s">
        <v>75</v>
      </c>
      <c r="AH93" s="33" t="s">
        <v>75</v>
      </c>
      <c r="AI93" s="493" t="s">
        <v>75</v>
      </c>
      <c r="AJ93" s="440" t="str">
        <f t="shared" si="17"/>
        <v>SZYMAŃSKI Tomasz</v>
      </c>
      <c r="AK93" s="534" t="e">
        <f t="shared" si="22"/>
        <v>#REF!</v>
      </c>
      <c r="AL93">
        <f t="shared" si="18"/>
        <v>0</v>
      </c>
      <c r="AM93">
        <f t="shared" si="19"/>
        <v>48</v>
      </c>
      <c r="AN93" s="29">
        <f t="shared" si="20"/>
        <v>126</v>
      </c>
      <c r="AO93" s="1">
        <f t="shared" si="21"/>
        <v>0</v>
      </c>
    </row>
    <row r="94" spans="1:42" ht="15.9">
      <c r="A94" s="1" t="s">
        <v>152</v>
      </c>
      <c r="B94" s="1" t="s">
        <v>64</v>
      </c>
      <c r="C94" s="546" t="s">
        <v>45</v>
      </c>
      <c r="D94" s="86" t="e">
        <f>#REF!</f>
        <v>#REF!</v>
      </c>
      <c r="E94" s="204" t="s">
        <v>113</v>
      </c>
      <c r="F94" s="33"/>
      <c r="G94" s="33"/>
      <c r="H94" s="32"/>
      <c r="I94" s="32"/>
      <c r="J94" s="32">
        <v>17</v>
      </c>
      <c r="K94" s="32" t="s">
        <v>98</v>
      </c>
      <c r="L94" s="32" t="s">
        <v>98</v>
      </c>
      <c r="M94" s="33">
        <v>13</v>
      </c>
      <c r="N94" s="33"/>
      <c r="O94" s="32"/>
      <c r="P94" s="32"/>
      <c r="Q94" s="32" t="s">
        <v>113</v>
      </c>
      <c r="R94" s="32"/>
      <c r="S94" s="32"/>
      <c r="T94" s="33" t="s">
        <v>301</v>
      </c>
      <c r="U94" s="33"/>
      <c r="V94" s="32"/>
      <c r="W94" s="32" t="s">
        <v>301</v>
      </c>
      <c r="X94" s="32"/>
      <c r="Y94" s="32"/>
      <c r="Z94" s="32"/>
      <c r="AA94" s="33"/>
      <c r="AB94" s="33"/>
      <c r="AC94" s="32"/>
      <c r="AD94" s="32"/>
      <c r="AE94" s="32" t="s">
        <v>113</v>
      </c>
      <c r="AF94" s="32"/>
      <c r="AG94" s="32"/>
      <c r="AH94" s="33"/>
      <c r="AI94" s="493"/>
      <c r="AJ94" s="440" t="str">
        <f t="shared" si="17"/>
        <v>ŚLIWIŃSKI Krzysztof</v>
      </c>
      <c r="AK94" s="534" t="e">
        <f t="shared" si="22"/>
        <v>#REF!</v>
      </c>
      <c r="AL94">
        <f t="shared" si="18"/>
        <v>120</v>
      </c>
      <c r="AM94">
        <f t="shared" si="19"/>
        <v>48</v>
      </c>
      <c r="AN94" s="29">
        <f t="shared" si="20"/>
        <v>30</v>
      </c>
      <c r="AO94" s="1">
        <f t="shared" si="21"/>
        <v>0</v>
      </c>
    </row>
    <row r="95" spans="1:42" ht="15.9">
      <c r="A95" s="1" t="s">
        <v>152</v>
      </c>
      <c r="B95" s="1" t="s">
        <v>73</v>
      </c>
      <c r="C95" s="546" t="s">
        <v>46</v>
      </c>
      <c r="D95" s="86" t="e">
        <f>#REF!</f>
        <v>#REF!</v>
      </c>
      <c r="E95" s="204"/>
      <c r="F95" s="33"/>
      <c r="G95" s="33"/>
      <c r="H95" s="32"/>
      <c r="I95" s="32"/>
      <c r="J95" s="32">
        <v>17</v>
      </c>
      <c r="K95" s="32" t="s">
        <v>98</v>
      </c>
      <c r="L95" s="32" t="s">
        <v>98</v>
      </c>
      <c r="M95" s="33">
        <v>13</v>
      </c>
      <c r="N95" s="33"/>
      <c r="O95" s="32"/>
      <c r="P95" s="32"/>
      <c r="Q95" s="32"/>
      <c r="R95" s="32"/>
      <c r="S95" s="32"/>
      <c r="T95" s="33">
        <v>8</v>
      </c>
      <c r="U95" s="33" t="s">
        <v>98</v>
      </c>
      <c r="V95" s="32">
        <v>15</v>
      </c>
      <c r="W95" s="32"/>
      <c r="X95" s="32"/>
      <c r="Y95" s="32" t="s">
        <v>301</v>
      </c>
      <c r="Z95" s="32"/>
      <c r="AA95" s="33"/>
      <c r="AB95" s="33"/>
      <c r="AC95" s="32"/>
      <c r="AD95" s="32"/>
      <c r="AE95" s="32"/>
      <c r="AF95" s="32" t="s">
        <v>301</v>
      </c>
      <c r="AG95" s="32"/>
      <c r="AH95" s="33"/>
      <c r="AI95" s="493"/>
      <c r="AJ95" s="440" t="str">
        <f t="shared" si="17"/>
        <v>TOCHOR Krzysztof</v>
      </c>
      <c r="AK95" s="534" t="e">
        <f t="shared" si="22"/>
        <v>#REF!</v>
      </c>
      <c r="AL95">
        <f t="shared" si="18"/>
        <v>48</v>
      </c>
      <c r="AM95">
        <f t="shared" si="19"/>
        <v>72</v>
      </c>
      <c r="AN95" s="29">
        <f t="shared" si="20"/>
        <v>53</v>
      </c>
      <c r="AO95" s="1">
        <f t="shared" si="21"/>
        <v>0</v>
      </c>
    </row>
    <row r="96" spans="1:42" ht="15.9">
      <c r="A96" s="1" t="s">
        <v>152</v>
      </c>
      <c r="B96" s="1" t="s">
        <v>64</v>
      </c>
      <c r="C96" s="552" t="s">
        <v>47</v>
      </c>
      <c r="D96" s="86" t="e">
        <f>#REF!</f>
        <v>#REF!</v>
      </c>
      <c r="E96" s="204"/>
      <c r="F96" s="33"/>
      <c r="G96" s="33"/>
      <c r="H96" s="32" t="s">
        <v>301</v>
      </c>
      <c r="I96" s="32"/>
      <c r="J96" s="32"/>
      <c r="K96" s="32"/>
      <c r="L96" s="32" t="s">
        <v>301</v>
      </c>
      <c r="M96" s="33"/>
      <c r="N96" s="33"/>
      <c r="O96" s="32"/>
      <c r="P96" s="32"/>
      <c r="Q96" s="32"/>
      <c r="R96" s="32"/>
      <c r="S96" s="32"/>
      <c r="T96" s="33"/>
      <c r="U96" s="33"/>
      <c r="V96" s="32" t="s">
        <v>303</v>
      </c>
      <c r="W96" s="32"/>
      <c r="X96" s="32"/>
      <c r="Y96" s="32"/>
      <c r="Z96" s="32"/>
      <c r="AA96" s="33" t="s">
        <v>113</v>
      </c>
      <c r="AB96" s="33"/>
      <c r="AC96" s="32"/>
      <c r="AD96" s="32"/>
      <c r="AE96" s="37"/>
      <c r="AF96" s="37"/>
      <c r="AG96" s="37"/>
      <c r="AH96" s="38"/>
      <c r="AI96" s="542"/>
      <c r="AJ96" s="440" t="str">
        <f t="shared" si="17"/>
        <v>WITCZAK Milena</v>
      </c>
      <c r="AK96" s="534" t="e">
        <f t="shared" si="22"/>
        <v>#REF!</v>
      </c>
      <c r="AL96">
        <f t="shared" si="18"/>
        <v>96</v>
      </c>
      <c r="AM96">
        <f t="shared" si="19"/>
        <v>0</v>
      </c>
      <c r="AN96" s="29">
        <f t="shared" si="20"/>
        <v>0</v>
      </c>
      <c r="AO96" s="1">
        <f t="shared" si="21"/>
        <v>0</v>
      </c>
    </row>
    <row r="97" spans="1:42" ht="15.9">
      <c r="A97" s="1" t="s">
        <v>152</v>
      </c>
      <c r="B97" s="1" t="s">
        <v>64</v>
      </c>
      <c r="C97" s="553" t="s">
        <v>48</v>
      </c>
      <c r="D97" s="86" t="e">
        <f>#REF!</f>
        <v>#REF!</v>
      </c>
      <c r="E97" s="204"/>
      <c r="F97" s="33"/>
      <c r="G97" s="33"/>
      <c r="H97" s="32"/>
      <c r="I97" s="32"/>
      <c r="J97" s="32">
        <v>17</v>
      </c>
      <c r="K97" s="32" t="s">
        <v>98</v>
      </c>
      <c r="L97" s="32" t="s">
        <v>98</v>
      </c>
      <c r="M97" s="33">
        <v>13</v>
      </c>
      <c r="N97" s="33"/>
      <c r="O97" s="32"/>
      <c r="P97" s="32"/>
      <c r="Q97" s="32"/>
      <c r="R97" s="32"/>
      <c r="S97" s="32"/>
      <c r="T97" s="33">
        <v>8</v>
      </c>
      <c r="U97" s="33" t="s">
        <v>98</v>
      </c>
      <c r="V97" s="32">
        <v>15</v>
      </c>
      <c r="W97" s="32"/>
      <c r="X97" s="32"/>
      <c r="Y97" s="32"/>
      <c r="Z97" s="32"/>
      <c r="AA97" s="33"/>
      <c r="AB97" s="33"/>
      <c r="AC97" s="32"/>
      <c r="AD97" s="136"/>
      <c r="AE97" s="707"/>
      <c r="AF97" s="707"/>
      <c r="AG97" s="707"/>
      <c r="AH97" s="707"/>
      <c r="AI97" s="707"/>
      <c r="AJ97" s="440" t="str">
        <f t="shared" si="17"/>
        <v>WOŹNIAK Szymon</v>
      </c>
      <c r="AK97" s="534" t="e">
        <f t="shared" si="22"/>
        <v>#REF!</v>
      </c>
      <c r="AL97">
        <f t="shared" si="18"/>
        <v>0</v>
      </c>
      <c r="AM97">
        <f t="shared" si="19"/>
        <v>72</v>
      </c>
      <c r="AN97" s="29">
        <f t="shared" si="20"/>
        <v>53</v>
      </c>
      <c r="AO97" s="1">
        <f t="shared" si="21"/>
        <v>0</v>
      </c>
    </row>
    <row r="98" spans="1:42" ht="15.9">
      <c r="A98" s="1" t="s">
        <v>58</v>
      </c>
      <c r="B98" s="1" t="s">
        <v>73</v>
      </c>
      <c r="C98" s="545" t="s">
        <v>49</v>
      </c>
      <c r="D98" s="86" t="e">
        <f>#REF!</f>
        <v>#REF!</v>
      </c>
      <c r="E98" s="204" t="s">
        <v>154</v>
      </c>
      <c r="F98" s="33" t="s">
        <v>154</v>
      </c>
      <c r="G98" s="33" t="s">
        <v>154</v>
      </c>
      <c r="H98" s="32" t="s">
        <v>154</v>
      </c>
      <c r="I98" s="32" t="s">
        <v>153</v>
      </c>
      <c r="J98" s="32" t="s">
        <v>294</v>
      </c>
      <c r="K98" s="32" t="s">
        <v>294</v>
      </c>
      <c r="L98" s="32" t="s">
        <v>294</v>
      </c>
      <c r="M98" s="33" t="s">
        <v>66</v>
      </c>
      <c r="N98" s="33" t="s">
        <v>66</v>
      </c>
      <c r="O98" s="32" t="s">
        <v>294</v>
      </c>
      <c r="P98" s="32" t="s">
        <v>294</v>
      </c>
      <c r="Q98" s="32" t="s">
        <v>294</v>
      </c>
      <c r="R98" s="32" t="s">
        <v>294</v>
      </c>
      <c r="S98" s="32" t="s">
        <v>294</v>
      </c>
      <c r="T98" s="33" t="s">
        <v>66</v>
      </c>
      <c r="U98" s="33" t="s">
        <v>66</v>
      </c>
      <c r="V98" s="32" t="s">
        <v>294</v>
      </c>
      <c r="W98" s="32" t="s">
        <v>294</v>
      </c>
      <c r="X98" s="32" t="s">
        <v>294</v>
      </c>
      <c r="Y98" s="32" t="s">
        <v>294</v>
      </c>
      <c r="Z98" s="32" t="s">
        <v>294</v>
      </c>
      <c r="AA98" s="33"/>
      <c r="AB98" s="33"/>
      <c r="AC98" s="32"/>
      <c r="AD98" s="32"/>
      <c r="AE98" s="41"/>
      <c r="AF98" s="41"/>
      <c r="AG98" s="41"/>
      <c r="AH98" s="42"/>
      <c r="AI98" s="543"/>
      <c r="AJ98" s="440" t="str">
        <f t="shared" si="17"/>
        <v>ZAWOLIK Adam</v>
      </c>
      <c r="AK98" s="534" t="e">
        <f t="shared" si="22"/>
        <v>#REF!</v>
      </c>
      <c r="AL98">
        <f t="shared" si="18"/>
        <v>0</v>
      </c>
      <c r="AM98">
        <f t="shared" si="19"/>
        <v>108</v>
      </c>
      <c r="AN98" s="29">
        <f t="shared" si="20"/>
        <v>104</v>
      </c>
      <c r="AO98" s="1">
        <f t="shared" si="21"/>
        <v>0</v>
      </c>
    </row>
    <row r="99" spans="1:42" ht="15.9">
      <c r="A99" s="1" t="s">
        <v>155</v>
      </c>
      <c r="B99" s="1" t="s">
        <v>73</v>
      </c>
      <c r="C99" s="545" t="s">
        <v>50</v>
      </c>
      <c r="D99" s="86" t="e">
        <f>#REF!</f>
        <v>#REF!</v>
      </c>
      <c r="E99" s="204" t="s">
        <v>294</v>
      </c>
      <c r="F99" s="33" t="s">
        <v>66</v>
      </c>
      <c r="G99" s="33" t="s">
        <v>66</v>
      </c>
      <c r="H99" s="32" t="s">
        <v>294</v>
      </c>
      <c r="I99" s="32" t="s">
        <v>294</v>
      </c>
      <c r="J99" s="32" t="s">
        <v>294</v>
      </c>
      <c r="K99" s="32" t="s">
        <v>294</v>
      </c>
      <c r="L99" s="32" t="s">
        <v>294</v>
      </c>
      <c r="M99" s="33" t="s">
        <v>66</v>
      </c>
      <c r="N99" s="33" t="s">
        <v>66</v>
      </c>
      <c r="O99" s="32" t="s">
        <v>294</v>
      </c>
      <c r="P99" s="32"/>
      <c r="Q99" s="32"/>
      <c r="R99" s="32"/>
      <c r="S99" s="32"/>
      <c r="T99" s="33" t="s">
        <v>113</v>
      </c>
      <c r="U99" s="33"/>
      <c r="V99" s="32"/>
      <c r="W99" s="32"/>
      <c r="X99" s="32"/>
      <c r="Y99" s="32"/>
      <c r="Z99" s="32"/>
      <c r="AA99" s="33"/>
      <c r="AB99" s="33" t="s">
        <v>113</v>
      </c>
      <c r="AC99" s="32"/>
      <c r="AD99" s="32"/>
      <c r="AE99" s="32"/>
      <c r="AF99" s="32"/>
      <c r="AG99" s="32"/>
      <c r="AH99" s="33"/>
      <c r="AI99" s="493"/>
      <c r="AJ99" s="440" t="str">
        <f t="shared" si="17"/>
        <v>ZIEMKOWSKI Witold</v>
      </c>
      <c r="AK99" s="534" t="e">
        <f t="shared" si="22"/>
        <v>#REF!</v>
      </c>
      <c r="AL99">
        <f t="shared" si="18"/>
        <v>48</v>
      </c>
      <c r="AM99">
        <f t="shared" si="19"/>
        <v>0</v>
      </c>
      <c r="AN99" s="29">
        <f t="shared" si="20"/>
        <v>56</v>
      </c>
      <c r="AO99" s="1">
        <f t="shared" si="21"/>
        <v>0</v>
      </c>
    </row>
    <row r="100" spans="1:42" ht="15.9">
      <c r="A100" s="1" t="s">
        <v>155</v>
      </c>
      <c r="B100" s="1" t="s">
        <v>59</v>
      </c>
      <c r="C100" s="554" t="s">
        <v>51</v>
      </c>
      <c r="D100" s="86" t="e">
        <f>#REF!</f>
        <v>#REF!</v>
      </c>
      <c r="E100" s="96"/>
      <c r="F100" s="52"/>
      <c r="G100" s="52"/>
      <c r="H100" s="51"/>
      <c r="I100" s="51" t="s">
        <v>153</v>
      </c>
      <c r="J100" s="51" t="s">
        <v>154</v>
      </c>
      <c r="K100" s="51" t="s">
        <v>154</v>
      </c>
      <c r="L100" s="51" t="s">
        <v>154</v>
      </c>
      <c r="M100" s="52" t="s">
        <v>154</v>
      </c>
      <c r="N100" s="52" t="s">
        <v>154</v>
      </c>
      <c r="O100" s="51" t="s">
        <v>154</v>
      </c>
      <c r="P100" s="51" t="s">
        <v>153</v>
      </c>
      <c r="Q100" s="51"/>
      <c r="R100" s="51"/>
      <c r="S100" s="51"/>
      <c r="T100" s="52"/>
      <c r="U100" s="52"/>
      <c r="V100" s="51"/>
      <c r="W100" s="51"/>
      <c r="X100" s="51"/>
      <c r="Y100" s="51"/>
      <c r="Z100" s="51"/>
      <c r="AA100" s="52"/>
      <c r="AB100" s="52"/>
      <c r="AC100" s="51"/>
      <c r="AD100" s="51" t="s">
        <v>153</v>
      </c>
      <c r="AE100" s="51" t="s">
        <v>154</v>
      </c>
      <c r="AF100" s="51" t="s">
        <v>154</v>
      </c>
      <c r="AG100" s="51" t="s">
        <v>154</v>
      </c>
      <c r="AH100" s="52" t="s">
        <v>154</v>
      </c>
      <c r="AI100" s="494" t="s">
        <v>154</v>
      </c>
      <c r="AJ100" s="440" t="str">
        <f t="shared" si="17"/>
        <v>ZWOLIŃSKI Krzysztof</v>
      </c>
      <c r="AK100" s="534" t="e">
        <f t="shared" si="22"/>
        <v>#REF!</v>
      </c>
      <c r="AL100">
        <f t="shared" si="18"/>
        <v>0</v>
      </c>
      <c r="AM100">
        <f t="shared" si="19"/>
        <v>300</v>
      </c>
      <c r="AN100" s="29">
        <f t="shared" si="20"/>
        <v>0</v>
      </c>
      <c r="AO100" s="1">
        <f t="shared" si="21"/>
        <v>0</v>
      </c>
    </row>
    <row r="101" spans="1:42" ht="15.9">
      <c r="C101" s="95" t="s">
        <v>432</v>
      </c>
      <c r="D101" s="57"/>
      <c r="E101" s="96"/>
      <c r="F101" s="51"/>
      <c r="G101" s="51"/>
      <c r="H101" s="51"/>
      <c r="I101" s="51"/>
      <c r="J101" s="51"/>
      <c r="K101" s="51" t="s">
        <v>113</v>
      </c>
      <c r="L101" s="51"/>
      <c r="M101" s="51" t="s">
        <v>113</v>
      </c>
      <c r="N101" s="51"/>
      <c r="O101" s="51"/>
      <c r="P101" s="51"/>
      <c r="Q101" s="51"/>
      <c r="R101" s="51" t="s">
        <v>113</v>
      </c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 t="s">
        <v>113</v>
      </c>
      <c r="AG101" s="51"/>
      <c r="AH101" s="51"/>
      <c r="AI101" s="27"/>
      <c r="AJ101" s="60" t="str">
        <f t="shared" si="17"/>
        <v>S Z T A B</v>
      </c>
      <c r="AK101" s="27"/>
      <c r="AL101" s="28"/>
      <c r="AM101"/>
      <c r="AN101" s="29"/>
    </row>
    <row r="102" spans="1:42" ht="15.9">
      <c r="B102" s="61"/>
      <c r="C102" s="62" t="s">
        <v>120</v>
      </c>
      <c r="D102" s="63"/>
      <c r="E102" s="64">
        <f t="shared" ref="E102:AI102" si="23">E31</f>
        <v>1</v>
      </c>
      <c r="F102" s="64">
        <f t="shared" si="23"/>
        <v>1</v>
      </c>
      <c r="G102" s="64">
        <f t="shared" si="23"/>
        <v>1</v>
      </c>
      <c r="H102" s="64">
        <f t="shared" si="23"/>
        <v>1</v>
      </c>
      <c r="I102" s="64">
        <f t="shared" si="23"/>
        <v>1</v>
      </c>
      <c r="J102" s="64">
        <f t="shared" si="23"/>
        <v>1</v>
      </c>
      <c r="K102" s="64">
        <f t="shared" si="23"/>
        <v>1</v>
      </c>
      <c r="L102" s="64">
        <f t="shared" si="23"/>
        <v>1</v>
      </c>
      <c r="M102" s="64">
        <f t="shared" si="23"/>
        <v>1</v>
      </c>
      <c r="N102" s="64">
        <f t="shared" si="23"/>
        <v>1</v>
      </c>
      <c r="O102" s="64">
        <f t="shared" si="23"/>
        <v>1</v>
      </c>
      <c r="P102" s="64">
        <f t="shared" si="23"/>
        <v>1</v>
      </c>
      <c r="Q102" s="64">
        <f t="shared" si="23"/>
        <v>1</v>
      </c>
      <c r="R102" s="64">
        <f t="shared" si="23"/>
        <v>1</v>
      </c>
      <c r="S102" s="64">
        <f t="shared" si="23"/>
        <v>1</v>
      </c>
      <c r="T102" s="64">
        <f t="shared" si="23"/>
        <v>1</v>
      </c>
      <c r="U102" s="64">
        <f t="shared" si="23"/>
        <v>1</v>
      </c>
      <c r="V102" s="64">
        <f t="shared" si="23"/>
        <v>1</v>
      </c>
      <c r="W102" s="64">
        <f t="shared" si="23"/>
        <v>1</v>
      </c>
      <c r="X102" s="64">
        <f t="shared" si="23"/>
        <v>1</v>
      </c>
      <c r="Y102" s="64">
        <f t="shared" si="23"/>
        <v>1</v>
      </c>
      <c r="Z102" s="64">
        <f t="shared" si="23"/>
        <v>1</v>
      </c>
      <c r="AA102" s="64">
        <f t="shared" si="23"/>
        <v>1</v>
      </c>
      <c r="AB102" s="64">
        <f t="shared" si="23"/>
        <v>1</v>
      </c>
      <c r="AC102" s="64">
        <f t="shared" si="23"/>
        <v>1</v>
      </c>
      <c r="AD102" s="64">
        <f t="shared" si="23"/>
        <v>1</v>
      </c>
      <c r="AE102" s="64">
        <f t="shared" si="23"/>
        <v>1</v>
      </c>
      <c r="AF102" s="64">
        <f t="shared" si="23"/>
        <v>1</v>
      </c>
      <c r="AG102" s="64">
        <f t="shared" si="23"/>
        <v>1</v>
      </c>
      <c r="AH102" s="64">
        <f t="shared" si="23"/>
        <v>1</v>
      </c>
      <c r="AI102" s="64">
        <f t="shared" si="23"/>
        <v>0</v>
      </c>
      <c r="AJ102"/>
      <c r="AK102" s="27"/>
      <c r="AL102" s="28"/>
      <c r="AM102"/>
      <c r="AN102" s="29"/>
    </row>
    <row r="103" spans="1:42" ht="15.9">
      <c r="B103" s="61"/>
      <c r="C103" s="65" t="s">
        <v>121</v>
      </c>
      <c r="D103" s="66"/>
      <c r="E103" s="64">
        <f t="shared" ref="E103:AI103" si="24">E32</f>
        <v>2</v>
      </c>
      <c r="F103" s="64">
        <f t="shared" si="24"/>
        <v>2</v>
      </c>
      <c r="G103" s="64">
        <f t="shared" si="24"/>
        <v>2</v>
      </c>
      <c r="H103" s="64">
        <f t="shared" si="24"/>
        <v>2</v>
      </c>
      <c r="I103" s="64">
        <f t="shared" si="24"/>
        <v>2</v>
      </c>
      <c r="J103" s="64">
        <f t="shared" si="24"/>
        <v>2</v>
      </c>
      <c r="K103" s="64">
        <f t="shared" si="24"/>
        <v>2</v>
      </c>
      <c r="L103" s="64">
        <f t="shared" si="24"/>
        <v>2</v>
      </c>
      <c r="M103" s="64">
        <f t="shared" si="24"/>
        <v>2</v>
      </c>
      <c r="N103" s="64">
        <f t="shared" si="24"/>
        <v>2</v>
      </c>
      <c r="O103" s="64">
        <f t="shared" si="24"/>
        <v>2</v>
      </c>
      <c r="P103" s="64">
        <f t="shared" si="24"/>
        <v>2</v>
      </c>
      <c r="Q103" s="64">
        <f t="shared" si="24"/>
        <v>2</v>
      </c>
      <c r="R103" s="64">
        <f t="shared" si="24"/>
        <v>2</v>
      </c>
      <c r="S103" s="64">
        <f t="shared" si="24"/>
        <v>2</v>
      </c>
      <c r="T103" s="64">
        <f t="shared" si="24"/>
        <v>2</v>
      </c>
      <c r="U103" s="64">
        <f t="shared" si="24"/>
        <v>2</v>
      </c>
      <c r="V103" s="64">
        <f t="shared" si="24"/>
        <v>2</v>
      </c>
      <c r="W103" s="64">
        <f t="shared" si="24"/>
        <v>2</v>
      </c>
      <c r="X103" s="64">
        <f t="shared" si="24"/>
        <v>2</v>
      </c>
      <c r="Y103" s="64">
        <f t="shared" si="24"/>
        <v>2</v>
      </c>
      <c r="Z103" s="64">
        <f t="shared" si="24"/>
        <v>2</v>
      </c>
      <c r="AA103" s="64">
        <f t="shared" si="24"/>
        <v>2</v>
      </c>
      <c r="AB103" s="64">
        <f t="shared" si="24"/>
        <v>2</v>
      </c>
      <c r="AC103" s="64">
        <f t="shared" si="24"/>
        <v>2</v>
      </c>
      <c r="AD103" s="64">
        <f t="shared" si="24"/>
        <v>2</v>
      </c>
      <c r="AE103" s="64">
        <f t="shared" si="24"/>
        <v>2</v>
      </c>
      <c r="AF103" s="64">
        <f t="shared" si="24"/>
        <v>2</v>
      </c>
      <c r="AG103" s="64">
        <f t="shared" si="24"/>
        <v>2</v>
      </c>
      <c r="AH103" s="64">
        <f t="shared" si="24"/>
        <v>2</v>
      </c>
      <c r="AI103" s="64">
        <f t="shared" si="24"/>
        <v>2</v>
      </c>
      <c r="AJ103"/>
      <c r="AK103" s="27"/>
      <c r="AL103" s="28"/>
      <c r="AM103"/>
      <c r="AN103" s="29"/>
    </row>
    <row r="104" spans="1:42">
      <c r="C104" s="67" t="s">
        <v>122</v>
      </c>
      <c r="D104" s="68"/>
      <c r="E104" s="64">
        <f t="shared" ref="E104:AI104" si="25">E33</f>
        <v>2</v>
      </c>
      <c r="F104" s="64">
        <f t="shared" si="25"/>
        <v>4</v>
      </c>
      <c r="G104" s="64">
        <f t="shared" si="25"/>
        <v>4</v>
      </c>
      <c r="H104" s="64">
        <f t="shared" si="25"/>
        <v>0</v>
      </c>
      <c r="I104" s="64">
        <f t="shared" si="25"/>
        <v>4</v>
      </c>
      <c r="J104" s="64">
        <f t="shared" si="25"/>
        <v>4</v>
      </c>
      <c r="K104" s="64">
        <f t="shared" si="25"/>
        <v>4</v>
      </c>
      <c r="L104" s="64">
        <f t="shared" si="25"/>
        <v>3</v>
      </c>
      <c r="M104" s="64">
        <f t="shared" si="25"/>
        <v>4</v>
      </c>
      <c r="N104" s="64">
        <f t="shared" si="25"/>
        <v>4</v>
      </c>
      <c r="O104" s="64">
        <f t="shared" si="25"/>
        <v>0</v>
      </c>
      <c r="P104" s="64">
        <f t="shared" si="25"/>
        <v>4</v>
      </c>
      <c r="Q104" s="64">
        <f t="shared" si="25"/>
        <v>4</v>
      </c>
      <c r="R104" s="64">
        <f t="shared" si="25"/>
        <v>4</v>
      </c>
      <c r="S104" s="64">
        <f t="shared" si="25"/>
        <v>1</v>
      </c>
      <c r="T104" s="64">
        <f t="shared" si="25"/>
        <v>4</v>
      </c>
      <c r="U104" s="64">
        <f t="shared" si="25"/>
        <v>4</v>
      </c>
      <c r="V104" s="64">
        <f t="shared" si="25"/>
        <v>1</v>
      </c>
      <c r="W104" s="64">
        <f t="shared" si="25"/>
        <v>3</v>
      </c>
      <c r="X104" s="64">
        <f t="shared" si="25"/>
        <v>3</v>
      </c>
      <c r="Y104" s="64">
        <f t="shared" si="25"/>
        <v>3</v>
      </c>
      <c r="Z104" s="64">
        <f t="shared" si="25"/>
        <v>0</v>
      </c>
      <c r="AA104" s="64">
        <f t="shared" si="25"/>
        <v>3</v>
      </c>
      <c r="AB104" s="64">
        <f t="shared" si="25"/>
        <v>3</v>
      </c>
      <c r="AC104" s="64">
        <f t="shared" si="25"/>
        <v>0</v>
      </c>
      <c r="AD104" s="64">
        <f t="shared" si="25"/>
        <v>4</v>
      </c>
      <c r="AE104" s="64">
        <f t="shared" si="25"/>
        <v>4</v>
      </c>
      <c r="AF104" s="64">
        <f t="shared" si="25"/>
        <v>4</v>
      </c>
      <c r="AG104" s="64">
        <f t="shared" si="25"/>
        <v>1</v>
      </c>
      <c r="AH104" s="64">
        <f t="shared" si="25"/>
        <v>4</v>
      </c>
      <c r="AI104" s="64">
        <f t="shared" si="25"/>
        <v>4</v>
      </c>
      <c r="AJ104"/>
      <c r="AK104" s="27"/>
      <c r="AL104" s="28"/>
      <c r="AM104"/>
      <c r="AN104" s="29"/>
    </row>
    <row r="105" spans="1:42">
      <c r="C105" s="69" t="s">
        <v>123</v>
      </c>
      <c r="D105" s="70"/>
      <c r="E105" s="64">
        <f t="shared" ref="E105:AI105" si="26">E34</f>
        <v>3</v>
      </c>
      <c r="F105" s="64">
        <f t="shared" si="26"/>
        <v>4</v>
      </c>
      <c r="G105" s="64">
        <f t="shared" si="26"/>
        <v>4</v>
      </c>
      <c r="H105" s="64">
        <f t="shared" si="26"/>
        <v>4</v>
      </c>
      <c r="I105" s="64">
        <f t="shared" si="26"/>
        <v>0</v>
      </c>
      <c r="J105" s="64">
        <f t="shared" si="26"/>
        <v>4</v>
      </c>
      <c r="K105" s="64">
        <f t="shared" si="26"/>
        <v>4</v>
      </c>
      <c r="L105" s="64">
        <f t="shared" si="26"/>
        <v>4</v>
      </c>
      <c r="M105" s="64">
        <f t="shared" si="26"/>
        <v>4</v>
      </c>
      <c r="N105" s="64">
        <f t="shared" si="26"/>
        <v>4</v>
      </c>
      <c r="O105" s="64">
        <f t="shared" si="26"/>
        <v>4</v>
      </c>
      <c r="P105" s="64">
        <f t="shared" si="26"/>
        <v>0</v>
      </c>
      <c r="Q105" s="64">
        <f t="shared" si="26"/>
        <v>3</v>
      </c>
      <c r="R105" s="64">
        <f t="shared" si="26"/>
        <v>3</v>
      </c>
      <c r="S105" s="64">
        <f t="shared" si="26"/>
        <v>1</v>
      </c>
      <c r="T105" s="64">
        <f t="shared" si="26"/>
        <v>5</v>
      </c>
      <c r="U105" s="64">
        <f t="shared" si="26"/>
        <v>5</v>
      </c>
      <c r="V105" s="64">
        <f t="shared" si="26"/>
        <v>5</v>
      </c>
      <c r="W105" s="64">
        <f t="shared" si="26"/>
        <v>1</v>
      </c>
      <c r="X105" s="64">
        <f t="shared" si="26"/>
        <v>5</v>
      </c>
      <c r="Y105" s="64">
        <f t="shared" si="26"/>
        <v>5</v>
      </c>
      <c r="Z105" s="64">
        <f t="shared" si="26"/>
        <v>3</v>
      </c>
      <c r="AA105" s="64">
        <f t="shared" si="26"/>
        <v>5</v>
      </c>
      <c r="AB105" s="64">
        <f t="shared" si="26"/>
        <v>5</v>
      </c>
      <c r="AC105" s="64">
        <f t="shared" si="26"/>
        <v>5</v>
      </c>
      <c r="AD105" s="64">
        <f t="shared" si="26"/>
        <v>0</v>
      </c>
      <c r="AE105" s="64">
        <f t="shared" si="26"/>
        <v>4</v>
      </c>
      <c r="AF105" s="64">
        <f t="shared" si="26"/>
        <v>4</v>
      </c>
      <c r="AG105" s="64">
        <f t="shared" si="26"/>
        <v>4</v>
      </c>
      <c r="AH105" s="64">
        <f t="shared" si="26"/>
        <v>4</v>
      </c>
      <c r="AI105" s="64">
        <f t="shared" si="26"/>
        <v>4</v>
      </c>
      <c r="AJ105"/>
      <c r="AK105" s="27"/>
      <c r="AL105" s="28"/>
      <c r="AM105"/>
      <c r="AN105" s="29"/>
    </row>
    <row r="106" spans="1:42" ht="15.9">
      <c r="C106" s="56"/>
      <c r="D106" s="57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97"/>
      <c r="AH106" s="98"/>
      <c r="AI106" s="27"/>
      <c r="AJ106"/>
      <c r="AK106" s="27"/>
      <c r="AL106" s="28"/>
      <c r="AM106"/>
      <c r="AN106" s="29"/>
    </row>
    <row r="107" spans="1:42" s="73" customFormat="1">
      <c r="C107" s="660" t="s">
        <v>122</v>
      </c>
      <c r="D107" s="660"/>
      <c r="E107" s="99"/>
      <c r="F107" s="661"/>
      <c r="G107" s="661"/>
      <c r="H107" s="661"/>
      <c r="I107" s="100"/>
      <c r="J107" s="661" t="s">
        <v>248</v>
      </c>
      <c r="K107" s="661"/>
      <c r="L107" s="100"/>
      <c r="M107" s="661"/>
      <c r="N107" s="661"/>
      <c r="O107" s="661"/>
      <c r="P107" s="100"/>
      <c r="Q107" s="661"/>
      <c r="R107" s="661"/>
      <c r="S107" s="100"/>
      <c r="T107" s="661"/>
      <c r="U107" s="661"/>
      <c r="V107" s="661"/>
      <c r="W107" s="100"/>
      <c r="X107" s="661"/>
      <c r="Y107" s="661"/>
      <c r="Z107" s="100"/>
      <c r="AA107" s="661"/>
      <c r="AB107" s="661"/>
      <c r="AC107" s="661"/>
      <c r="AD107" s="100"/>
      <c r="AE107" s="658"/>
      <c r="AF107" s="658"/>
      <c r="AG107" s="101"/>
      <c r="AH107" s="658"/>
      <c r="AI107" s="658"/>
      <c r="AJ107" s="80"/>
      <c r="AK107" s="27"/>
      <c r="AL107" s="28"/>
      <c r="AM107"/>
      <c r="AN107" s="29"/>
      <c r="AO107" s="1"/>
      <c r="AP107" s="1"/>
    </row>
    <row r="108" spans="1:42" s="73" customFormat="1">
      <c r="C108" s="660"/>
      <c r="D108" s="660"/>
      <c r="E108" s="102"/>
      <c r="F108" s="653"/>
      <c r="G108" s="653"/>
      <c r="H108" s="653"/>
      <c r="I108" s="103"/>
      <c r="J108" s="653"/>
      <c r="K108" s="653"/>
      <c r="L108" s="103"/>
      <c r="M108" s="653"/>
      <c r="N108" s="653"/>
      <c r="O108" s="653"/>
      <c r="P108" s="103"/>
      <c r="Q108" s="653"/>
      <c r="R108" s="653"/>
      <c r="S108" s="103"/>
      <c r="T108" s="653"/>
      <c r="U108" s="653"/>
      <c r="V108" s="653"/>
      <c r="W108" s="103"/>
      <c r="X108" s="653"/>
      <c r="Y108" s="653"/>
      <c r="Z108" s="103"/>
      <c r="AA108" s="653"/>
      <c r="AB108" s="653"/>
      <c r="AC108" s="653"/>
      <c r="AD108" s="103"/>
      <c r="AE108" s="648"/>
      <c r="AF108" s="648"/>
      <c r="AG108" s="104"/>
      <c r="AH108" s="648"/>
      <c r="AI108" s="648"/>
      <c r="AJ108" s="80"/>
      <c r="AK108" s="27"/>
      <c r="AL108" s="28"/>
      <c r="AM108"/>
      <c r="AN108" s="29"/>
      <c r="AO108" s="1"/>
      <c r="AP108" s="1"/>
    </row>
    <row r="109" spans="1:42" s="73" customFormat="1">
      <c r="C109" s="660"/>
      <c r="D109" s="660"/>
      <c r="E109" s="102"/>
      <c r="F109" s="653"/>
      <c r="G109" s="653"/>
      <c r="H109" s="653"/>
      <c r="I109" s="103"/>
      <c r="J109" s="653"/>
      <c r="K109" s="653"/>
      <c r="L109" s="103"/>
      <c r="M109" s="653"/>
      <c r="N109" s="653"/>
      <c r="O109" s="653"/>
      <c r="P109" s="103"/>
      <c r="Q109" s="653"/>
      <c r="R109" s="653"/>
      <c r="S109" s="103"/>
      <c r="T109" s="653"/>
      <c r="U109" s="653"/>
      <c r="V109" s="653"/>
      <c r="W109" s="103"/>
      <c r="X109" s="653"/>
      <c r="Y109" s="653"/>
      <c r="Z109" s="103"/>
      <c r="AA109" s="653"/>
      <c r="AB109" s="653"/>
      <c r="AC109" s="653"/>
      <c r="AD109" s="103"/>
      <c r="AE109" s="648"/>
      <c r="AF109" s="648"/>
      <c r="AG109" s="105"/>
      <c r="AH109" s="648"/>
      <c r="AI109" s="648"/>
      <c r="AJ109" s="80"/>
      <c r="AK109" s="27"/>
      <c r="AL109" s="28"/>
      <c r="AM109"/>
      <c r="AN109" s="29"/>
      <c r="AO109" s="1"/>
      <c r="AP109" s="1"/>
    </row>
    <row r="110" spans="1:42" s="73" customFormat="1">
      <c r="C110" s="660"/>
      <c r="D110" s="660"/>
      <c r="E110" s="106"/>
      <c r="F110" s="649"/>
      <c r="G110" s="649"/>
      <c r="H110" s="649"/>
      <c r="I110" s="107"/>
      <c r="J110" s="649"/>
      <c r="K110" s="649"/>
      <c r="L110" s="107"/>
      <c r="M110" s="649"/>
      <c r="N110" s="649"/>
      <c r="O110" s="649"/>
      <c r="P110" s="107"/>
      <c r="Q110" s="649"/>
      <c r="R110" s="649"/>
      <c r="S110" s="107"/>
      <c r="T110" s="649"/>
      <c r="U110" s="649"/>
      <c r="V110" s="649"/>
      <c r="W110" s="107"/>
      <c r="X110" s="649"/>
      <c r="Y110" s="649"/>
      <c r="Z110" s="107"/>
      <c r="AA110" s="649"/>
      <c r="AB110" s="649"/>
      <c r="AC110" s="649"/>
      <c r="AD110" s="107"/>
      <c r="AE110" s="651"/>
      <c r="AF110" s="651"/>
      <c r="AG110" s="108"/>
      <c r="AH110" s="651"/>
      <c r="AI110" s="651"/>
      <c r="AJ110" s="80"/>
      <c r="AK110" s="27"/>
      <c r="AL110" s="28"/>
      <c r="AM110"/>
      <c r="AN110" s="29"/>
      <c r="AO110" s="1"/>
      <c r="AP110" s="1"/>
    </row>
    <row r="111" spans="1:42" s="73" customFormat="1">
      <c r="C111" s="77"/>
      <c r="D111" s="77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109"/>
      <c r="AH111" s="110"/>
      <c r="AI111" s="79"/>
      <c r="AJ111" s="80"/>
      <c r="AK111" s="27"/>
      <c r="AL111" s="28"/>
      <c r="AM111"/>
      <c r="AN111" s="29"/>
      <c r="AO111" s="1"/>
      <c r="AP111" s="1"/>
    </row>
    <row r="112" spans="1:42" s="73" customFormat="1" ht="11.25" customHeight="1">
      <c r="C112" s="655" t="s">
        <v>123</v>
      </c>
      <c r="D112" s="655"/>
      <c r="E112" s="99"/>
      <c r="F112" s="656"/>
      <c r="G112" s="656"/>
      <c r="H112" s="656"/>
      <c r="I112" s="100"/>
      <c r="J112" s="657"/>
      <c r="K112" s="657"/>
      <c r="L112" s="100"/>
      <c r="M112" s="656"/>
      <c r="N112" s="656"/>
      <c r="O112" s="656"/>
      <c r="P112" s="100"/>
      <c r="Q112" s="657"/>
      <c r="R112" s="657"/>
      <c r="S112" s="100"/>
      <c r="T112" s="656"/>
      <c r="U112" s="656"/>
      <c r="V112" s="656"/>
      <c r="W112" s="100"/>
      <c r="X112" s="656"/>
      <c r="Y112" s="656"/>
      <c r="Z112" s="100"/>
      <c r="AA112" s="656"/>
      <c r="AB112" s="656"/>
      <c r="AC112" s="656"/>
      <c r="AD112" s="100"/>
      <c r="AE112" s="652"/>
      <c r="AF112" s="652"/>
      <c r="AG112" s="113"/>
      <c r="AH112" s="652"/>
      <c r="AI112" s="652"/>
      <c r="AJ112" s="80"/>
      <c r="AK112" s="27"/>
      <c r="AL112" s="28"/>
      <c r="AM112"/>
      <c r="AN112" s="29"/>
      <c r="AO112" s="1"/>
      <c r="AP112" s="1"/>
    </row>
    <row r="113" spans="3:42" s="73" customFormat="1" ht="11.25" customHeight="1">
      <c r="C113" s="655"/>
      <c r="D113" s="655"/>
      <c r="E113" s="102"/>
      <c r="F113" s="653"/>
      <c r="G113" s="653"/>
      <c r="H113" s="653"/>
      <c r="I113" s="103"/>
      <c r="J113" s="654"/>
      <c r="K113" s="654"/>
      <c r="L113" s="103"/>
      <c r="M113" s="653"/>
      <c r="N113" s="653"/>
      <c r="O113" s="653"/>
      <c r="P113" s="103"/>
      <c r="Q113" s="654"/>
      <c r="R113" s="654"/>
      <c r="S113" s="103"/>
      <c r="T113" s="653"/>
      <c r="U113" s="653"/>
      <c r="V113" s="653"/>
      <c r="W113" s="103"/>
      <c r="X113" s="653"/>
      <c r="Y113" s="653"/>
      <c r="Z113" s="103"/>
      <c r="AA113" s="653"/>
      <c r="AB113" s="653"/>
      <c r="AC113" s="653"/>
      <c r="AD113" s="103"/>
      <c r="AE113" s="648"/>
      <c r="AF113" s="648"/>
      <c r="AG113" s="104"/>
      <c r="AH113" s="648"/>
      <c r="AI113" s="648"/>
      <c r="AJ113" s="80"/>
      <c r="AK113" s="27"/>
      <c r="AL113" s="28"/>
      <c r="AM113"/>
      <c r="AN113" s="29"/>
      <c r="AO113" s="1"/>
      <c r="AP113" s="1"/>
    </row>
    <row r="114" spans="3:42" s="73" customFormat="1" ht="11.25" customHeight="1">
      <c r="C114" s="655"/>
      <c r="D114" s="655"/>
      <c r="E114" s="102"/>
      <c r="F114" s="653"/>
      <c r="G114" s="653"/>
      <c r="H114" s="653"/>
      <c r="I114" s="103"/>
      <c r="J114" s="654"/>
      <c r="K114" s="654"/>
      <c r="L114" s="103"/>
      <c r="M114" s="653"/>
      <c r="N114" s="653"/>
      <c r="O114" s="653"/>
      <c r="P114" s="103"/>
      <c r="Q114" s="654"/>
      <c r="R114" s="654"/>
      <c r="S114" s="103"/>
      <c r="T114" s="653"/>
      <c r="U114" s="653"/>
      <c r="V114" s="653"/>
      <c r="W114" s="103"/>
      <c r="X114" s="653"/>
      <c r="Y114" s="653"/>
      <c r="Z114" s="103"/>
      <c r="AA114" s="653"/>
      <c r="AB114" s="653"/>
      <c r="AC114" s="653"/>
      <c r="AD114" s="103"/>
      <c r="AE114" s="648"/>
      <c r="AF114" s="648"/>
      <c r="AG114" s="104"/>
      <c r="AH114" s="648"/>
      <c r="AI114" s="648"/>
      <c r="AJ114" s="80"/>
      <c r="AK114" s="27"/>
      <c r="AL114" s="28"/>
      <c r="AM114"/>
      <c r="AN114" s="29"/>
      <c r="AO114" s="1"/>
      <c r="AP114" s="1"/>
    </row>
    <row r="115" spans="3:42" s="73" customFormat="1" ht="11.25" customHeight="1">
      <c r="C115" s="655"/>
      <c r="D115" s="655"/>
      <c r="E115" s="106"/>
      <c r="F115" s="649"/>
      <c r="G115" s="649"/>
      <c r="H115" s="649"/>
      <c r="I115" s="107"/>
      <c r="J115" s="650"/>
      <c r="K115" s="650"/>
      <c r="L115" s="107"/>
      <c r="M115" s="649"/>
      <c r="N115" s="649"/>
      <c r="O115" s="649"/>
      <c r="P115" s="107"/>
      <c r="Q115" s="650"/>
      <c r="R115" s="650"/>
      <c r="S115" s="107"/>
      <c r="T115" s="649"/>
      <c r="U115" s="649"/>
      <c r="V115" s="649"/>
      <c r="W115" s="107"/>
      <c r="X115" s="649"/>
      <c r="Y115" s="649"/>
      <c r="Z115" s="107"/>
      <c r="AA115" s="649"/>
      <c r="AB115" s="649"/>
      <c r="AC115" s="649"/>
      <c r="AD115" s="107"/>
      <c r="AE115" s="651"/>
      <c r="AF115" s="651"/>
      <c r="AG115" s="108"/>
      <c r="AH115" s="651"/>
      <c r="AI115" s="651"/>
      <c r="AJ115" s="80"/>
      <c r="AK115" s="27"/>
      <c r="AL115" s="28"/>
      <c r="AM115"/>
      <c r="AN115" s="29"/>
      <c r="AO115" s="1"/>
      <c r="AP115" s="1"/>
    </row>
    <row r="116" spans="3:42" ht="15.9">
      <c r="C116" s="61"/>
      <c r="D116" s="81"/>
      <c r="AK116" s="27"/>
      <c r="AL116" s="28"/>
      <c r="AM116"/>
      <c r="AN116" s="29"/>
    </row>
  </sheetData>
  <autoFilter ref="B47:AK105" xr:uid="{00000000-0009-0000-0000-000019000000}"/>
  <mergeCells count="155">
    <mergeCell ref="E23:N23"/>
    <mergeCell ref="AE26:AI26"/>
    <mergeCell ref="C36:D39"/>
    <mergeCell ref="E36:G36"/>
    <mergeCell ref="H36:K36"/>
    <mergeCell ref="L36:N36"/>
    <mergeCell ref="O36:R36"/>
    <mergeCell ref="S36:U36"/>
    <mergeCell ref="V36:Y36"/>
    <mergeCell ref="Z36:AB36"/>
    <mergeCell ref="AC36:AF36"/>
    <mergeCell ref="AG36:AI36"/>
    <mergeCell ref="E37:G37"/>
    <mergeCell ref="H37:K37"/>
    <mergeCell ref="L37:N37"/>
    <mergeCell ref="O37:R37"/>
    <mergeCell ref="S37:U37"/>
    <mergeCell ref="V37:Y37"/>
    <mergeCell ref="Z37:AB37"/>
    <mergeCell ref="AC37:AF37"/>
    <mergeCell ref="AG37:AI37"/>
    <mergeCell ref="E38:G38"/>
    <mergeCell ref="H38:K38"/>
    <mergeCell ref="L38:N38"/>
    <mergeCell ref="O38:R38"/>
    <mergeCell ref="S38:U38"/>
    <mergeCell ref="V38:Y38"/>
    <mergeCell ref="Z38:AB38"/>
    <mergeCell ref="AC38:AF38"/>
    <mergeCell ref="AG38:AI38"/>
    <mergeCell ref="E39:G39"/>
    <mergeCell ref="H39:K39"/>
    <mergeCell ref="L39:N39"/>
    <mergeCell ref="O39:R39"/>
    <mergeCell ref="S39:U39"/>
    <mergeCell ref="V39:Y39"/>
    <mergeCell ref="Z39:AB39"/>
    <mergeCell ref="AC39:AF39"/>
    <mergeCell ref="AG39:AI39"/>
    <mergeCell ref="C41:D44"/>
    <mergeCell ref="E41:G41"/>
    <mergeCell ref="H41:K41"/>
    <mergeCell ref="L41:N41"/>
    <mergeCell ref="O41:R41"/>
    <mergeCell ref="S41:U41"/>
    <mergeCell ref="V41:Y41"/>
    <mergeCell ref="Z41:AB41"/>
    <mergeCell ref="AC41:AF41"/>
    <mergeCell ref="E43:G43"/>
    <mergeCell ref="H43:K43"/>
    <mergeCell ref="L43:N43"/>
    <mergeCell ref="O43:R43"/>
    <mergeCell ref="S43:U43"/>
    <mergeCell ref="V43:Y43"/>
    <mergeCell ref="Z43:AB43"/>
    <mergeCell ref="AC43:AF43"/>
    <mergeCell ref="AG41:AI41"/>
    <mergeCell ref="E42:G42"/>
    <mergeCell ref="H42:K42"/>
    <mergeCell ref="L42:N42"/>
    <mergeCell ref="O42:R42"/>
    <mergeCell ref="S42:U42"/>
    <mergeCell ref="V42:Y42"/>
    <mergeCell ref="Z42:AB42"/>
    <mergeCell ref="AC42:AF42"/>
    <mergeCell ref="AG42:AI42"/>
    <mergeCell ref="AG43:AI43"/>
    <mergeCell ref="E44:G44"/>
    <mergeCell ref="H44:K44"/>
    <mergeCell ref="L44:N44"/>
    <mergeCell ref="O44:R44"/>
    <mergeCell ref="S44:U44"/>
    <mergeCell ref="V44:Y44"/>
    <mergeCell ref="Z44:AB44"/>
    <mergeCell ref="AC44:AF44"/>
    <mergeCell ref="AG44:AI44"/>
    <mergeCell ref="N45:O45"/>
    <mergeCell ref="J46:M46"/>
    <mergeCell ref="T46:V46"/>
    <mergeCell ref="AE56:AI56"/>
    <mergeCell ref="AE97:AI97"/>
    <mergeCell ref="C107:D110"/>
    <mergeCell ref="F107:H107"/>
    <mergeCell ref="J107:K107"/>
    <mergeCell ref="M107:O107"/>
    <mergeCell ref="Q107:R107"/>
    <mergeCell ref="T107:V107"/>
    <mergeCell ref="X107:Y107"/>
    <mergeCell ref="AA107:AC107"/>
    <mergeCell ref="AE107:AF107"/>
    <mergeCell ref="AH107:AI107"/>
    <mergeCell ref="F108:H108"/>
    <mergeCell ref="J108:K108"/>
    <mergeCell ref="M108:O108"/>
    <mergeCell ref="Q108:R108"/>
    <mergeCell ref="T108:V108"/>
    <mergeCell ref="X108:Y108"/>
    <mergeCell ref="AA108:AC108"/>
    <mergeCell ref="AE108:AF108"/>
    <mergeCell ref="AH108:AI108"/>
    <mergeCell ref="F109:H109"/>
    <mergeCell ref="J109:K109"/>
    <mergeCell ref="M109:O109"/>
    <mergeCell ref="Q109:R109"/>
    <mergeCell ref="T109:V109"/>
    <mergeCell ref="X109:Y109"/>
    <mergeCell ref="AA109:AC109"/>
    <mergeCell ref="AE109:AF109"/>
    <mergeCell ref="AH109:AI109"/>
    <mergeCell ref="F110:H110"/>
    <mergeCell ref="J110:K110"/>
    <mergeCell ref="M110:O110"/>
    <mergeCell ref="Q110:R110"/>
    <mergeCell ref="T110:V110"/>
    <mergeCell ref="X110:Y110"/>
    <mergeCell ref="AA110:AC110"/>
    <mergeCell ref="AE110:AF110"/>
    <mergeCell ref="AH110:AI110"/>
    <mergeCell ref="C112:D115"/>
    <mergeCell ref="F112:H112"/>
    <mergeCell ref="J112:K112"/>
    <mergeCell ref="M112:O112"/>
    <mergeCell ref="Q112:R112"/>
    <mergeCell ref="T112:V112"/>
    <mergeCell ref="X112:Y112"/>
    <mergeCell ref="AA112:AC112"/>
    <mergeCell ref="AE112:AF112"/>
    <mergeCell ref="F114:H114"/>
    <mergeCell ref="J114:K114"/>
    <mergeCell ref="M114:O114"/>
    <mergeCell ref="Q114:R114"/>
    <mergeCell ref="T114:V114"/>
    <mergeCell ref="X114:Y114"/>
    <mergeCell ref="AA114:AC114"/>
    <mergeCell ref="AE114:AF114"/>
    <mergeCell ref="AH112:AI112"/>
    <mergeCell ref="F113:H113"/>
    <mergeCell ref="J113:K113"/>
    <mergeCell ref="M113:O113"/>
    <mergeCell ref="Q113:R113"/>
    <mergeCell ref="T113:V113"/>
    <mergeCell ref="X113:Y113"/>
    <mergeCell ref="AA113:AC113"/>
    <mergeCell ref="AE113:AF113"/>
    <mergeCell ref="AH113:AI113"/>
    <mergeCell ref="AH114:AI114"/>
    <mergeCell ref="F115:H115"/>
    <mergeCell ref="J115:K115"/>
    <mergeCell ref="M115:O115"/>
    <mergeCell ref="Q115:R115"/>
    <mergeCell ref="T115:V115"/>
    <mergeCell ref="X115:Y115"/>
    <mergeCell ref="AA115:AC115"/>
    <mergeCell ref="AE115:AF115"/>
    <mergeCell ref="AH115:AI115"/>
  </mergeCells>
  <conditionalFormatting sqref="A2:A30 A86 A92">
    <cfRule type="containsText" dxfId="182" priority="75" operator="containsText" text="SG212">
      <formula>NOT(ISERROR(SEARCH("SG212",A2)))</formula>
    </cfRule>
    <cfRule type="containsText" dxfId="181" priority="74" operator="containsText" text="SG214">
      <formula>NOT(ISERROR(SEARCH("SG214",A2)))</formula>
    </cfRule>
    <cfRule type="containsText" dxfId="180" priority="73" operator="containsText" text="SG068">
      <formula>NOT(ISERROR(SEARCH("SG068",A2)))</formula>
    </cfRule>
    <cfRule type="containsText" dxfId="179" priority="72" operator="containsText" text="SG007">
      <formula>NOT(ISERROR(SEARCH("SG007",A2)))</formula>
    </cfRule>
  </conditionalFormatting>
  <conditionalFormatting sqref="A5:A30 A86 A92">
    <cfRule type="containsText" dxfId="178" priority="76" operator="containsText" text="SG070">
      <formula>NOT(ISERROR(SEARCH("SG070",A5)))</formula>
    </cfRule>
  </conditionalFormatting>
  <conditionalFormatting sqref="A101">
    <cfRule type="containsText" dxfId="177" priority="86" operator="containsText" text="SG070">
      <formula>NOT(ISERROR(SEARCH("SG070",A101)))</formula>
    </cfRule>
    <cfRule type="containsText" dxfId="176" priority="85" operator="containsText" text="SG212">
      <formula>NOT(ISERROR(SEARCH("SG212",A101)))</formula>
    </cfRule>
    <cfRule type="containsText" dxfId="175" priority="84" operator="containsText" text="SG214">
      <formula>NOT(ISERROR(SEARCH("SG214",A101)))</formula>
    </cfRule>
    <cfRule type="containsText" dxfId="174" priority="82" operator="containsText" text="SG007">
      <formula>NOT(ISERROR(SEARCH("SG007",A101)))</formula>
    </cfRule>
    <cfRule type="containsText" dxfId="173" priority="83" operator="containsText" text="SG068">
      <formula>NOT(ISERROR(SEARCH("SG068",A101)))</formula>
    </cfRule>
  </conditionalFormatting>
  <conditionalFormatting sqref="E30:I30 L30:P30 S30:W30 Z30:AD30">
    <cfRule type="cellIs" dxfId="172" priority="58" operator="greaterThan">
      <formula>0</formula>
    </cfRule>
  </conditionalFormatting>
  <conditionalFormatting sqref="E30:AF30">
    <cfRule type="containsText" dxfId="171" priority="18" operator="containsText" text="l4">
      <formula>NOT(ISERROR(SEARCH("l4",E30)))</formula>
    </cfRule>
    <cfRule type="containsText" dxfId="170" priority="19" operator="containsText" text="12g">
      <formula>NOT(ISERROR(SEARCH("12g",E30)))</formula>
    </cfRule>
    <cfRule type="containsText" dxfId="168" priority="21" operator="containsText" text="wse">
      <formula>NOT(ISERROR(SEARCH("wse",E30)))</formula>
    </cfRule>
    <cfRule type="containsText" dxfId="167" priority="22" operator="containsText" text="k">
      <formula>NOT(ISERROR(SEARCH("k",E30)))</formula>
    </cfRule>
    <cfRule type="containsText" dxfId="166" priority="23" operator="containsText" text="u">
      <formula>NOT(ISERROR(SEARCH("u",E30)))</formula>
    </cfRule>
    <cfRule type="containsText" dxfId="165" priority="24" operator="containsText" text="s">
      <formula>NOT(ISERROR(SEARCH("s",E30)))</formula>
    </cfRule>
    <cfRule type="containsText" dxfId="164" priority="25" operator="containsText" text="d">
      <formula>NOT(ISERROR(SEARCH("d",E30)))</formula>
    </cfRule>
  </conditionalFormatting>
  <conditionalFormatting sqref="E2:AH7 E8:S22 V8:AH25 E23 P23:S23 E24:S29 V26:AE26 V27:AH29">
    <cfRule type="containsText" dxfId="163" priority="100" operator="containsText" text="MOSG">
      <formula>NOT(ISERROR(SEARCH("MOSG",E2)))</formula>
    </cfRule>
  </conditionalFormatting>
  <conditionalFormatting sqref="E2:AI7 O6:S22 E8:S11 V8:AI25 E12:L12 E13:S22 E23 P23:S23 E24:S29 V26:AE26 V27:AI29">
    <cfRule type="containsText" dxfId="161" priority="99" operator="containsText" text="D">
      <formula>NOT(ISERROR(SEARCH("D",E2)))</formula>
    </cfRule>
    <cfRule type="containsText" dxfId="160" priority="98" operator="containsText" text="UW">
      <formula>NOT(ISERROR(SEARCH("UW",E2)))</formula>
    </cfRule>
    <cfRule type="containsText" dxfId="159" priority="97" operator="containsText" text="S">
      <formula>NOT(ISERROR(SEARCH("S",E2)))</formula>
    </cfRule>
    <cfRule type="containsText" dxfId="158" priority="96" operator="containsText" text="L4">
      <formula>NOT(ISERROR(SEARCH("L4",E2)))</formula>
    </cfRule>
  </conditionalFormatting>
  <conditionalFormatting sqref="E2:AI25 E26:AE26 E27:AI29">
    <cfRule type="containsText" dxfId="157" priority="107" operator="containsText" text="sg043">
      <formula>NOT(ISERROR(SEARCH("sg043",E2)))</formula>
    </cfRule>
  </conditionalFormatting>
  <conditionalFormatting sqref="E31:AI31">
    <cfRule type="cellIs" dxfId="156" priority="62" operator="greaterThan">
      <formula>1.5</formula>
    </cfRule>
  </conditionalFormatting>
  <conditionalFormatting sqref="E31:AI32">
    <cfRule type="cellIs" dxfId="155" priority="59" operator="between">
      <formula>0.5</formula>
      <formula>1.5</formula>
    </cfRule>
  </conditionalFormatting>
  <conditionalFormatting sqref="E31:AI33">
    <cfRule type="cellIs" dxfId="154" priority="60" operator="equal">
      <formula>0</formula>
    </cfRule>
  </conditionalFormatting>
  <conditionalFormatting sqref="E32:AI32">
    <cfRule type="cellIs" dxfId="153" priority="63" operator="greaterThan">
      <formula>1.5</formula>
    </cfRule>
  </conditionalFormatting>
  <conditionalFormatting sqref="E33:AI33">
    <cfRule type="cellIs" dxfId="152" priority="64" operator="greaterThan">
      <formula>3.5</formula>
    </cfRule>
  </conditionalFormatting>
  <conditionalFormatting sqref="E48:AI55 E56:AE56 E57:AI64 E65:AE65 E66:AI96 E97:AE97 E98:AI100 E101:AH101">
    <cfRule type="containsText" dxfId="150" priority="88" operator="containsText" text="12g">
      <formula>NOT(ISERROR(SEARCH("12g",E48)))</formula>
    </cfRule>
    <cfRule type="containsText" dxfId="149" priority="92" operator="containsText" text="u">
      <formula>NOT(ISERROR(SEARCH("u",E48)))</formula>
    </cfRule>
    <cfRule type="containsText" dxfId="148" priority="90" operator="containsText" text="wse">
      <formula>NOT(ISERROR(SEARCH("wse",E48)))</formula>
    </cfRule>
    <cfRule type="containsText" dxfId="147" priority="91" operator="containsText" text="k">
      <formula>NOT(ISERROR(SEARCH("k",E48)))</formula>
    </cfRule>
    <cfRule type="containsText" dxfId="146" priority="93" operator="containsText" text="s">
      <formula>NOT(ISERROR(SEARCH("s",E48)))</formula>
    </cfRule>
    <cfRule type="containsText" dxfId="145" priority="94" operator="containsText" text="d">
      <formula>NOT(ISERROR(SEARCH("d",E48)))</formula>
    </cfRule>
    <cfRule type="cellIs" dxfId="144" priority="95" operator="greaterThan">
      <formula>0</formula>
    </cfRule>
    <cfRule type="containsText" dxfId="143" priority="87" operator="containsText" text="l4">
      <formula>NOT(ISERROR(SEARCH("l4",E48)))</formula>
    </cfRule>
  </conditionalFormatting>
  <conditionalFormatting sqref="E102:AI102">
    <cfRule type="cellIs" dxfId="142" priority="69" operator="greaterThan">
      <formula>1.5</formula>
    </cfRule>
  </conditionalFormatting>
  <conditionalFormatting sqref="E102:AI103">
    <cfRule type="cellIs" dxfId="141" priority="66" operator="between">
      <formula>0.5</formula>
      <formula>1.5</formula>
    </cfRule>
  </conditionalFormatting>
  <conditionalFormatting sqref="E102:AI105">
    <cfRule type="cellIs" dxfId="140" priority="67" operator="equal">
      <formula>0</formula>
    </cfRule>
  </conditionalFormatting>
  <conditionalFormatting sqref="E103:AI103">
    <cfRule type="cellIs" dxfId="139" priority="70" operator="greaterThan">
      <formula>1.5</formula>
    </cfRule>
  </conditionalFormatting>
  <conditionalFormatting sqref="E104:AI104">
    <cfRule type="cellIs" dxfId="138" priority="71" operator="greaterThan">
      <formula>3.5</formula>
    </cfRule>
  </conditionalFormatting>
  <conditionalFormatting sqref="E105:AI105">
    <cfRule type="cellIs" dxfId="137" priority="65" operator="greaterThan">
      <formula>3.5</formula>
    </cfRule>
  </conditionalFormatting>
  <conditionalFormatting sqref="E34:AJ34">
    <cfRule type="cellIs" dxfId="136" priority="61" operator="equal">
      <formula>0</formula>
    </cfRule>
    <cfRule type="cellIs" dxfId="135" priority="17" operator="greaterThan">
      <formula>3.5</formula>
    </cfRule>
  </conditionalFormatting>
  <conditionalFormatting sqref="T8:U29">
    <cfRule type="containsText" dxfId="133" priority="102" operator="containsText" text="L4">
      <formula>NOT(ISERROR(SEARCH("L4",T8)))</formula>
    </cfRule>
    <cfRule type="containsText" dxfId="132" priority="103" operator="containsText" text="S">
      <formula>NOT(ISERROR(SEARCH("S",T8)))</formula>
    </cfRule>
    <cfRule type="containsText" dxfId="131" priority="104" operator="containsText" text="UW">
      <formula>NOT(ISERROR(SEARCH("UW",T8)))</formula>
    </cfRule>
    <cfRule type="containsText" dxfId="130" priority="105" operator="containsText" text="D">
      <formula>NOT(ISERROR(SEARCH("D",T8)))</formula>
    </cfRule>
    <cfRule type="containsText" dxfId="129" priority="106" operator="containsText" text="MOSG">
      <formula>NOT(ISERROR(SEARCH("MOSG",T8)))</formula>
    </cfRule>
  </conditionalFormatting>
  <conditionalFormatting sqref="AQ5:AQ14">
    <cfRule type="containsText" dxfId="128" priority="4" operator="containsText" text="wse">
      <formula>NOT(ISERROR(SEARCH("wse",AQ5)))</formula>
    </cfRule>
    <cfRule type="containsText" dxfId="127" priority="5" operator="containsText" text="k">
      <formula>NOT(ISERROR(SEARCH("k",AQ5)))</formula>
    </cfRule>
    <cfRule type="containsText" dxfId="126" priority="6" operator="containsText" text="u">
      <formula>NOT(ISERROR(SEARCH("u",AQ5)))</formula>
    </cfRule>
    <cfRule type="containsText" dxfId="125" priority="7" operator="containsText" text="s">
      <formula>NOT(ISERROR(SEARCH("s",AQ5)))</formula>
    </cfRule>
    <cfRule type="containsText" dxfId="124" priority="8" operator="containsText" text="d">
      <formula>NOT(ISERROR(SEARCH("d",AQ5)))</formula>
    </cfRule>
    <cfRule type="containsText" dxfId="123" priority="2" operator="containsText" text="12g">
      <formula>NOT(ISERROR(SEARCH("12g",AQ5)))</formula>
    </cfRule>
  </conditionalFormatting>
  <conditionalFormatting sqref="AQ15">
    <cfRule type="containsText" dxfId="121" priority="10" operator="containsText" text="12g">
      <formula>NOT(ISERROR(SEARCH("12g",AQ15)))</formula>
    </cfRule>
    <cfRule type="containsText" dxfId="120" priority="16" operator="containsText" text="d">
      <formula>NOT(ISERROR(SEARCH("d",AQ15)))</formula>
    </cfRule>
    <cfRule type="containsText" dxfId="119" priority="15" operator="containsText" text="s">
      <formula>NOT(ISERROR(SEARCH("s",AQ15)))</formula>
    </cfRule>
    <cfRule type="containsText" dxfId="118" priority="14" operator="containsText" text="u">
      <formula>NOT(ISERROR(SEARCH("u",AQ15)))</formula>
    </cfRule>
    <cfRule type="containsText" dxfId="117" priority="13" operator="containsText" text="k">
      <formula>NOT(ISERROR(SEARCH("k",AQ15)))</formula>
    </cfRule>
    <cfRule type="containsText" dxfId="116" priority="12" operator="containsText" text="wse">
      <formula>NOT(ISERROR(SEARCH("wse",AQ15)))</formula>
    </cfRule>
    <cfRule type="containsText" dxfId="114" priority="9" operator="containsText" text="l4">
      <formula>NOT(ISERROR(SEARCH("l4",AQ15)))</formula>
    </cfRule>
  </conditionalFormatting>
  <pageMargins left="0.39374999999999999" right="0" top="0" bottom="0" header="0.51180555555555496" footer="0.51180555555555496"/>
  <pageSetup paperSize="9" orientation="landscape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" operator="containsText" id="{4C309472-3917-4C66-8739-DCABE0BF4770}">
            <xm:f>NOT(ISERROR(SEARCH("-",E30)))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E30:AF30</xm:sqref>
        </x14:conditionalFormatting>
        <x14:conditionalFormatting xmlns:xm="http://schemas.microsoft.com/office/excel/2006/main">
          <x14:cfRule type="containsText" priority="108" operator="containsText" id="{7ABDDA50-CE51-4958-A2C0-D2D5BB5B5640}">
            <xm:f>NOT(ISERROR(SEARCH("-",E2)))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E2:AH7 O6:S22 E8:S11 V8:AH25 E12:L12 E13:S22 E23 P23:S23 E24:S29 V26:AE26 V27:AH29</xm:sqref>
        </x14:conditionalFormatting>
        <x14:conditionalFormatting xmlns:xm="http://schemas.microsoft.com/office/excel/2006/main">
          <x14:cfRule type="containsText" priority="89" operator="containsText" id="{A57A8D30-763C-4166-BA4A-CCDEFAAACCF5}">
            <xm:f>NOT(ISERROR(SEARCH("-",E48)))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E48:AI55 E56:AE56 E57:AI64 E65:AE65 E66:AI96 E97:AE97 E98:AI100 E101:AH101</xm:sqref>
        </x14:conditionalFormatting>
        <x14:conditionalFormatting xmlns:xm="http://schemas.microsoft.com/office/excel/2006/main">
          <x14:cfRule type="containsText" priority="101" operator="containsText" id="{D6E7E989-BA89-45A2-A412-FEB9D0309921}">
            <xm:f>NOT(ISERROR(SEARCH("-",T8)))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T8:U29</xm:sqref>
        </x14:conditionalFormatting>
        <x14:conditionalFormatting xmlns:xm="http://schemas.microsoft.com/office/excel/2006/main">
          <x14:cfRule type="containsText" priority="3" operator="containsText" id="{BEC8BDEE-7ECC-4C19-B26B-479BF500A2AF}">
            <xm:f>NOT(ISERROR(SEARCH("-",AQ5)))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AQ5:AQ14</xm:sqref>
        </x14:conditionalFormatting>
        <x14:conditionalFormatting xmlns:xm="http://schemas.microsoft.com/office/excel/2006/main">
          <x14:cfRule type="containsText" priority="11" operator="containsText" id="{AB471FC9-9710-442C-8E23-FAB78468BFE4}">
            <xm:f>NOT(ISERROR(SEARCH("-",AQ15)))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AQ15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34"/>
  <sheetViews>
    <sheetView topLeftCell="A15" zoomScaleNormal="100" workbookViewId="0">
      <selection activeCell="A19" sqref="A19"/>
    </sheetView>
  </sheetViews>
  <sheetFormatPr defaultColWidth="8.69140625" defaultRowHeight="14.6"/>
  <cols>
    <col min="1" max="1" width="3.84375" style="176" customWidth="1"/>
    <col min="2" max="2" width="6" style="177" customWidth="1"/>
    <col min="3" max="3" width="28.84375" style="178" customWidth="1"/>
    <col min="4" max="4" width="23.84375" customWidth="1"/>
    <col min="5" max="5" width="24.53515625" customWidth="1"/>
    <col min="7" max="7" width="20.3046875" customWidth="1"/>
    <col min="8" max="8" width="4" customWidth="1"/>
    <col min="9" max="9" width="20.3046875" customWidth="1"/>
    <col min="10" max="11" width="4" customWidth="1"/>
    <col min="12" max="12" width="20.3046875" customWidth="1"/>
    <col min="13" max="13" width="4" customWidth="1"/>
    <col min="14" max="14" width="20.3046875" customWidth="1"/>
  </cols>
  <sheetData>
    <row r="1" spans="1:14" ht="30.9">
      <c r="B1" s="686" t="s">
        <v>433</v>
      </c>
      <c r="C1" s="686"/>
      <c r="D1" s="686"/>
      <c r="E1" s="686"/>
      <c r="G1" s="694" t="s">
        <v>275</v>
      </c>
      <c r="H1" s="694"/>
      <c r="I1" s="694"/>
      <c r="J1" s="694"/>
      <c r="K1" s="694"/>
      <c r="L1" s="694"/>
      <c r="M1" s="694"/>
      <c r="N1" s="694"/>
    </row>
    <row r="2" spans="1:14" ht="28.3">
      <c r="A2" s="687" t="s">
        <v>178</v>
      </c>
      <c r="B2" s="687"/>
      <c r="C2" s="687"/>
      <c r="D2" s="687"/>
      <c r="E2" s="687"/>
      <c r="G2" s="695" t="s">
        <v>221</v>
      </c>
      <c r="H2" s="695"/>
      <c r="I2" s="695"/>
      <c r="J2" s="234"/>
      <c r="K2" s="235"/>
      <c r="L2" s="696" t="s">
        <v>222</v>
      </c>
      <c r="M2" s="696"/>
      <c r="N2" s="696"/>
    </row>
    <row r="3" spans="1:14" ht="23.15">
      <c r="A3" s="688">
        <v>44470</v>
      </c>
      <c r="B3" s="688"/>
      <c r="C3" s="180" t="s">
        <v>179</v>
      </c>
      <c r="D3" s="181" t="s">
        <v>180</v>
      </c>
      <c r="E3" s="181" t="s">
        <v>180</v>
      </c>
      <c r="G3" s="28"/>
      <c r="J3" s="29"/>
      <c r="K3" s="28"/>
      <c r="N3" s="29"/>
    </row>
    <row r="4" spans="1:14" ht="19.3">
      <c r="A4" s="374">
        <v>1</v>
      </c>
      <c r="B4" s="190" t="s">
        <v>339</v>
      </c>
      <c r="C4" s="191" t="str">
        <f>VLOOKUP("D",PAŹDZIERNIK!$E$2:$AJ$32,32,0)</f>
        <v>F-sz 027</v>
      </c>
      <c r="D4" s="237"/>
      <c r="E4" s="237"/>
      <c r="G4" s="238" t="str">
        <f>PAŹDZIERNIK!E36</f>
        <v>ŚWIREPO</v>
      </c>
      <c r="I4" s="238" t="str">
        <f>PAŹDZIERNIK!H36</f>
        <v>KALITA</v>
      </c>
      <c r="J4" s="29"/>
      <c r="K4" s="28"/>
      <c r="L4" s="238"/>
      <c r="N4" s="238"/>
    </row>
    <row r="5" spans="1:14" ht="19.3">
      <c r="A5" s="186">
        <v>2</v>
      </c>
      <c r="B5" s="183" t="s">
        <v>340</v>
      </c>
      <c r="C5" s="184" t="str">
        <f>VLOOKUP("D",PAŹDZIERNIK!F$2:$AJ$31,31,0)</f>
        <v>F-sz 024</v>
      </c>
      <c r="D5" s="187"/>
      <c r="E5" s="188"/>
      <c r="G5" s="238" t="str">
        <f>PAŹDZIERNIK!E37</f>
        <v>GĘBALA</v>
      </c>
      <c r="I5" s="238" t="str">
        <f>PAŹDZIERNIK!H37</f>
        <v>ZATWARNICKA</v>
      </c>
      <c r="J5" s="29"/>
      <c r="K5" s="28"/>
      <c r="L5" s="309"/>
      <c r="N5" s="310"/>
    </row>
    <row r="6" spans="1:14" ht="21.75" customHeight="1">
      <c r="A6" s="186">
        <v>3</v>
      </c>
      <c r="B6" s="183" t="s">
        <v>341</v>
      </c>
      <c r="C6" s="184" t="str">
        <f>VLOOKUP("D",PAŹDZIERNIK!G$2:$AJ$29,30,0)</f>
        <v>F-sz 028</v>
      </c>
      <c r="D6" s="188"/>
      <c r="E6" s="188"/>
      <c r="G6" s="238" t="str">
        <f>PAŹDZIERNIK!E38</f>
        <v>ŁUKACZ</v>
      </c>
      <c r="I6" s="238" t="str">
        <f>PAŹDZIERNIK!H38</f>
        <v>SUSZEK</v>
      </c>
      <c r="J6" s="29"/>
      <c r="K6" s="28"/>
      <c r="L6" s="309"/>
      <c r="N6" s="310"/>
    </row>
    <row r="7" spans="1:14" ht="21.75" customHeight="1">
      <c r="A7" s="189">
        <v>4</v>
      </c>
      <c r="B7" s="190" t="s">
        <v>342</v>
      </c>
      <c r="C7" s="191" t="str">
        <f>VLOOKUP("D",PAŹDZIERNIK!H$2:$AJ$30,29,0)</f>
        <v>F-sz 015</v>
      </c>
      <c r="D7" s="192"/>
      <c r="E7" s="192"/>
      <c r="G7" s="238" t="str">
        <f>PAŹDZIERNIK!E39</f>
        <v>Młyński</v>
      </c>
      <c r="I7" s="238" t="str">
        <f>PAŹDZIERNIK!H39</f>
        <v>CHYŁA</v>
      </c>
      <c r="J7" s="29"/>
      <c r="K7" s="28"/>
      <c r="L7" s="309"/>
      <c r="N7" s="310"/>
    </row>
    <row r="8" spans="1:14" ht="21.75" customHeight="1">
      <c r="A8" s="189">
        <v>5</v>
      </c>
      <c r="B8" s="190" t="s">
        <v>343</v>
      </c>
      <c r="C8" s="191" t="str">
        <f>VLOOKUP("D",PAŹDZIERNIK!I$2:$AJ$30,28,0)</f>
        <v>F-sz 024</v>
      </c>
      <c r="D8" s="192"/>
      <c r="E8" s="192"/>
      <c r="G8" s="307"/>
      <c r="I8" s="308"/>
      <c r="J8" s="29"/>
      <c r="K8" s="28"/>
      <c r="L8" s="309"/>
      <c r="N8" s="310"/>
    </row>
    <row r="9" spans="1:14" ht="21.75" customHeight="1">
      <c r="A9" s="189">
        <v>6</v>
      </c>
      <c r="B9" s="190" t="s">
        <v>344</v>
      </c>
      <c r="C9" s="191" t="str">
        <f>VLOOKUP("D",PAŹDZIERNIK!J$2:$AJ$30,27,0)</f>
        <v>F-sz 020</v>
      </c>
      <c r="D9" s="192"/>
      <c r="E9" s="192"/>
      <c r="G9" s="28"/>
      <c r="J9" s="29"/>
      <c r="K9" s="28"/>
      <c r="N9" s="29"/>
    </row>
    <row r="10" spans="1:14" ht="21.75" customHeight="1">
      <c r="A10" s="189">
        <v>7</v>
      </c>
      <c r="B10" s="190" t="s">
        <v>338</v>
      </c>
      <c r="C10" s="191" t="str">
        <f>VLOOKUP("D",PAŹDZIERNIK!K$2:$AJ$30,26,0)</f>
        <v>F-sz 018</v>
      </c>
      <c r="D10" s="192"/>
      <c r="E10" s="192"/>
      <c r="G10" s="249" t="str">
        <f>PAŹDZIERNIK!L36</f>
        <v>KALITA</v>
      </c>
      <c r="I10" s="249" t="str">
        <f>PAŹDZIERNIK!O36</f>
        <v>Borzęck</v>
      </c>
      <c r="J10" s="29"/>
      <c r="K10" s="28"/>
      <c r="L10" s="249"/>
      <c r="N10" s="249"/>
    </row>
    <row r="11" spans="1:14" ht="21.75" customHeight="1">
      <c r="A11" s="189">
        <v>8</v>
      </c>
      <c r="B11" s="190" t="s">
        <v>339</v>
      </c>
      <c r="C11" s="191" t="str">
        <f>VLOOKUP("D",PAŹDZIERNIK!L$2:$AJ$30,25,0)</f>
        <v>F-sz 013</v>
      </c>
      <c r="D11" s="193"/>
      <c r="E11" s="192"/>
      <c r="G11" s="249" t="str">
        <f>PAŹDZIERNIK!L37</f>
        <v>ZAJĄC</v>
      </c>
      <c r="I11" s="249" t="str">
        <f>PAŹDZIERNIK!O37</f>
        <v>Nowicki</v>
      </c>
      <c r="J11" s="29"/>
      <c r="K11" s="28"/>
      <c r="L11" s="310"/>
      <c r="N11" s="310"/>
    </row>
    <row r="12" spans="1:14" ht="21.75" customHeight="1">
      <c r="A12" s="186">
        <v>9</v>
      </c>
      <c r="B12" s="183" t="s">
        <v>340</v>
      </c>
      <c r="C12" s="184" t="str">
        <f>VLOOKUP("D",PAŹDZIERNIK!M$2:$AJ$30,24,0)</f>
        <v>F-sz 005</v>
      </c>
      <c r="D12" s="188"/>
      <c r="E12" s="188"/>
      <c r="G12" s="249" t="str">
        <f>PAŹDZIERNIK!L38</f>
        <v>suszek</v>
      </c>
      <c r="I12" s="249" t="str">
        <f>PAŹDZIERNIK!O38</f>
        <v>WITWICKI</v>
      </c>
      <c r="J12" s="29"/>
      <c r="K12" s="28"/>
      <c r="L12" s="310"/>
      <c r="N12" s="310"/>
    </row>
    <row r="13" spans="1:14" ht="21.75" customHeight="1">
      <c r="A13" s="186">
        <v>10</v>
      </c>
      <c r="B13" s="183" t="s">
        <v>341</v>
      </c>
      <c r="C13" s="184" t="str">
        <f>VLOOKUP("D",PAŹDZIERNIK!N$2:$AJ$30,23,0)</f>
        <v>F-sz 024</v>
      </c>
      <c r="D13" s="188"/>
      <c r="E13" s="188"/>
      <c r="G13" s="249" t="str">
        <f>PAŹDZIERNIK!L39</f>
        <v>CHYŁA</v>
      </c>
      <c r="I13" s="249" t="str">
        <f>PAŹDZIERNIK!O39</f>
        <v>SAJDAK</v>
      </c>
      <c r="J13" s="29"/>
      <c r="K13" s="28"/>
      <c r="L13" s="310"/>
      <c r="N13" s="310"/>
    </row>
    <row r="14" spans="1:14" ht="21.75" customHeight="1">
      <c r="A14" s="189">
        <v>11</v>
      </c>
      <c r="B14" s="190" t="s">
        <v>342</v>
      </c>
      <c r="C14" s="191" t="str">
        <f>VLOOKUP("D",PAŹDZIERNIK!O$2:$AJ$30,22,0)</f>
        <v>F-sz 014</v>
      </c>
      <c r="D14" s="192"/>
      <c r="E14" s="192"/>
      <c r="G14" s="249">
        <f>PAŹDZIERNIK!L40</f>
        <v>0</v>
      </c>
      <c r="I14" s="308"/>
      <c r="J14" s="29"/>
      <c r="K14" s="28"/>
      <c r="L14" s="310"/>
      <c r="N14" s="310"/>
    </row>
    <row r="15" spans="1:14" ht="21.75" customHeight="1">
      <c r="A15" s="189">
        <v>12</v>
      </c>
      <c r="B15" s="190" t="s">
        <v>343</v>
      </c>
      <c r="C15" s="191" t="str">
        <f>VLOOKUP("D",PAŹDZIERNIK!P$2:$AJ$30,21,0)</f>
        <v>F-sz 002</v>
      </c>
      <c r="D15" s="192"/>
      <c r="E15" s="192"/>
      <c r="G15" s="28"/>
      <c r="J15" s="29"/>
      <c r="K15" s="28"/>
      <c r="N15" s="29"/>
    </row>
    <row r="16" spans="1:14" ht="21.75" customHeight="1">
      <c r="A16" s="189">
        <v>13</v>
      </c>
      <c r="B16" s="190" t="s">
        <v>344</v>
      </c>
      <c r="C16" s="191" t="str">
        <f>VLOOKUP("D",PAŹDZIERNIK!Q$2:$AJ$30,20,0)</f>
        <v>F-sz 024</v>
      </c>
      <c r="D16" s="192"/>
      <c r="E16" s="192"/>
      <c r="G16" s="249" t="str">
        <f>PAŹDZIERNIK!S36</f>
        <v>SZCZEPANIAK</v>
      </c>
      <c r="I16" s="249" t="str">
        <f>PAŹDZIERNIK!V36</f>
        <v>grzegorczyk</v>
      </c>
      <c r="J16" s="29"/>
      <c r="K16" s="28"/>
      <c r="L16" s="249"/>
      <c r="N16" s="249"/>
    </row>
    <row r="17" spans="1:14" ht="21.75" customHeight="1">
      <c r="A17" s="189">
        <v>14</v>
      </c>
      <c r="B17" s="190" t="s">
        <v>338</v>
      </c>
      <c r="C17" s="191" t="str">
        <f>VLOOKUP("D",PAŹDZIERNIK!R$2:$AJ$30,19,0)</f>
        <v>F-sz 011</v>
      </c>
      <c r="D17" s="192"/>
      <c r="E17" s="192"/>
      <c r="G17" s="249" t="str">
        <f>PAŹDZIERNIK!S37</f>
        <v>WALKOWIAK</v>
      </c>
      <c r="I17" s="249" t="str">
        <f>PAŹDZIERNIK!V37</f>
        <v>ZAJĄC</v>
      </c>
      <c r="J17" s="29"/>
      <c r="K17" s="28"/>
      <c r="L17" s="309"/>
      <c r="N17" s="309"/>
    </row>
    <row r="18" spans="1:14" ht="21.75" customHeight="1">
      <c r="A18" s="189">
        <v>15</v>
      </c>
      <c r="B18" s="190" t="s">
        <v>339</v>
      </c>
      <c r="C18" s="191" t="str">
        <f>VLOOKUP("D",PAŹDZIERNIK!S$2:$AJ$30,18,0)</f>
        <v>F-sz 015</v>
      </c>
      <c r="D18" s="192"/>
      <c r="E18" s="192"/>
      <c r="G18" s="249" t="str">
        <f>PAŹDZIERNIK!S38</f>
        <v>WITWICKI</v>
      </c>
      <c r="I18" s="249" t="str">
        <f>PAŹDZIERNIK!V38</f>
        <v>PAWŁOWSKI</v>
      </c>
      <c r="J18" s="29"/>
      <c r="K18" s="28"/>
      <c r="L18" s="309"/>
      <c r="N18" s="309"/>
    </row>
    <row r="19" spans="1:14" ht="21.75" customHeight="1">
      <c r="A19" s="186">
        <v>16</v>
      </c>
      <c r="B19" s="183" t="s">
        <v>340</v>
      </c>
      <c r="C19" s="184" t="str">
        <f>VLOOKUP("D",PAŹDZIERNIK!T$2:$AJ$30,17,0)</f>
        <v>F-sz 024</v>
      </c>
      <c r="D19" s="188"/>
      <c r="E19" s="188"/>
      <c r="G19" s="249" t="str">
        <f>PAŹDZIERNIK!S39</f>
        <v>Bukowski</v>
      </c>
      <c r="I19" s="249" t="str">
        <f>PAŹDZIERNIK!V39</f>
        <v>PRYCA</v>
      </c>
      <c r="J19" s="29"/>
      <c r="K19" s="28"/>
      <c r="L19" s="309"/>
      <c r="N19" s="309"/>
    </row>
    <row r="20" spans="1:14" ht="21.75" customHeight="1">
      <c r="A20" s="186">
        <v>17</v>
      </c>
      <c r="B20" s="183" t="s">
        <v>341</v>
      </c>
      <c r="C20" s="184" t="str">
        <f>VLOOKUP("D",PAŹDZIERNIK!U$2:$AJ$30,16,0)</f>
        <v>F-sz 010</v>
      </c>
      <c r="D20" s="188"/>
      <c r="E20" s="188"/>
      <c r="G20" s="307"/>
      <c r="I20" s="308"/>
      <c r="J20" s="29"/>
      <c r="K20" s="28"/>
      <c r="L20" s="309"/>
      <c r="N20" s="309"/>
    </row>
    <row r="21" spans="1:14" ht="21.75" customHeight="1">
      <c r="A21" s="189">
        <v>18</v>
      </c>
      <c r="B21" s="190" t="s">
        <v>342</v>
      </c>
      <c r="C21" s="191" t="str">
        <f>VLOOKUP("D",PAŹDZIERNIK!V$2:$AJ$30,15,0)</f>
        <v>F-sz 018</v>
      </c>
      <c r="D21" s="192"/>
      <c r="E21" s="192"/>
      <c r="G21" s="28"/>
      <c r="J21" s="29"/>
      <c r="K21" s="28"/>
      <c r="N21" s="29"/>
    </row>
    <row r="22" spans="1:14" ht="21.75" customHeight="1">
      <c r="A22" s="189">
        <v>19</v>
      </c>
      <c r="B22" s="190" t="s">
        <v>343</v>
      </c>
      <c r="C22" s="191" t="str">
        <f>VLOOKUP("D",PAŹDZIERNIK!W$2:$AJ$30,14,0)</f>
        <v>F-sz 024</v>
      </c>
      <c r="D22" s="192"/>
      <c r="E22" s="192"/>
      <c r="G22" s="249" t="str">
        <f>PAŹDZIERNIK!Z36</f>
        <v>grzegorczyk</v>
      </c>
      <c r="I22" s="249" t="str">
        <f>PAŹDZIERNIK!AC36</f>
        <v>GRZESIAK</v>
      </c>
      <c r="J22" s="29"/>
      <c r="K22" s="28"/>
      <c r="L22" s="249"/>
      <c r="N22" s="249"/>
    </row>
    <row r="23" spans="1:14" ht="21.75" customHeight="1">
      <c r="A23" s="189">
        <v>20</v>
      </c>
      <c r="B23" s="190" t="s">
        <v>344</v>
      </c>
      <c r="C23" s="191" t="str">
        <f>VLOOKUP("D",PAŹDZIERNIK!X$2:$AJ$30,13,0)</f>
        <v>F-sz 021</v>
      </c>
      <c r="D23" s="192"/>
      <c r="E23" s="192"/>
      <c r="G23" s="249" t="str">
        <f>PAŹDZIERNIK!Z37</f>
        <v>MOSKALONEK</v>
      </c>
      <c r="I23" s="249" t="str">
        <f>PAŹDZIERNIK!AC37</f>
        <v>PALUCH</v>
      </c>
      <c r="J23" s="29"/>
      <c r="K23" s="28"/>
      <c r="L23" s="309"/>
      <c r="N23" s="310"/>
    </row>
    <row r="24" spans="1:14" ht="21.75" customHeight="1">
      <c r="A24" s="189">
        <v>21</v>
      </c>
      <c r="B24" s="190" t="s">
        <v>338</v>
      </c>
      <c r="C24" s="191" t="str">
        <f>VLOOKUP("D",PAŹDZIERNIK!Y$2:$AJ$30,12,0)</f>
        <v>F-sz 011</v>
      </c>
      <c r="D24" s="192"/>
      <c r="E24" s="192"/>
      <c r="G24" s="249" t="str">
        <f>PAŹDZIERNIK!Z38</f>
        <v>ŁUSZCZYŃSKI</v>
      </c>
      <c r="I24" s="249" t="str">
        <f>PAŹDZIERNIK!AC38</f>
        <v>MIZGIER</v>
      </c>
      <c r="J24" s="29"/>
      <c r="K24" s="28"/>
      <c r="L24" s="309"/>
      <c r="N24" s="310"/>
    </row>
    <row r="25" spans="1:14" ht="21.75" customHeight="1">
      <c r="A25" s="189">
        <v>22</v>
      </c>
      <c r="B25" s="190" t="s">
        <v>339</v>
      </c>
      <c r="C25" s="191" t="str">
        <f>VLOOKUP("D",PAŹDZIERNIK!Z$2:$AJ$30,11,0)</f>
        <v>F-sz 018</v>
      </c>
      <c r="D25" s="192"/>
      <c r="E25" s="192"/>
      <c r="G25" s="249" t="str">
        <f>PAŹDZIERNIK!Z39</f>
        <v>DRGAS</v>
      </c>
      <c r="I25" s="249" t="str">
        <f>PAŹDZIERNIK!AC39</f>
        <v>Stranc</v>
      </c>
      <c r="J25" s="29"/>
      <c r="K25" s="28"/>
      <c r="L25" s="309"/>
      <c r="N25" s="310"/>
    </row>
    <row r="26" spans="1:14" ht="21.75" customHeight="1">
      <c r="A26" s="186">
        <v>23</v>
      </c>
      <c r="B26" s="183" t="s">
        <v>340</v>
      </c>
      <c r="C26" s="184" t="str">
        <f>VLOOKUP("D",PAŹDZIERNIK!AA$2:$AJ$30,10,0)</f>
        <v>F-sz 016</v>
      </c>
      <c r="D26" s="188"/>
      <c r="E26" s="188"/>
      <c r="G26" s="307"/>
      <c r="H26" s="319"/>
      <c r="I26" s="308"/>
      <c r="J26" s="320"/>
      <c r="K26" s="321"/>
      <c r="L26" s="309"/>
      <c r="M26" s="319"/>
      <c r="N26" s="310"/>
    </row>
    <row r="27" spans="1:14" ht="21.75" customHeight="1">
      <c r="A27" s="186">
        <v>24</v>
      </c>
      <c r="B27" s="183" t="s">
        <v>341</v>
      </c>
      <c r="C27" s="184" t="str">
        <f>VLOOKUP("D",PAŹDZIERNIK!AB$2:$AJ$29,9,0)</f>
        <v>F-sz 024</v>
      </c>
      <c r="D27" s="188"/>
      <c r="E27" s="188"/>
      <c r="G27" s="322"/>
      <c r="H27" s="323"/>
      <c r="I27" s="323"/>
      <c r="J27" s="324"/>
      <c r="K27" s="322"/>
      <c r="L27" s="323"/>
      <c r="M27" s="323"/>
      <c r="N27" s="324"/>
    </row>
    <row r="28" spans="1:14" ht="21.75" customHeight="1">
      <c r="A28" s="189">
        <v>25</v>
      </c>
      <c r="B28" s="190" t="s">
        <v>342</v>
      </c>
      <c r="C28" s="191" t="str">
        <f>VLOOKUP("D",PAŹDZIERNIK!AC$2:$AJ$30,8,0)</f>
        <v>F-sz 011</v>
      </c>
      <c r="D28" s="192"/>
      <c r="E28" s="192"/>
      <c r="G28" s="249" t="str">
        <f>PAŹDZIERNIK!AG36</f>
        <v>KALITA</v>
      </c>
      <c r="I28" s="325"/>
      <c r="J28" s="29"/>
      <c r="K28" s="28"/>
      <c r="L28" s="249"/>
      <c r="N28" s="326"/>
    </row>
    <row r="29" spans="1:14" ht="21.75" customHeight="1">
      <c r="A29" s="189">
        <v>26</v>
      </c>
      <c r="B29" s="190" t="s">
        <v>343</v>
      </c>
      <c r="C29" s="191" t="str">
        <f>VLOOKUP("D",PAŹDZIERNIK!AD$2:$AJ$30,7,0)</f>
        <v>F-sz 001</v>
      </c>
      <c r="D29" s="192"/>
      <c r="E29" s="192"/>
      <c r="G29" s="249" t="str">
        <f>PAŹDZIERNIK!AG37</f>
        <v>SZYMAŃSKI</v>
      </c>
      <c r="I29" s="121"/>
      <c r="J29" s="29"/>
      <c r="K29" s="28"/>
      <c r="L29" s="309"/>
      <c r="N29" s="327"/>
    </row>
    <row r="30" spans="1:14" ht="21.75" customHeight="1">
      <c r="A30" s="189">
        <v>27</v>
      </c>
      <c r="B30" s="190" t="s">
        <v>344</v>
      </c>
      <c r="C30" s="191" t="str">
        <f>VLOOKUP("D",PAŹDZIERNIK!AE$2:$AJ$30,6,0)</f>
        <v>F-sz 027</v>
      </c>
      <c r="D30" s="192"/>
      <c r="E30" s="192"/>
      <c r="G30" s="249" t="str">
        <f>PAŹDZIERNIK!AG38</f>
        <v>MIZGIER</v>
      </c>
      <c r="J30" s="29"/>
      <c r="K30" s="28"/>
      <c r="L30" s="328"/>
      <c r="N30" s="29"/>
    </row>
    <row r="31" spans="1:14" ht="21.75" customHeight="1">
      <c r="A31" s="189">
        <v>28</v>
      </c>
      <c r="B31" s="190" t="s">
        <v>338</v>
      </c>
      <c r="C31" s="191" t="str">
        <f>VLOOKUP("D",PAŹDZIERNIK!AF$2:$AJ$30,5,0)</f>
        <v>F-sz 011</v>
      </c>
      <c r="D31" s="192"/>
      <c r="E31" s="192"/>
      <c r="G31" s="249" t="str">
        <f>PAŹDZIERNIK!AG39</f>
        <v>BUKOWSKI</v>
      </c>
      <c r="J31" s="29"/>
      <c r="K31" s="28"/>
      <c r="L31" s="329"/>
      <c r="N31" s="29"/>
    </row>
    <row r="32" spans="1:14" ht="21.75" customHeight="1">
      <c r="A32" s="189">
        <v>29</v>
      </c>
      <c r="B32" s="190" t="s">
        <v>339</v>
      </c>
      <c r="C32" s="191" t="str">
        <f>VLOOKUP("D",PAŹDZIERNIK!AG$2:$AJ$30,4,0)</f>
        <v>F-sz 005</v>
      </c>
      <c r="D32" s="192"/>
      <c r="E32" s="192"/>
      <c r="G32" s="330"/>
      <c r="H32" s="319"/>
      <c r="I32" s="319"/>
      <c r="J32" s="320"/>
      <c r="K32" s="321"/>
      <c r="L32" s="330"/>
      <c r="M32" s="319"/>
      <c r="N32" s="320"/>
    </row>
    <row r="33" spans="1:5" ht="21.75" customHeight="1">
      <c r="A33" s="186">
        <v>30</v>
      </c>
      <c r="B33" s="183" t="s">
        <v>340</v>
      </c>
      <c r="C33" s="184" t="str">
        <f>VLOOKUP("D",PAŹDZIERNIK!AH$2:$AJ$30,3,0)</f>
        <v>F-sz 026</v>
      </c>
      <c r="D33" s="188"/>
      <c r="E33" s="188"/>
    </row>
    <row r="34" spans="1:5" ht="19.5" customHeight="1">
      <c r="A34" s="186">
        <v>31</v>
      </c>
      <c r="B34" s="183" t="s">
        <v>341</v>
      </c>
      <c r="C34" s="184" t="e">
        <f>VLOOKUP("D",PAŹDZIERNIK!AI$2:$AJ$30,2,0)</f>
        <v>#N/A</v>
      </c>
      <c r="D34" s="194"/>
      <c r="E34" s="194"/>
    </row>
  </sheetData>
  <mergeCells count="6">
    <mergeCell ref="A3:B3"/>
    <mergeCell ref="B1:E1"/>
    <mergeCell ref="G1:N1"/>
    <mergeCell ref="A2:E2"/>
    <mergeCell ref="G2:I2"/>
    <mergeCell ref="L2:N2"/>
  </mergeCells>
  <pageMargins left="0.23611111111111099" right="0.23611111111111099" top="0.15763888888888899" bottom="0.15763888888888899" header="0.51180555555555496" footer="0.51180555555555496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zoomScale="80" zoomScaleNormal="80" workbookViewId="0">
      <selection activeCell="A19" sqref="A19"/>
    </sheetView>
  </sheetViews>
  <sheetFormatPr defaultColWidth="8.69140625" defaultRowHeight="14.6"/>
  <cols>
    <col min="1" max="2" width="5.4609375" customWidth="1"/>
    <col min="3" max="3" width="34.4609375" customWidth="1"/>
    <col min="4" max="4" width="39.4609375" customWidth="1"/>
    <col min="5" max="5" width="24.15234375" customWidth="1"/>
  </cols>
  <sheetData>
    <row r="1" spans="1:5" ht="27.75" customHeight="1">
      <c r="A1" s="786" t="s">
        <v>434</v>
      </c>
      <c r="B1" s="786"/>
      <c r="C1" s="787" t="s">
        <v>178</v>
      </c>
      <c r="D1" s="787"/>
      <c r="E1" s="787"/>
    </row>
    <row r="2" spans="1:5" ht="21.75" customHeight="1">
      <c r="A2" s="788">
        <v>44470</v>
      </c>
      <c r="B2" s="788"/>
      <c r="C2" s="180" t="s">
        <v>179</v>
      </c>
      <c r="D2" s="181" t="s">
        <v>180</v>
      </c>
      <c r="E2" s="181" t="s">
        <v>180</v>
      </c>
    </row>
    <row r="3" spans="1:5" ht="21.75" customHeight="1">
      <c r="A3" s="484">
        <v>1</v>
      </c>
      <c r="B3" s="485" t="s">
        <v>339</v>
      </c>
      <c r="C3" s="486" t="str">
        <f>VLOOKUP("D",PAŹDZIERNIK!$E$30:$AJ$101,32,0)</f>
        <v>ŚLIWIŃSKI Krzysztof</v>
      </c>
      <c r="D3" s="486" t="str">
        <f>VLOOKUP("w",PAŹDZIERNIK!$E$30:$AJ$101,32,0)</f>
        <v>JACUŃSKI Andrzej</v>
      </c>
      <c r="E3" s="313"/>
    </row>
    <row r="4" spans="1:5" ht="21.75" customHeight="1">
      <c r="A4" s="487">
        <v>2</v>
      </c>
      <c r="B4" s="485" t="s">
        <v>340</v>
      </c>
      <c r="C4" s="486" t="str">
        <f>VLOOKUP("D",PAŹDZIERNIK!$F$30:$AJ$101,31,0)</f>
        <v>CHĘCIŃSKI Piotr</v>
      </c>
      <c r="D4" s="486" t="str">
        <f>VLOOKUP("w",PAŹDZIERNIK!$F$30:$AJ$101,31,0)</f>
        <v>ŁUSZCZYŃSKI Jordan</v>
      </c>
      <c r="E4" s="315"/>
    </row>
    <row r="5" spans="1:5" ht="21.75" customHeight="1">
      <c r="A5" s="487">
        <v>3</v>
      </c>
      <c r="B5" s="485" t="s">
        <v>341</v>
      </c>
      <c r="C5" s="486" t="str">
        <f>VLOOKUP("D",PAŹDZIERNIK!$G$30:$AJ$101,30,0)</f>
        <v>PAWLAK Maciej Tomasz</v>
      </c>
      <c r="D5" s="486" t="str">
        <f>VLOOKUP("w",PAŹDZIERNIK!$G$30:$AJ$101,30,0)</f>
        <v>KRZYSZTOFIAK Dariusz</v>
      </c>
      <c r="E5" s="315"/>
    </row>
    <row r="6" spans="1:5" ht="21.75" customHeight="1">
      <c r="A6" s="487">
        <v>4</v>
      </c>
      <c r="B6" s="485" t="s">
        <v>342</v>
      </c>
      <c r="C6" s="486" t="str">
        <f>VLOOKUP("D",PAŹDZIERNIK!$H$30:$AJ$101,29,0)</f>
        <v>KRZYSZTOFIAK Zbigniew</v>
      </c>
      <c r="D6" s="486" t="str">
        <f>VLOOKUP("w",PAŹDZIERNIK!$H$30:$AJ$101,29,0)</f>
        <v>WITCZAK Milena</v>
      </c>
      <c r="E6" s="315"/>
    </row>
    <row r="7" spans="1:5" ht="21.75" customHeight="1">
      <c r="A7" s="487">
        <v>5</v>
      </c>
      <c r="B7" s="485" t="s">
        <v>343</v>
      </c>
      <c r="C7" s="486" t="str">
        <f>VLOOKUP("D",PAŹDZIERNIK!$I$30:$AJ$101,28,0)</f>
        <v>GRABIŃSKI Marcin</v>
      </c>
      <c r="D7" s="486" t="str">
        <f>VLOOKUP("w",PAŹDZIERNIK!$I$30:$AJ$101,28,0)</f>
        <v>PAWŁOWSKI Piotr</v>
      </c>
      <c r="E7" s="315"/>
    </row>
    <row r="8" spans="1:5" ht="21.75" customHeight="1">
      <c r="A8" s="487">
        <v>6</v>
      </c>
      <c r="B8" s="485" t="s">
        <v>344</v>
      </c>
      <c r="C8" s="486" t="str">
        <f>VLOOKUP("D",PAŹDZIERNIK!$J$30:$AJ$101,27,0)</f>
        <v>REIMANN Daniel</v>
      </c>
      <c r="D8" s="486" t="str">
        <f>VLOOKUP("w",PAŹDZIERNIK!$J$30:$AJ$101,27,0)</f>
        <v>ORZECHOWSKI Bartosz</v>
      </c>
      <c r="E8" s="315"/>
    </row>
    <row r="9" spans="1:5" ht="21.75" customHeight="1">
      <c r="A9" s="487">
        <v>7</v>
      </c>
      <c r="B9" s="485" t="s">
        <v>338</v>
      </c>
      <c r="C9" s="486" t="str">
        <f>VLOOKUP("D",PAŹDZIERNIK!$K$30:$AJ$101,26,0)</f>
        <v>S Z T A B</v>
      </c>
      <c r="D9" s="486" t="str">
        <f>VLOOKUP("w",PAŹDZIERNIK!$K$30:$AJ$101,26,0)</f>
        <v>PEZAŁA Maciej</v>
      </c>
      <c r="E9" s="315"/>
    </row>
    <row r="10" spans="1:5" ht="21.75" customHeight="1">
      <c r="A10" s="487">
        <v>8</v>
      </c>
      <c r="B10" s="485" t="s">
        <v>339</v>
      </c>
      <c r="C10" s="486" t="str">
        <f>VLOOKUP("D",PAŹDZIERNIK!$L$30:$AJ$101,25,0)</f>
        <v>GĘBALA Miłosz</v>
      </c>
      <c r="D10" s="486" t="str">
        <f>VLOOKUP("w",PAŹDZIERNIK!$L$30:$AJ$101,25,0)</f>
        <v>WITCZAK Milena</v>
      </c>
      <c r="E10" s="315"/>
    </row>
    <row r="11" spans="1:5" ht="21.75" customHeight="1">
      <c r="A11" s="487">
        <v>9</v>
      </c>
      <c r="B11" s="485" t="s">
        <v>340</v>
      </c>
      <c r="C11" s="486" t="str">
        <f>VLOOKUP("D",PAŹDZIERNIK!$M$30:$AJ$101,24,0)</f>
        <v>S Z T A B</v>
      </c>
      <c r="D11" s="486" t="str">
        <f>VLOOKUP("w",PAŹDZIERNIK!$M$30:$AJ$101,24,0)</f>
        <v>ORZECHOWSKI Bartosz</v>
      </c>
      <c r="E11" s="315"/>
    </row>
    <row r="12" spans="1:5" ht="21.75" customHeight="1">
      <c r="A12" s="487">
        <v>10</v>
      </c>
      <c r="B12" s="485" t="s">
        <v>341</v>
      </c>
      <c r="C12" s="486" t="str">
        <f>VLOOKUP("D",PAŹDZIERNIK!$N$30:$AJ$101,23,0)</f>
        <v>CHĘCIŃSKI Piotr</v>
      </c>
      <c r="D12" s="486" t="str">
        <f>VLOOKUP("w",PAŹDZIERNIK!$N$30:$AJ$101,23,0)</f>
        <v>PAWŁOWSKI Piotr</v>
      </c>
      <c r="E12" s="315"/>
    </row>
    <row r="13" spans="1:5" ht="21.75" customHeight="1">
      <c r="A13" s="487">
        <v>11</v>
      </c>
      <c r="B13" s="485" t="s">
        <v>342</v>
      </c>
      <c r="C13" s="486" t="str">
        <f>VLOOKUP("D",PAŹDZIERNIK!$O$30:$AJ$101,22,0)</f>
        <v>MRUCZKIEWICZ Sławomir</v>
      </c>
      <c r="D13" s="486" t="str">
        <f>VLOOKUP("w",PAŹDZIERNIK!$O$30:$AJ$101,22,0)</f>
        <v>BUDZISŁAWSKI Sebastian</v>
      </c>
      <c r="E13" s="315"/>
    </row>
    <row r="14" spans="1:5" ht="21.75" customHeight="1">
      <c r="A14" s="487">
        <v>12</v>
      </c>
      <c r="B14" s="485" t="s">
        <v>343</v>
      </c>
      <c r="C14" s="486" t="str">
        <f>VLOOKUP("D",PAŹDZIERNIK!$P$30:$AJ$101,21,0)</f>
        <v>PERKOWSKI Tadeusz</v>
      </c>
      <c r="D14" s="486" t="str">
        <f>VLOOKUP("w",PAŹDZIERNIK!$P$30:$AJ$101,21,0)</f>
        <v>SZCZEPAŃSKI Tomasz Łukasz</v>
      </c>
      <c r="E14" s="315"/>
    </row>
    <row r="15" spans="1:5" ht="21.75" customHeight="1">
      <c r="A15" s="487">
        <v>13</v>
      </c>
      <c r="B15" s="485" t="s">
        <v>344</v>
      </c>
      <c r="C15" s="486" t="str">
        <f>VLOOKUP("D",PAŹDZIERNIK!$Q$30:$AJ$101,20,0)</f>
        <v>ŚLIWIŃSKI Krzysztof</v>
      </c>
      <c r="D15" s="486" t="str">
        <f>VLOOKUP("w",PAŹDZIERNIK!$Q$30:$AJ$101,20,0)</f>
        <v>CHĘCIŃSKI Piotr</v>
      </c>
      <c r="E15" s="315"/>
    </row>
    <row r="16" spans="1:5" ht="21.75" customHeight="1">
      <c r="A16" s="487">
        <v>14</v>
      </c>
      <c r="B16" s="485" t="s">
        <v>338</v>
      </c>
      <c r="C16" s="486" t="s">
        <v>435</v>
      </c>
      <c r="D16" s="486" t="str">
        <f>VLOOKUP("w",PAŹDZIERNIK!$R$30:$AJ$101,19,0)</f>
        <v>KRZYSZTOFIAK Dariusz</v>
      </c>
      <c r="E16" s="315"/>
    </row>
    <row r="17" spans="1:5" ht="21.75" customHeight="1">
      <c r="A17" s="487">
        <v>15</v>
      </c>
      <c r="B17" s="485" t="s">
        <v>339</v>
      </c>
      <c r="C17" s="486" t="str">
        <f>VLOOKUP("D",PAŹDZIERNIK!$S$30:$AJ$101,18,0)</f>
        <v>BUDZISŁAWSKI Sebastian</v>
      </c>
      <c r="D17" s="486" t="str">
        <f>VLOOKUP("w",PAŹDZIERNIK!$S$30:$AJ$101,18,0)</f>
        <v>JACUŃSKI Andrzej</v>
      </c>
      <c r="E17" s="315"/>
    </row>
    <row r="18" spans="1:5" ht="21.75" customHeight="1">
      <c r="A18" s="487">
        <v>16</v>
      </c>
      <c r="B18" s="485" t="s">
        <v>340</v>
      </c>
      <c r="C18" s="486" t="str">
        <f>VLOOKUP("D",PAŹDZIERNIK!$T$30:$AJ$101,17,0)</f>
        <v>ZIEMKOWSKI Witold</v>
      </c>
      <c r="D18" s="486" t="str">
        <f>VLOOKUP("w",PAŹDZIERNIK!$T$30:$AJ$101,17,0)</f>
        <v>ŚLIWIŃSKI Krzysztof</v>
      </c>
      <c r="E18" s="315"/>
    </row>
    <row r="19" spans="1:5" ht="21.75" customHeight="1">
      <c r="A19" s="487">
        <v>17</v>
      </c>
      <c r="B19" s="485" t="s">
        <v>341</v>
      </c>
      <c r="C19" s="486" t="str">
        <f>VLOOKUP("D",PAŹDZIERNIK!$U$30:$AJ$101,16,0)</f>
        <v>KRZYSZTOFIAK Dariusz</v>
      </c>
      <c r="D19" s="486" t="str">
        <f>VLOOKUP("w",PAŹDZIERNIK!$U$30:$AJ$101,16,0)</f>
        <v>KRZYSZTOFIAK Zbigniew</v>
      </c>
      <c r="E19" s="315"/>
    </row>
    <row r="20" spans="1:5" ht="21.75" customHeight="1">
      <c r="A20" s="487">
        <v>18</v>
      </c>
      <c r="B20" s="485" t="s">
        <v>342</v>
      </c>
      <c r="C20" s="486" t="str">
        <f>VLOOKUP("D",PAŹDZIERNIK!$V$30:$AJ$101,15,0)</f>
        <v>CHĘCIŃSKI Piotr</v>
      </c>
      <c r="D20" s="486" t="str">
        <f>VLOOKUP("w",PAŹDZIERNIK!$V$30:$AJ$101,15,0)</f>
        <v>WITCZAK Milena</v>
      </c>
      <c r="E20" s="315"/>
    </row>
    <row r="21" spans="1:5" ht="21.75" customHeight="1">
      <c r="A21" s="487">
        <v>19</v>
      </c>
      <c r="B21" s="485" t="s">
        <v>343</v>
      </c>
      <c r="C21" s="486" t="str">
        <f>VLOOKUP("D",PAŹDZIERNIK!$W$30:$AJ$101,14,0)</f>
        <v>PAWŁOWSKA Agata</v>
      </c>
      <c r="D21" s="486" t="str">
        <f>VLOOKUP("w",PAŹDZIERNIK!$W$30:$AJ$101,14,0)</f>
        <v>ŚLIWIŃSKI Krzysztof</v>
      </c>
      <c r="E21" s="315"/>
    </row>
    <row r="22" spans="1:5" ht="21.75" customHeight="1">
      <c r="A22" s="487">
        <v>20</v>
      </c>
      <c r="B22" s="485" t="s">
        <v>344</v>
      </c>
      <c r="C22" s="486" t="str">
        <f>VLOOKUP("D",PAŹDZIERNIK!$X$30:$AJ$101,13,0)</f>
        <v>KRZYSZTOFIAK Dariusz</v>
      </c>
      <c r="D22" s="486" t="str">
        <f>VLOOKUP("w",PAŹDZIERNIK!$X$30:$AJ$101,13,0)</f>
        <v>CHUDZIAK Dariusz</v>
      </c>
      <c r="E22" s="315"/>
    </row>
    <row r="23" spans="1:5" ht="21.75" customHeight="1">
      <c r="A23" s="487">
        <v>21</v>
      </c>
      <c r="B23" s="485" t="s">
        <v>338</v>
      </c>
      <c r="C23" s="486" t="s">
        <v>435</v>
      </c>
      <c r="D23" s="486" t="str">
        <f>VLOOKUP("w",PAŹDZIERNIK!$Y$30:$AJ$101,12,0)</f>
        <v>TOCHOR Krzysztof</v>
      </c>
      <c r="E23" s="315"/>
    </row>
    <row r="24" spans="1:5" ht="21.75" customHeight="1">
      <c r="A24" s="487">
        <v>22</v>
      </c>
      <c r="B24" s="485" t="s">
        <v>339</v>
      </c>
      <c r="C24" s="486" t="str">
        <f>VLOOKUP("D",PAŹDZIERNIK!$Z$30:$AJ$101,11,0)</f>
        <v>KANIA Krzysztof</v>
      </c>
      <c r="D24" s="486" t="str">
        <f>VLOOKUP("w",PAŹDZIERNIK!$Z$30:$AJ$101,11,0)</f>
        <v>MAŁKOWSKI Jakub</v>
      </c>
      <c r="E24" s="315"/>
    </row>
    <row r="25" spans="1:5" ht="21.75" customHeight="1">
      <c r="A25" s="487">
        <v>23</v>
      </c>
      <c r="B25" s="485" t="s">
        <v>340</v>
      </c>
      <c r="C25" s="486" t="str">
        <f>VLOOKUP("D",PAŹDZIERNIK!$AA$30:$AJ$101,10,0)</f>
        <v>WITCZAK Milena</v>
      </c>
      <c r="D25" s="486" t="str">
        <f>VLOOKUP("w",PAŹDZIERNIK!$AA$30:$AJ$101,10,0)</f>
        <v>CHĘCIŃSKI Piotr</v>
      </c>
      <c r="E25" s="315"/>
    </row>
    <row r="26" spans="1:5" ht="21.75" customHeight="1">
      <c r="A26" s="487">
        <v>24</v>
      </c>
      <c r="B26" s="485" t="s">
        <v>341</v>
      </c>
      <c r="C26" s="486" t="str">
        <f>VLOOKUP("D",PAŹDZIERNIK!$AB$30:$AJ$101,9,0)</f>
        <v>ZIEMKOWSKI Witold</v>
      </c>
      <c r="D26" s="486" t="str">
        <f>VLOOKUP("w",PAŹDZIERNIK!$AB$30:$AJ$101,9,0)</f>
        <v>PAWŁOWSKA Agata</v>
      </c>
      <c r="E26" s="315"/>
    </row>
    <row r="27" spans="1:5" ht="21.75" customHeight="1">
      <c r="A27" s="487">
        <v>25</v>
      </c>
      <c r="B27" s="485" t="s">
        <v>342</v>
      </c>
      <c r="C27" s="486" t="str">
        <f>VLOOKUP("D",PAŹDZIERNIK!$AC$30:$AJ$101,8,0)</f>
        <v>CHUDZIAK Dariusz</v>
      </c>
      <c r="D27" s="486" t="str">
        <f>VLOOKUP("w",PAŹDZIERNIK!$AC$30:$AJ$101,8,0)</f>
        <v>SZNAJDER Wiktor</v>
      </c>
      <c r="E27" s="315"/>
    </row>
    <row r="28" spans="1:5" ht="21.75" customHeight="1">
      <c r="A28" s="487">
        <v>26</v>
      </c>
      <c r="B28" s="485" t="s">
        <v>343</v>
      </c>
      <c r="C28" s="486" t="str">
        <f>VLOOKUP("D",PAŹDZIERNIK!$AD$30:$AJ$101,7,0)</f>
        <v>PERKOWSKI Tadeusz</v>
      </c>
      <c r="D28" s="486" t="str">
        <f>VLOOKUP("w",PAŹDZIERNIK!$AD$30:$AJ$101,7,0)</f>
        <v>SZCZEPAŃSKI Tomasz Łukasz</v>
      </c>
      <c r="E28" s="315"/>
    </row>
    <row r="29" spans="1:5" ht="21.75" customHeight="1">
      <c r="A29" s="487">
        <v>27</v>
      </c>
      <c r="B29" s="485" t="s">
        <v>344</v>
      </c>
      <c r="C29" s="486" t="str">
        <f>VLOOKUP("D",PAŹDZIERNIK!$AE$30:$AJ$101,6,0)</f>
        <v>ŚLIWIŃSKI Krzysztof</v>
      </c>
      <c r="D29" s="486" t="str">
        <f>VLOOKUP("w",PAŹDZIERNIK!$AE$30:$AJ$101,6,0)</f>
        <v>KANIA Krzysztof</v>
      </c>
      <c r="E29" s="315"/>
    </row>
    <row r="30" spans="1:5" ht="21.75" customHeight="1">
      <c r="A30" s="487">
        <v>28</v>
      </c>
      <c r="B30" s="485" t="s">
        <v>338</v>
      </c>
      <c r="C30" s="486" t="s">
        <v>435</v>
      </c>
      <c r="D30" s="486" t="str">
        <f>VLOOKUP("w",PAŹDZIERNIK!$AF$30:$AJ$101,5,0)</f>
        <v>TOCHOR Krzysztof</v>
      </c>
      <c r="E30" s="315"/>
    </row>
    <row r="31" spans="1:5" ht="21.75" customHeight="1">
      <c r="A31" s="487">
        <v>29</v>
      </c>
      <c r="B31" s="485" t="s">
        <v>339</v>
      </c>
      <c r="C31" s="486" t="str">
        <f>VLOOKUP("D",PAŹDZIERNIK!$AG$30:$AJ$101,4,0)</f>
        <v>KRZYSZTOFIAK Zbigniew</v>
      </c>
      <c r="D31" s="486" t="str">
        <f>VLOOKUP("w",PAŹDZIERNIK!$AG$30:$AJ$101,4,0)</f>
        <v>KRYSZTOFIAK Mariusz</v>
      </c>
      <c r="E31" s="315"/>
    </row>
    <row r="32" spans="1:5" ht="21.75" customHeight="1">
      <c r="A32" s="487">
        <v>30</v>
      </c>
      <c r="B32" s="485" t="s">
        <v>340</v>
      </c>
      <c r="C32" s="486" t="str">
        <f>VLOOKUP("D",PAŹDZIERNIK!$AH$30:$AJ$101,3,0)</f>
        <v>ORZECHOWSKI Bartosz</v>
      </c>
      <c r="D32" s="486" t="str">
        <f>VLOOKUP("w",PAŹDZIERNIK!$AH$30:$AJ$101,3,0)</f>
        <v>STOPA Maciej</v>
      </c>
      <c r="E32" s="315"/>
    </row>
    <row r="33" spans="1:5" ht="21.75" customHeight="1">
      <c r="A33" s="489">
        <v>31</v>
      </c>
      <c r="B33" s="485" t="s">
        <v>341</v>
      </c>
      <c r="C33" s="486" t="str">
        <f>VLOOKUP("D",PAŹDZIERNIK!$AI$30:$AJ$101,2,0)</f>
        <v>PAWŁOWSKI Piotr</v>
      </c>
      <c r="D33" s="486" t="str">
        <f>VLOOKUP("w",PAŹDZIERNIK!$AI$32:$AJ$102,2,0)</f>
        <v>CHŁOPECKI Przemysław</v>
      </c>
      <c r="E33" s="317"/>
    </row>
  </sheetData>
  <mergeCells count="3">
    <mergeCell ref="A1:B1"/>
    <mergeCell ref="C1:E1"/>
    <mergeCell ref="A2:B2"/>
  </mergeCells>
  <pageMargins left="0.25" right="0.25" top="0.75" bottom="0.75" header="0.51180555555555496" footer="0.51180555555555496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34"/>
  <sheetViews>
    <sheetView zoomScaleNormal="100" workbookViewId="0">
      <selection activeCell="D34" sqref="D34"/>
    </sheetView>
  </sheetViews>
  <sheetFormatPr defaultColWidth="8.69140625" defaultRowHeight="14.6"/>
  <cols>
    <col min="1" max="1" width="3.84375" style="176" customWidth="1"/>
    <col min="2" max="2" width="6" style="177" customWidth="1"/>
    <col min="3" max="3" width="28.84375" style="178" customWidth="1"/>
    <col min="4" max="4" width="26.23046875" bestFit="1" customWidth="1"/>
    <col min="5" max="5" width="24.53515625" customWidth="1"/>
    <col min="7" max="7" width="20.3046875" customWidth="1"/>
    <col min="8" max="8" width="4" customWidth="1"/>
    <col min="9" max="9" width="20.3046875" customWidth="1"/>
    <col min="10" max="11" width="4" customWidth="1"/>
    <col min="12" max="12" width="20.3046875" customWidth="1"/>
    <col min="13" max="13" width="4" customWidth="1"/>
    <col min="14" max="14" width="20.3046875" customWidth="1"/>
  </cols>
  <sheetData>
    <row r="1" spans="1:14" ht="30.9">
      <c r="B1" s="686" t="s">
        <v>437</v>
      </c>
      <c r="C1" s="686"/>
      <c r="D1" s="686"/>
      <c r="E1" s="686"/>
      <c r="G1" s="694"/>
      <c r="H1" s="694"/>
      <c r="I1" s="694"/>
      <c r="J1" s="694"/>
      <c r="K1" s="694"/>
      <c r="L1" s="694"/>
      <c r="M1" s="694"/>
      <c r="N1" s="694"/>
    </row>
    <row r="2" spans="1:14" ht="28.3">
      <c r="A2" s="687" t="s">
        <v>178</v>
      </c>
      <c r="B2" s="687"/>
      <c r="C2" s="687"/>
      <c r="D2" s="687"/>
      <c r="E2" s="687"/>
      <c r="G2" s="695"/>
      <c r="H2" s="695"/>
      <c r="I2" s="695"/>
      <c r="J2" s="234"/>
      <c r="K2" s="235"/>
      <c r="L2" s="696"/>
      <c r="M2" s="696"/>
      <c r="N2" s="696"/>
    </row>
    <row r="3" spans="1:14" ht="23.15">
      <c r="A3" s="688">
        <v>44501</v>
      </c>
      <c r="B3" s="688"/>
      <c r="C3" s="180" t="s">
        <v>179</v>
      </c>
      <c r="D3" s="181" t="s">
        <v>180</v>
      </c>
      <c r="E3" s="181" t="s">
        <v>180</v>
      </c>
      <c r="G3" s="28"/>
      <c r="J3" s="29"/>
      <c r="K3" s="28"/>
      <c r="N3" s="29"/>
    </row>
    <row r="4" spans="1:14" ht="19.3">
      <c r="A4" s="182">
        <v>1</v>
      </c>
      <c r="B4" s="183" t="s">
        <v>342</v>
      </c>
      <c r="C4" s="581" t="str">
        <f>VLOOKUP("D",LISTOPAD!$E$2:$AJ$31,32,0)</f>
        <v>F-sz 015</v>
      </c>
      <c r="D4" s="582" t="e">
        <f>VLOOKUP("w",LISTOPAD!$E$2:$AJ$31,32,0)</f>
        <v>#N/A</v>
      </c>
      <c r="E4" s="185"/>
      <c r="G4" s="238"/>
      <c r="I4" s="238"/>
      <c r="J4" s="29"/>
      <c r="K4" s="28"/>
      <c r="L4" s="238"/>
      <c r="N4" s="238"/>
    </row>
    <row r="5" spans="1:14" ht="19.3">
      <c r="A5" s="189">
        <v>2</v>
      </c>
      <c r="B5" s="190" t="s">
        <v>343</v>
      </c>
      <c r="C5" s="583" t="str">
        <f>VLOOKUP("D",LISTOPAD!F$2:$AJ$31,31,0)</f>
        <v>F-sz 001</v>
      </c>
      <c r="D5" s="584" t="e">
        <f>VLOOKUP("w",LISTOPAD!F$2:$AJ$31,31,0)</f>
        <v>#N/A</v>
      </c>
      <c r="E5" s="192"/>
      <c r="G5" s="307"/>
      <c r="I5" s="308"/>
      <c r="J5" s="29"/>
      <c r="K5" s="28"/>
      <c r="L5" s="309"/>
      <c r="N5" s="310"/>
    </row>
    <row r="6" spans="1:14" ht="21.75" customHeight="1">
      <c r="A6" s="189">
        <v>3</v>
      </c>
      <c r="B6" s="190" t="s">
        <v>344</v>
      </c>
      <c r="C6" s="583" t="str">
        <f>VLOOKUP("D",LISTOPAD!G$2:$AJ$29,30,0)</f>
        <v>F-sz 013</v>
      </c>
      <c r="D6" s="585" t="e">
        <f>VLOOKUP("w",LISTOPAD!G$2:$AJ$29,30,0)</f>
        <v>#N/A</v>
      </c>
      <c r="E6" s="192"/>
      <c r="G6" s="307"/>
      <c r="I6" s="308"/>
      <c r="J6" s="29"/>
      <c r="K6" s="28"/>
      <c r="L6" s="309"/>
      <c r="N6" s="310"/>
    </row>
    <row r="7" spans="1:14" ht="21.75" customHeight="1">
      <c r="A7" s="189">
        <v>4</v>
      </c>
      <c r="B7" s="190" t="s">
        <v>338</v>
      </c>
      <c r="C7" s="583" t="str">
        <f>VLOOKUP("D",LISTOPAD!H$2:$AJ$30,29,0)</f>
        <v>F-sz 014</v>
      </c>
      <c r="D7" s="585" t="e">
        <f>VLOOKUP("w",LISTOPAD!H$2:$AJ$30,29,0)</f>
        <v>#N/A</v>
      </c>
      <c r="E7" s="192"/>
      <c r="G7" s="307"/>
      <c r="I7" s="308"/>
      <c r="J7" s="29"/>
      <c r="K7" s="28"/>
      <c r="L7" s="309"/>
      <c r="N7" s="310"/>
    </row>
    <row r="8" spans="1:14" ht="21.75" customHeight="1">
      <c r="A8" s="186">
        <v>5</v>
      </c>
      <c r="B8" s="183" t="s">
        <v>339</v>
      </c>
      <c r="C8" s="581" t="str">
        <f>VLOOKUP("D",LISTOPAD!I$2:$AJ$30,28,0)</f>
        <v>F-sz 018</v>
      </c>
      <c r="D8" s="586" t="e">
        <f>VLOOKUP("w",LISTOPAD!I$2:$AJ$30,28,0)</f>
        <v>#N/A</v>
      </c>
      <c r="E8" s="188"/>
      <c r="G8" s="307"/>
      <c r="I8" s="308"/>
      <c r="J8" s="29"/>
      <c r="K8" s="28"/>
      <c r="L8" s="309"/>
      <c r="N8" s="310"/>
    </row>
    <row r="9" spans="1:14" ht="21.75" customHeight="1">
      <c r="A9" s="186">
        <v>6</v>
      </c>
      <c r="B9" s="183" t="s">
        <v>340</v>
      </c>
      <c r="C9" s="581" t="str">
        <f>VLOOKUP("D",LISTOPAD!J$2:$AJ$30,27,0)</f>
        <v>F-sz 019</v>
      </c>
      <c r="D9" s="586" t="e">
        <f>VLOOKUP("w",LISTOPAD!J$2:$AJ$30,27,0)</f>
        <v>#N/A</v>
      </c>
      <c r="E9" s="188"/>
      <c r="G9" s="28"/>
      <c r="J9" s="29"/>
      <c r="K9" s="28"/>
      <c r="N9" s="29"/>
    </row>
    <row r="10" spans="1:14" ht="21.75" customHeight="1">
      <c r="A10" s="189">
        <v>7</v>
      </c>
      <c r="B10" s="190" t="s">
        <v>341</v>
      </c>
      <c r="C10" s="583" t="str">
        <f>VLOOKUP("D",LISTOPAD!K$2:$AJ$30,26,0)</f>
        <v>F-sz 016</v>
      </c>
      <c r="D10" s="585" t="e">
        <f>VLOOKUP("w",LISTOPAD!K$2:$AJ$30,26,0)</f>
        <v>#N/A</v>
      </c>
      <c r="E10" s="192"/>
      <c r="G10" s="249"/>
      <c r="I10" s="249"/>
      <c r="J10" s="29"/>
      <c r="K10" s="28"/>
      <c r="L10" s="249"/>
      <c r="N10" s="249"/>
    </row>
    <row r="11" spans="1:14" ht="21.75" customHeight="1">
      <c r="A11" s="189">
        <v>8</v>
      </c>
      <c r="B11" s="190" t="s">
        <v>342</v>
      </c>
      <c r="C11" s="583" t="str">
        <f>VLOOKUP("D",LISTOPAD!L$2:$AJ$30,25,0)</f>
        <v>F-sz 002</v>
      </c>
      <c r="D11" s="585" t="e">
        <f>VLOOKUP("w",LISTOPAD!L$2:$AJ$30,25,0)</f>
        <v>#N/A</v>
      </c>
      <c r="E11" s="192"/>
      <c r="G11" s="307"/>
      <c r="I11" s="308"/>
      <c r="J11" s="29"/>
      <c r="K11" s="28"/>
      <c r="L11" s="310"/>
      <c r="N11" s="310"/>
    </row>
    <row r="12" spans="1:14" ht="21.75" customHeight="1">
      <c r="A12" s="189">
        <v>9</v>
      </c>
      <c r="B12" s="190" t="s">
        <v>343</v>
      </c>
      <c r="C12" s="583" t="str">
        <f>VLOOKUP("D",LISTOPAD!M$2:$AJ$30,24,0)</f>
        <v>F-sz 024</v>
      </c>
      <c r="D12" s="585" t="e">
        <f>VLOOKUP("w",LISTOPAD!M$2:$AJ$30,24,0)</f>
        <v>#N/A</v>
      </c>
      <c r="E12" s="192"/>
      <c r="G12" s="307"/>
      <c r="I12" s="308"/>
      <c r="J12" s="29"/>
      <c r="K12" s="28"/>
      <c r="L12" s="310"/>
      <c r="N12" s="310"/>
    </row>
    <row r="13" spans="1:14" ht="21.75" customHeight="1">
      <c r="A13" s="189">
        <v>10</v>
      </c>
      <c r="B13" s="190" t="s">
        <v>344</v>
      </c>
      <c r="C13" s="583" t="str">
        <f>VLOOKUP("D",LISTOPAD!N$2:$AJ$30,23,0)</f>
        <v>F-sz 004</v>
      </c>
      <c r="D13" s="585" t="e">
        <f>VLOOKUP("w",LISTOPAD!N$2:$AJ$30,23,0)</f>
        <v>#N/A</v>
      </c>
      <c r="E13" s="192"/>
      <c r="G13" s="307"/>
      <c r="I13" s="308"/>
      <c r="J13" s="29"/>
      <c r="K13" s="28"/>
      <c r="L13" s="310"/>
      <c r="N13" s="310"/>
    </row>
    <row r="14" spans="1:14" ht="21.75" customHeight="1">
      <c r="A14" s="186">
        <v>11</v>
      </c>
      <c r="B14" s="183" t="s">
        <v>338</v>
      </c>
      <c r="C14" s="581" t="str">
        <f>VLOOKUP("D",LISTOPAD!O$2:$AJ$30,22,0)</f>
        <v>F-sz 017</v>
      </c>
      <c r="D14" s="586" t="e">
        <f>VLOOKUP("w",LISTOPAD!O$2:$AJ$30,22,0)</f>
        <v>#N/A</v>
      </c>
      <c r="E14" s="188"/>
      <c r="G14" s="307"/>
      <c r="I14" s="308"/>
      <c r="J14" s="29"/>
      <c r="K14" s="28"/>
      <c r="L14" s="310"/>
      <c r="N14" s="310"/>
    </row>
    <row r="15" spans="1:14" ht="21.75" customHeight="1">
      <c r="A15" s="189">
        <v>12</v>
      </c>
      <c r="B15" s="190" t="s">
        <v>339</v>
      </c>
      <c r="C15" s="583" t="str">
        <f>VLOOKUP("D",LISTOPAD!P$2:$AJ$30,21,0)</f>
        <v>F-sz 024</v>
      </c>
      <c r="D15" s="585" t="e">
        <f>VLOOKUP("w",LISTOPAD!P$2:$AJ$30,21,0)</f>
        <v>#N/A</v>
      </c>
      <c r="E15" s="192"/>
      <c r="G15" s="28"/>
      <c r="J15" s="29"/>
      <c r="K15" s="28"/>
      <c r="N15" s="29"/>
    </row>
    <row r="16" spans="1:14" ht="21.75" customHeight="1">
      <c r="A16" s="186">
        <v>13</v>
      </c>
      <c r="B16" s="183" t="s">
        <v>340</v>
      </c>
      <c r="C16" s="581" t="str">
        <f>VLOOKUP("D",LISTOPAD!Q$2:$AJ$30,20,0)</f>
        <v>F-sz 018</v>
      </c>
      <c r="D16" s="586" t="e">
        <f>VLOOKUP("w",LISTOPAD!Q$2:$AJ$30,20,0)</f>
        <v>#N/A</v>
      </c>
      <c r="E16" s="188"/>
      <c r="G16" s="249"/>
      <c r="I16" s="249"/>
      <c r="J16" s="29"/>
      <c r="K16" s="28"/>
      <c r="L16" s="249"/>
      <c r="N16" s="249"/>
    </row>
    <row r="17" spans="1:14" ht="21.75" customHeight="1">
      <c r="A17" s="186">
        <v>14</v>
      </c>
      <c r="B17" s="183" t="s">
        <v>341</v>
      </c>
      <c r="C17" s="581" t="str">
        <f>VLOOKUP("D",LISTOPAD!R$2:$AJ$30,19,0)</f>
        <v>F-sz 004</v>
      </c>
      <c r="D17" s="586" t="e">
        <f>VLOOKUP("w",LISTOPAD!R$2:$AJ$30,19,0)</f>
        <v>#N/A</v>
      </c>
      <c r="E17" s="188"/>
      <c r="G17" s="307"/>
      <c r="I17" s="308"/>
      <c r="J17" s="29"/>
      <c r="K17" s="28"/>
      <c r="L17" s="309"/>
      <c r="N17" s="309"/>
    </row>
    <row r="18" spans="1:14" ht="21.75" customHeight="1">
      <c r="A18" s="189">
        <v>15</v>
      </c>
      <c r="B18" s="190" t="s">
        <v>342</v>
      </c>
      <c r="C18" s="583" t="str">
        <f>VLOOKUP("D",LISTOPAD!S$2:$AJ$30,18,0)</f>
        <v>F-sz 022</v>
      </c>
      <c r="D18" s="585" t="e">
        <f>VLOOKUP("w",LISTOPAD!S$2:$AJ$30,18,0)</f>
        <v>#N/A</v>
      </c>
      <c r="E18" s="192"/>
      <c r="G18" s="307"/>
      <c r="I18" s="308"/>
      <c r="J18" s="29"/>
      <c r="K18" s="28"/>
      <c r="L18" s="309"/>
      <c r="N18" s="309"/>
    </row>
    <row r="19" spans="1:14" ht="21.75" customHeight="1">
      <c r="A19" s="189">
        <v>16</v>
      </c>
      <c r="B19" s="190" t="s">
        <v>343</v>
      </c>
      <c r="C19" s="583" t="str">
        <f>VLOOKUP("D",LISTOPAD!T$2:$AJ$30,17,0)</f>
        <v>F-sz 018</v>
      </c>
      <c r="D19" s="585" t="e">
        <f>VLOOKUP("w",LISTOPAD!T$2:$AJ$30,17,0)</f>
        <v>#N/A</v>
      </c>
      <c r="E19" s="192"/>
      <c r="G19" s="307"/>
      <c r="I19" s="308"/>
      <c r="J19" s="29"/>
      <c r="K19" s="28"/>
      <c r="L19" s="309"/>
      <c r="N19" s="309"/>
    </row>
    <row r="20" spans="1:14" ht="21.75" customHeight="1">
      <c r="A20" s="189">
        <v>17</v>
      </c>
      <c r="B20" s="190" t="s">
        <v>344</v>
      </c>
      <c r="C20" s="583" t="str">
        <f>VLOOKUP("D",LISTOPAD!U$2:$AJ$30,16,0)</f>
        <v>F-sz 024</v>
      </c>
      <c r="D20" s="585" t="e">
        <f>VLOOKUP("w",LISTOPAD!U$2:$AJ$30,16,0)</f>
        <v>#N/A</v>
      </c>
      <c r="E20" s="192"/>
      <c r="G20" s="307"/>
      <c r="I20" s="308"/>
      <c r="J20" s="29"/>
      <c r="K20" s="28"/>
      <c r="L20" s="309"/>
      <c r="N20" s="309"/>
    </row>
    <row r="21" spans="1:14" ht="21.75" customHeight="1">
      <c r="A21" s="189">
        <v>18</v>
      </c>
      <c r="B21" s="190" t="s">
        <v>338</v>
      </c>
      <c r="C21" s="583" t="str">
        <f>VLOOKUP("D",LISTOPAD!V$2:$AJ$30,15,0)</f>
        <v>F-sz 014</v>
      </c>
      <c r="D21" s="585" t="e">
        <f>VLOOKUP("w",LISTOPAD!V$2:$AJ$30,15,0)</f>
        <v>#N/A</v>
      </c>
      <c r="E21" s="192"/>
      <c r="G21" s="28"/>
      <c r="J21" s="29"/>
      <c r="K21" s="28"/>
      <c r="N21" s="29"/>
    </row>
    <row r="22" spans="1:14" ht="21.75" customHeight="1">
      <c r="A22" s="189">
        <v>19</v>
      </c>
      <c r="B22" s="190" t="s">
        <v>339</v>
      </c>
      <c r="C22" s="583" t="str">
        <f>VLOOKUP("D",LISTOPAD!W$2:$AJ$30,14,0)</f>
        <v>F-sz 021</v>
      </c>
      <c r="D22" s="585" t="e">
        <f>VLOOKUP("w",LISTOPAD!W$2:$AJ$30,14,0)</f>
        <v>#N/A</v>
      </c>
      <c r="E22" s="192"/>
      <c r="G22" s="249"/>
      <c r="I22" s="249"/>
      <c r="J22" s="29"/>
      <c r="K22" s="28"/>
      <c r="L22" s="249"/>
      <c r="N22" s="249"/>
    </row>
    <row r="23" spans="1:14" ht="21.75" customHeight="1">
      <c r="A23" s="186">
        <v>20</v>
      </c>
      <c r="B23" s="183" t="s">
        <v>340</v>
      </c>
      <c r="C23" s="581" t="str">
        <f>VLOOKUP("D",LISTOPAD!X$2:$AJ$30,13,0)</f>
        <v>F-sz 016</v>
      </c>
      <c r="D23" s="586" t="e">
        <f>VLOOKUP("w",LISTOPAD!X$2:$AJ$30,13,0)</f>
        <v>#N/A</v>
      </c>
      <c r="E23" s="188"/>
      <c r="G23" s="307"/>
      <c r="I23" s="308"/>
      <c r="J23" s="29"/>
      <c r="K23" s="28"/>
      <c r="L23" s="309"/>
      <c r="N23" s="310"/>
    </row>
    <row r="24" spans="1:14" ht="21.75" customHeight="1">
      <c r="A24" s="186">
        <v>21</v>
      </c>
      <c r="B24" s="183" t="s">
        <v>341</v>
      </c>
      <c r="C24" s="581" t="str">
        <f>VLOOKUP("D",LISTOPAD!Y$2:$AJ$30,12,0)</f>
        <v>F-sz 018</v>
      </c>
      <c r="D24" s="586" t="e">
        <f>VLOOKUP("w",LISTOPAD!Y$2:$AJ$30,12,0)</f>
        <v>#N/A</v>
      </c>
      <c r="E24" s="188"/>
      <c r="G24" s="307"/>
      <c r="I24" s="308"/>
      <c r="J24" s="29"/>
      <c r="K24" s="28"/>
      <c r="L24" s="309"/>
      <c r="N24" s="310"/>
    </row>
    <row r="25" spans="1:14" ht="21.75" customHeight="1">
      <c r="A25" s="189">
        <v>22</v>
      </c>
      <c r="B25" s="190" t="s">
        <v>342</v>
      </c>
      <c r="C25" s="583" t="str">
        <f>VLOOKUP("D",LISTOPAD!Z$2:$AJ$30,11,0)</f>
        <v>F-sz 024</v>
      </c>
      <c r="D25" s="585" t="e">
        <f>VLOOKUP("w",LISTOPAD!Z$2:$AJ$30,11,0)</f>
        <v>#N/A</v>
      </c>
      <c r="E25" s="192"/>
      <c r="G25" s="307"/>
      <c r="I25" s="308"/>
      <c r="J25" s="29"/>
      <c r="K25" s="28"/>
      <c r="L25" s="309"/>
      <c r="N25" s="310"/>
    </row>
    <row r="26" spans="1:14" ht="21.75" customHeight="1">
      <c r="A26" s="189">
        <v>23</v>
      </c>
      <c r="B26" s="190" t="s">
        <v>343</v>
      </c>
      <c r="C26" s="583" t="str">
        <f>VLOOKUP("D",LISTOPAD!AA$2:$AJ$30,10,0)</f>
        <v>F-sz 022</v>
      </c>
      <c r="D26" s="585" t="e">
        <f>VLOOKUP("w",LISTOPAD!AA$2:$AJ$30,10,0)</f>
        <v>#N/A</v>
      </c>
      <c r="E26" s="192"/>
      <c r="G26" s="307"/>
      <c r="H26" s="319"/>
      <c r="I26" s="308"/>
      <c r="J26" s="320"/>
      <c r="K26" s="321"/>
      <c r="L26" s="309"/>
      <c r="M26" s="319"/>
      <c r="N26" s="310"/>
    </row>
    <row r="27" spans="1:14" ht="21.75" customHeight="1">
      <c r="A27" s="189">
        <v>24</v>
      </c>
      <c r="B27" s="190" t="s">
        <v>344</v>
      </c>
      <c r="C27" s="583" t="str">
        <f>VLOOKUP("D",LISTOPAD!AB$2:$AJ$29,9,0)</f>
        <v>F-sz 017</v>
      </c>
      <c r="D27" s="585" t="e">
        <f>VLOOKUP("w",LISTOPAD!AB$2:$AJ$29,9,0)</f>
        <v>#N/A</v>
      </c>
      <c r="E27" s="192"/>
      <c r="G27" s="322"/>
      <c r="H27" s="323"/>
      <c r="I27" s="323"/>
      <c r="J27" s="324"/>
      <c r="K27" s="322"/>
      <c r="L27" s="323"/>
      <c r="M27" s="323"/>
      <c r="N27" s="324"/>
    </row>
    <row r="28" spans="1:14" ht="21.75" customHeight="1">
      <c r="A28" s="189">
        <v>25</v>
      </c>
      <c r="B28" s="190" t="s">
        <v>338</v>
      </c>
      <c r="C28" s="583" t="str">
        <f>VLOOKUP("D",LISTOPAD!AC$2:$AJ$30,8,0)</f>
        <v>F-sz 004</v>
      </c>
      <c r="D28" s="585" t="e">
        <f>VLOOKUP("",LISTOPAD!AC$2:$AJ$30,8,0)</f>
        <v>#N/A</v>
      </c>
      <c r="E28" s="192"/>
      <c r="G28" s="249"/>
      <c r="I28" s="325"/>
      <c r="J28" s="29"/>
      <c r="K28" s="28"/>
      <c r="L28" s="249"/>
      <c r="N28" s="326"/>
    </row>
    <row r="29" spans="1:14" ht="21.75" customHeight="1">
      <c r="A29" s="189">
        <v>26</v>
      </c>
      <c r="B29" s="190" t="s">
        <v>339</v>
      </c>
      <c r="C29" s="583" t="str">
        <f>VLOOKUP("D",LISTOPAD!AD$2:$AJ$30,7,0)</f>
        <v>F-sz 027</v>
      </c>
      <c r="D29" s="585" t="e">
        <f>VLOOKUP("w",LISTOPAD!AD$2:$AJ$30,7,0)</f>
        <v>#N/A</v>
      </c>
      <c r="E29" s="192"/>
      <c r="G29" s="309"/>
      <c r="I29" s="121"/>
      <c r="J29" s="29"/>
      <c r="K29" s="28"/>
      <c r="L29" s="309"/>
      <c r="N29" s="327"/>
    </row>
    <row r="30" spans="1:14" ht="21.75" customHeight="1">
      <c r="A30" s="186">
        <v>27</v>
      </c>
      <c r="B30" s="183" t="s">
        <v>340</v>
      </c>
      <c r="C30" s="581" t="str">
        <f>VLOOKUP("D",LISTOPAD!AE$2:$AJ$30,6,0)</f>
        <v>F-sz 018</v>
      </c>
      <c r="D30" s="586" t="e">
        <f>VLOOKUP("w",LISTOPAD!AE$2:$AJ$30,6,0)</f>
        <v>#N/A</v>
      </c>
      <c r="E30" s="188"/>
      <c r="G30" s="328"/>
      <c r="J30" s="29"/>
      <c r="K30" s="28"/>
      <c r="L30" s="328"/>
      <c r="N30" s="29"/>
    </row>
    <row r="31" spans="1:14" ht="21.75" customHeight="1">
      <c r="A31" s="186">
        <v>28</v>
      </c>
      <c r="B31" s="183" t="s">
        <v>341</v>
      </c>
      <c r="C31" s="581" t="str">
        <f>VLOOKUP("D",LISTOPAD!AF$2:$AJ$30,5,0)</f>
        <v>F-sz 024</v>
      </c>
      <c r="D31" s="586" t="e">
        <f>VLOOKUP("w",LISTOPAD!AF$2:$AJ$30,5,0)</f>
        <v>#N/A</v>
      </c>
      <c r="E31" s="188"/>
      <c r="G31" s="329"/>
      <c r="J31" s="29"/>
      <c r="K31" s="28"/>
      <c r="L31" s="329"/>
      <c r="N31" s="29"/>
    </row>
    <row r="32" spans="1:14" ht="21.75" customHeight="1">
      <c r="A32" s="189">
        <v>29</v>
      </c>
      <c r="B32" s="190" t="s">
        <v>342</v>
      </c>
      <c r="C32" s="583" t="str">
        <f>VLOOKUP("D",LISTOPAD!AG$2:$AJ$30,4,0)</f>
        <v>F-sz 014</v>
      </c>
      <c r="D32" s="585" t="e">
        <f>VLOOKUP("w",LISTOPAD!AG$2:$AJ$30,4,0)</f>
        <v>#N/A</v>
      </c>
      <c r="E32" s="192"/>
      <c r="G32" s="330"/>
      <c r="H32" s="319"/>
      <c r="I32" s="319"/>
      <c r="J32" s="320"/>
      <c r="K32" s="321"/>
      <c r="L32" s="330"/>
      <c r="M32" s="319"/>
      <c r="N32" s="320"/>
    </row>
    <row r="33" spans="1:5" ht="21.75" customHeight="1">
      <c r="A33" s="189">
        <v>30</v>
      </c>
      <c r="B33" s="190" t="s">
        <v>343</v>
      </c>
      <c r="C33" s="583" t="str">
        <f>VLOOKUP("D",LISTOPAD!AH$2:$AJ$30,3,0)</f>
        <v>F-sz 013</v>
      </c>
      <c r="D33" s="585" t="e">
        <f>VLOOKUP("w",LISTOPAD!AH$2:$AJ$30,3,0)</f>
        <v>#N/A</v>
      </c>
      <c r="E33" s="192"/>
    </row>
    <row r="34" spans="1:5" ht="19.5" customHeight="1">
      <c r="A34" s="189"/>
      <c r="B34" s="190"/>
      <c r="C34" s="191"/>
      <c r="D34" s="376"/>
      <c r="E34" s="376"/>
    </row>
  </sheetData>
  <mergeCells count="6">
    <mergeCell ref="A3:B3"/>
    <mergeCell ref="B1:E1"/>
    <mergeCell ref="G1:N1"/>
    <mergeCell ref="A2:E2"/>
    <mergeCell ref="G2:I2"/>
    <mergeCell ref="L2:N2"/>
  </mergeCells>
  <pageMargins left="0.23611111111111099" right="0.23611111111111099" top="0.15763888888888899" bottom="0.15763888888888899" header="0.51180555555555496" footer="0.51180555555555496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AMJ38"/>
  <sheetViews>
    <sheetView zoomScale="80" zoomScaleNormal="80" workbookViewId="0">
      <pane ySplit="1" topLeftCell="A2" activePane="bottomLeft" state="frozen"/>
      <selection activeCell="B1" sqref="B1"/>
      <selection pane="bottomLeft" activeCell="AB24" sqref="AB24"/>
    </sheetView>
  </sheetViews>
  <sheetFormatPr defaultColWidth="8.84375" defaultRowHeight="14.6"/>
  <cols>
    <col min="1" max="1" width="5.84375" style="1" customWidth="1"/>
    <col min="2" max="2" width="4.84375" style="1" customWidth="1"/>
    <col min="3" max="3" width="11.53515625" style="7" customWidth="1"/>
    <col min="4" max="4" width="6.84375" style="1" customWidth="1"/>
    <col min="5" max="33" width="3.53515625" style="1" customWidth="1"/>
    <col min="34" max="34" width="3.4609375" style="1" customWidth="1"/>
    <col min="35" max="35" width="4.765625" style="1" hidden="1" customWidth="1"/>
    <col min="36" max="36" width="0.23046875" style="1" customWidth="1"/>
    <col min="37" max="38" width="7.53515625" style="8" customWidth="1"/>
    <col min="39" max="39" width="7.84375" style="1" customWidth="1"/>
    <col min="40" max="40" width="9.23046875" style="1" customWidth="1"/>
    <col min="41" max="41" width="6.4609375" style="1" customWidth="1"/>
    <col min="42" max="42" width="7.23046875" style="1" hidden="1" customWidth="1"/>
    <col min="43" max="43" width="4.23046875" style="1" customWidth="1"/>
    <col min="44" max="44" width="8.84375" style="1"/>
    <col min="45" max="45" width="9.4609375" style="1" customWidth="1"/>
    <col min="46" max="1024" width="8.84375" style="1"/>
  </cols>
  <sheetData>
    <row r="1" spans="1:48" ht="54.65" customHeight="1" thickBot="1">
      <c r="A1" s="1" t="s">
        <v>52</v>
      </c>
      <c r="D1" s="590">
        <v>44501</v>
      </c>
      <c r="E1" s="574">
        <v>44501</v>
      </c>
      <c r="F1" s="574">
        <v>44502</v>
      </c>
      <c r="G1" s="574">
        <v>44503</v>
      </c>
      <c r="H1" s="575">
        <v>44504</v>
      </c>
      <c r="I1" s="575">
        <v>44505</v>
      </c>
      <c r="J1" s="574">
        <v>44506</v>
      </c>
      <c r="K1" s="574">
        <v>44507</v>
      </c>
      <c r="L1" s="574">
        <v>44508</v>
      </c>
      <c r="M1" s="574">
        <v>44509</v>
      </c>
      <c r="N1" s="574">
        <v>44510</v>
      </c>
      <c r="O1" s="575">
        <v>44511</v>
      </c>
      <c r="P1" s="575">
        <v>44512</v>
      </c>
      <c r="Q1" s="574">
        <v>44513</v>
      </c>
      <c r="R1" s="574">
        <v>44514</v>
      </c>
      <c r="S1" s="574">
        <v>44515</v>
      </c>
      <c r="T1" s="574">
        <v>44516</v>
      </c>
      <c r="U1" s="574">
        <v>44517</v>
      </c>
      <c r="V1" s="575">
        <v>44518</v>
      </c>
      <c r="W1" s="575">
        <v>44519</v>
      </c>
      <c r="X1" s="574">
        <v>44520</v>
      </c>
      <c r="Y1" s="574">
        <v>44521</v>
      </c>
      <c r="Z1" s="574">
        <v>44522</v>
      </c>
      <c r="AA1" s="574">
        <v>44523</v>
      </c>
      <c r="AB1" s="574">
        <v>44524</v>
      </c>
      <c r="AC1" s="575">
        <v>44525</v>
      </c>
      <c r="AD1" s="575">
        <v>44526</v>
      </c>
      <c r="AE1" s="574">
        <v>44527</v>
      </c>
      <c r="AF1" s="574">
        <v>44528</v>
      </c>
      <c r="AG1" s="574">
        <v>44529</v>
      </c>
      <c r="AH1" s="574">
        <v>44530</v>
      </c>
      <c r="AI1" s="13"/>
      <c r="AJ1" s="14"/>
      <c r="AK1" s="555">
        <f>20*8</f>
        <v>160</v>
      </c>
      <c r="AL1" s="587" t="s">
        <v>473</v>
      </c>
      <c r="AM1" s="639" t="s">
        <v>53</v>
      </c>
      <c r="AN1" s="640" t="s">
        <v>54</v>
      </c>
      <c r="AO1" s="646" t="s">
        <v>472</v>
      </c>
      <c r="AP1" s="645" t="s">
        <v>436</v>
      </c>
      <c r="AQ1" s="647" t="s">
        <v>169</v>
      </c>
    </row>
    <row r="2" spans="1:48" ht="16.3" thickBot="1">
      <c r="A2" s="1" t="s">
        <v>58</v>
      </c>
      <c r="B2" s="1" t="s">
        <v>59</v>
      </c>
      <c r="C2" s="591" t="str">
        <f>Tabela13[[#This Row],[FUNKCJONARIUSZ]]</f>
        <v>F-sz 001</v>
      </c>
      <c r="D2" s="20">
        <v>19.5</v>
      </c>
      <c r="E2" s="21"/>
      <c r="F2" s="22" t="s">
        <v>59</v>
      </c>
      <c r="G2" s="22"/>
      <c r="H2" s="22"/>
      <c r="I2" s="22"/>
      <c r="J2" s="23"/>
      <c r="K2" s="23"/>
      <c r="L2" s="22"/>
      <c r="M2" s="22"/>
      <c r="N2" s="22"/>
      <c r="O2" s="23"/>
      <c r="P2" s="22"/>
      <c r="Q2" s="23"/>
      <c r="R2" s="23"/>
      <c r="S2" s="437"/>
      <c r="T2" s="437"/>
      <c r="U2" s="437"/>
      <c r="V2" s="437"/>
      <c r="W2" s="437"/>
      <c r="X2" s="556"/>
      <c r="Y2" s="556"/>
      <c r="Z2" s="437"/>
      <c r="AA2" s="437"/>
      <c r="AB2" s="437"/>
      <c r="AC2" s="437"/>
      <c r="AD2" s="437"/>
      <c r="AE2" s="556"/>
      <c r="AF2" s="556"/>
      <c r="AG2" s="437" t="s">
        <v>61</v>
      </c>
      <c r="AH2" s="24" t="s">
        <v>62</v>
      </c>
      <c r="AI2" s="25"/>
      <c r="AJ2" s="440" t="str">
        <f>Tabela13[[#This Row],[FUNKCJONARIUSZ]]</f>
        <v>F-sz 001</v>
      </c>
      <c r="AK2" s="557">
        <f t="shared" ref="AK2:AK29" si="0">D2+AM2+AN2+AO2-$AK$1+AP2+AQ2</f>
        <v>-80.5</v>
      </c>
      <c r="AL2" s="558">
        <f>GRUDZIEŃ!AK2</f>
        <v>-132.5</v>
      </c>
      <c r="AM2">
        <f t="shared" ref="AM2:AM8" si="1">COUNTIF(E2:AI2,"D")*24+COUNTIF(E2:AI2,"12g")*12</f>
        <v>24</v>
      </c>
      <c r="AN2">
        <f>SUM(COUNTIF(E2:AI2,"s"))*24+SUM(COUNTIF(E2:AI2,"ks")+COUNTIF(E2:AI2,"Ps"))*12</f>
        <v>36</v>
      </c>
      <c r="AO2" s="29">
        <f t="shared" ref="AO2:AO11" si="2">SUM(E2:AI2)+COUNTIF(E2:AI2,"uw")*8+COUNTIF(E2:AI2,"us")*8+COUNTIF(E2:AI2,"uz")*8</f>
        <v>0</v>
      </c>
      <c r="AP2" s="1">
        <f>COUNTIF(E2:AI2,"DT")*8</f>
        <v>0</v>
      </c>
      <c r="AQ2" s="1">
        <f>SUM(E2:AI2)+COUNTIF(E2:AI2,"l4")*8+COUNTIF(E2:AI2,"l4")*8+COUNTIF(E2:AI2,"l4")*8</f>
        <v>0</v>
      </c>
      <c r="AV2" s="1">
        <v>19.5</v>
      </c>
    </row>
    <row r="3" spans="1:48" ht="16.3" thickBot="1">
      <c r="A3" s="1" t="s">
        <v>63</v>
      </c>
      <c r="B3" s="1" t="s">
        <v>64</v>
      </c>
      <c r="C3" s="591" t="str">
        <f>Tabela13[[#This Row],[FUNKCJONARIUSZ]]</f>
        <v>F-sz 002</v>
      </c>
      <c r="D3" s="20">
        <v>33</v>
      </c>
      <c r="E3" s="31" t="s">
        <v>62</v>
      </c>
      <c r="F3" s="32" t="s">
        <v>515</v>
      </c>
      <c r="G3" s="32"/>
      <c r="H3" s="32"/>
      <c r="I3" s="32"/>
      <c r="J3" s="33"/>
      <c r="K3" s="33"/>
      <c r="L3" s="32" t="s">
        <v>59</v>
      </c>
      <c r="M3" s="32"/>
      <c r="N3" s="32"/>
      <c r="O3" s="33"/>
      <c r="P3" s="32"/>
      <c r="Q3" s="33"/>
      <c r="R3" s="39"/>
      <c r="S3" s="43"/>
      <c r="T3" s="43"/>
      <c r="U3" s="43"/>
      <c r="V3" s="43"/>
      <c r="W3" s="43"/>
      <c r="X3" s="33"/>
      <c r="Y3" s="39"/>
      <c r="Z3" s="43"/>
      <c r="AA3" s="43"/>
      <c r="AB3" s="43"/>
      <c r="AC3" s="43"/>
      <c r="AD3" s="43"/>
      <c r="AE3" s="33"/>
      <c r="AF3" s="33"/>
      <c r="AG3" s="32"/>
      <c r="AH3" s="34"/>
      <c r="AI3" s="35"/>
      <c r="AJ3" s="440" t="str">
        <f>Tabela13[[#This Row],[FUNKCJONARIUSZ]]</f>
        <v>F-sz 002</v>
      </c>
      <c r="AK3" s="557">
        <f t="shared" si="0"/>
        <v>-67</v>
      </c>
      <c r="AL3" s="559">
        <f>GRUDZIEŃ!AK3</f>
        <v>-59</v>
      </c>
      <c r="AM3">
        <f t="shared" si="1"/>
        <v>24</v>
      </c>
      <c r="AN3">
        <f t="shared" ref="AN3:AN29" si="3">SUM(COUNTIF(E3:AI3,"s"))*24+SUM(COUNTIF(E3:AI3,"ks")+COUNTIF(E3:AI3,"Ps"))*12</f>
        <v>36</v>
      </c>
      <c r="AO3" s="29">
        <f t="shared" si="2"/>
        <v>0</v>
      </c>
      <c r="AP3" s="1">
        <f>COUNTIF(E3:AI3,"DT")*8</f>
        <v>0</v>
      </c>
      <c r="AQ3" s="1">
        <f t="shared" ref="AQ3:AQ29" si="4">SUM(E3:AI3)+COUNTIF(E3:AI3,"l4")*8+COUNTIF(E3:AI3,"l4")*8+COUNTIF(E3:AI3,"l4")*8</f>
        <v>0</v>
      </c>
      <c r="AV3" s="1">
        <v>33</v>
      </c>
    </row>
    <row r="4" spans="1:48" ht="16.3" thickBot="1">
      <c r="A4" s="1" t="s">
        <v>67</v>
      </c>
      <c r="B4" s="1" t="s">
        <v>64</v>
      </c>
      <c r="C4" s="591" t="str">
        <f>Tabela13[[#This Row],[FUNKCJONARIUSZ]]</f>
        <v>F-sz 003</v>
      </c>
      <c r="D4" s="20">
        <v>91</v>
      </c>
      <c r="E4" s="31"/>
      <c r="F4" s="32"/>
      <c r="G4" s="32"/>
      <c r="H4" s="32"/>
      <c r="I4" s="32"/>
      <c r="J4" s="33"/>
      <c r="K4" s="33"/>
      <c r="L4" s="32"/>
      <c r="M4" s="32"/>
      <c r="N4" s="32"/>
      <c r="O4" s="33"/>
      <c r="P4" s="32"/>
      <c r="Q4" s="33"/>
      <c r="R4" s="39"/>
      <c r="S4" s="32"/>
      <c r="T4" s="32"/>
      <c r="U4" s="32"/>
      <c r="V4" s="32"/>
      <c r="W4" s="32"/>
      <c r="X4" s="33"/>
      <c r="Y4" s="33"/>
      <c r="Z4" s="32"/>
      <c r="AA4" s="32"/>
      <c r="AB4" s="32"/>
      <c r="AC4" s="32"/>
      <c r="AD4" s="32"/>
      <c r="AE4" s="33"/>
      <c r="AF4" s="33"/>
      <c r="AG4" s="32"/>
      <c r="AH4" s="34"/>
      <c r="AI4" s="35"/>
      <c r="AJ4" s="440" t="str">
        <f>Tabela13[[#This Row],[FUNKCJONARIUSZ]]</f>
        <v>F-sz 003</v>
      </c>
      <c r="AK4" s="557">
        <f t="shared" si="0"/>
        <v>-69</v>
      </c>
      <c r="AL4" s="560">
        <f>GRUDZIEŃ!AK4</f>
        <v>-85</v>
      </c>
      <c r="AM4">
        <f t="shared" si="1"/>
        <v>0</v>
      </c>
      <c r="AN4">
        <f t="shared" si="3"/>
        <v>0</v>
      </c>
      <c r="AO4" s="29">
        <f t="shared" si="2"/>
        <v>0</v>
      </c>
      <c r="AP4" s="1">
        <f>COUNTIF(E4:AI4,"DT")*8</f>
        <v>0</v>
      </c>
      <c r="AQ4" s="1">
        <f t="shared" si="4"/>
        <v>0</v>
      </c>
      <c r="AV4" s="1">
        <v>91</v>
      </c>
    </row>
    <row r="5" spans="1:48" ht="16.3" thickBot="1">
      <c r="A5" s="1" t="s">
        <v>63</v>
      </c>
      <c r="B5" s="1" t="s">
        <v>64</v>
      </c>
      <c r="C5" s="591" t="str">
        <f>Tabela13[[#This Row],[FUNKCJONARIUSZ]]</f>
        <v>F-sz 004</v>
      </c>
      <c r="D5" s="20">
        <v>6</v>
      </c>
      <c r="E5" s="31"/>
      <c r="F5" s="32"/>
      <c r="G5" s="32"/>
      <c r="H5" s="32"/>
      <c r="I5" s="32"/>
      <c r="J5" s="33"/>
      <c r="K5" s="33"/>
      <c r="L5" s="32"/>
      <c r="M5" s="32"/>
      <c r="N5" s="32" t="s">
        <v>59</v>
      </c>
      <c r="O5" s="33"/>
      <c r="P5" s="32"/>
      <c r="Q5" s="33"/>
      <c r="R5" s="33" t="s">
        <v>59</v>
      </c>
      <c r="S5" s="32"/>
      <c r="T5" s="32"/>
      <c r="U5" s="32"/>
      <c r="V5" s="32"/>
      <c r="W5" s="32"/>
      <c r="X5" s="33"/>
      <c r="Y5" s="33"/>
      <c r="Z5" s="32"/>
      <c r="AA5" s="32"/>
      <c r="AB5" s="32"/>
      <c r="AC5" s="32" t="s">
        <v>113</v>
      </c>
      <c r="AD5" s="32"/>
      <c r="AE5" s="33"/>
      <c r="AF5" s="33"/>
      <c r="AG5" s="32" t="s">
        <v>61</v>
      </c>
      <c r="AH5" s="34" t="s">
        <v>62</v>
      </c>
      <c r="AI5" s="35"/>
      <c r="AJ5" s="440" t="str">
        <f>Tabela13[[#This Row],[FUNKCJONARIUSZ]]</f>
        <v>F-sz 004</v>
      </c>
      <c r="AK5" s="557">
        <f t="shared" si="0"/>
        <v>-46</v>
      </c>
      <c r="AL5" s="560">
        <f>GRUDZIEŃ!AK5</f>
        <v>-50</v>
      </c>
      <c r="AM5">
        <f t="shared" si="1"/>
        <v>72</v>
      </c>
      <c r="AN5">
        <f t="shared" si="3"/>
        <v>36</v>
      </c>
      <c r="AO5" s="29">
        <f t="shared" si="2"/>
        <v>0</v>
      </c>
      <c r="AP5" s="1">
        <f>COUNTIF(E5:AI5,"DT")*8</f>
        <v>0</v>
      </c>
      <c r="AQ5" s="1">
        <f t="shared" si="4"/>
        <v>0</v>
      </c>
      <c r="AS5" s="642" t="s">
        <v>59</v>
      </c>
      <c r="AT5" s="1" t="s">
        <v>72</v>
      </c>
      <c r="AU5" s="1">
        <v>24</v>
      </c>
      <c r="AV5" s="1">
        <v>6</v>
      </c>
    </row>
    <row r="6" spans="1:48" ht="16.3" thickBot="1">
      <c r="A6" s="1" t="s">
        <v>67</v>
      </c>
      <c r="B6" s="1" t="s">
        <v>73</v>
      </c>
      <c r="C6" s="591" t="str">
        <f>Tabela13[[#This Row],[FUNKCJONARIUSZ]]</f>
        <v>F-sz 005</v>
      </c>
      <c r="D6" s="20">
        <v>66.5</v>
      </c>
      <c r="E6" s="31"/>
      <c r="F6" s="32"/>
      <c r="G6" s="32"/>
      <c r="H6" s="32"/>
      <c r="I6" s="32"/>
      <c r="J6" s="33"/>
      <c r="K6" s="33"/>
      <c r="L6" s="32"/>
      <c r="M6" s="32" t="s">
        <v>75</v>
      </c>
      <c r="N6" s="32" t="s">
        <v>75</v>
      </c>
      <c r="O6" s="33"/>
      <c r="P6" s="32" t="s">
        <v>75</v>
      </c>
      <c r="Q6" s="33"/>
      <c r="R6" s="33"/>
      <c r="S6" s="32" t="s">
        <v>75</v>
      </c>
      <c r="T6" s="32" t="s">
        <v>75</v>
      </c>
      <c r="U6" s="32" t="s">
        <v>75</v>
      </c>
      <c r="V6" s="32" t="s">
        <v>75</v>
      </c>
      <c r="W6" s="32" t="s">
        <v>75</v>
      </c>
      <c r="X6" s="33"/>
      <c r="Y6" s="33"/>
      <c r="Z6" s="32"/>
      <c r="AA6" s="32"/>
      <c r="AB6" s="32"/>
      <c r="AC6" s="32"/>
      <c r="AD6" s="32"/>
      <c r="AE6" s="33"/>
      <c r="AF6" s="33"/>
      <c r="AG6" s="32"/>
      <c r="AH6" s="34"/>
      <c r="AI6" s="35"/>
      <c r="AJ6" s="440" t="str">
        <f>Tabela13[[#This Row],[FUNKCJONARIUSZ]]</f>
        <v>F-sz 005</v>
      </c>
      <c r="AK6" s="557">
        <f t="shared" si="0"/>
        <v>-29.5</v>
      </c>
      <c r="AL6" s="560">
        <f>GRUDZIEŃ!AK6</f>
        <v>-13.5</v>
      </c>
      <c r="AM6">
        <f t="shared" si="1"/>
        <v>0</v>
      </c>
      <c r="AN6">
        <f t="shared" si="3"/>
        <v>0</v>
      </c>
      <c r="AO6" s="29">
        <f t="shared" si="2"/>
        <v>64</v>
      </c>
      <c r="AP6" s="1">
        <f>COUNTIF(E6:AI6,"DT")*8</f>
        <v>0</v>
      </c>
      <c r="AQ6" s="1">
        <f t="shared" si="4"/>
        <v>0</v>
      </c>
      <c r="AS6" s="642" t="s">
        <v>76</v>
      </c>
      <c r="AT6" s="1" t="s">
        <v>77</v>
      </c>
      <c r="AU6" s="1">
        <v>12</v>
      </c>
      <c r="AV6" s="1">
        <v>66.5</v>
      </c>
    </row>
    <row r="7" spans="1:48" ht="16.3" thickBot="1">
      <c r="A7" s="1" t="s">
        <v>67</v>
      </c>
      <c r="B7" s="1" t="s">
        <v>59</v>
      </c>
      <c r="C7" s="591" t="str">
        <f>Tabela13[[#This Row],[FUNKCJONARIUSZ]]</f>
        <v>F-sz 006</v>
      </c>
      <c r="D7" s="20">
        <v>-30</v>
      </c>
      <c r="E7" s="31"/>
      <c r="F7" s="32"/>
      <c r="G7" s="32"/>
      <c r="H7" s="32"/>
      <c r="I7" s="32"/>
      <c r="J7" s="33"/>
      <c r="K7" s="33"/>
      <c r="L7" s="32"/>
      <c r="M7" s="32"/>
      <c r="N7" s="32"/>
      <c r="O7" s="33"/>
      <c r="P7" s="32"/>
      <c r="Q7" s="33"/>
      <c r="R7" s="33"/>
      <c r="S7" s="32" t="s">
        <v>69</v>
      </c>
      <c r="T7" s="32" t="s">
        <v>70</v>
      </c>
      <c r="U7" s="32" t="s">
        <v>70</v>
      </c>
      <c r="V7" s="32" t="s">
        <v>70</v>
      </c>
      <c r="W7" s="32" t="s">
        <v>70</v>
      </c>
      <c r="X7" s="33" t="s">
        <v>70</v>
      </c>
      <c r="Y7" s="33" t="s">
        <v>70</v>
      </c>
      <c r="Z7" s="32" t="s">
        <v>515</v>
      </c>
      <c r="AA7" s="32"/>
      <c r="AB7" s="32"/>
      <c r="AC7" s="32"/>
      <c r="AD7" s="32"/>
      <c r="AE7" s="33"/>
      <c r="AF7" s="33"/>
      <c r="AG7" s="32"/>
      <c r="AH7" s="34"/>
      <c r="AI7" s="35"/>
      <c r="AJ7" s="440" t="str">
        <f>Tabela13[[#This Row],[FUNKCJONARIUSZ]]</f>
        <v>F-sz 006</v>
      </c>
      <c r="AK7" s="557">
        <f t="shared" si="0"/>
        <v>-22</v>
      </c>
      <c r="AL7" s="560">
        <f>GRUDZIEŃ!AK7</f>
        <v>-62</v>
      </c>
      <c r="AM7">
        <f t="shared" si="1"/>
        <v>0</v>
      </c>
      <c r="AN7">
        <f t="shared" si="3"/>
        <v>168</v>
      </c>
      <c r="AO7" s="29">
        <f t="shared" si="2"/>
        <v>0</v>
      </c>
      <c r="AP7" s="1">
        <v>0</v>
      </c>
      <c r="AQ7" s="1">
        <f t="shared" si="4"/>
        <v>0</v>
      </c>
      <c r="AS7" s="644" t="s">
        <v>69</v>
      </c>
      <c r="AT7" s="1" t="s">
        <v>79</v>
      </c>
      <c r="AU7" s="1">
        <v>12</v>
      </c>
      <c r="AV7" s="1">
        <v>-30</v>
      </c>
    </row>
    <row r="8" spans="1:48" ht="16.3" thickBot="1">
      <c r="A8" s="1" t="s">
        <v>67</v>
      </c>
      <c r="B8" s="1" t="s">
        <v>59</v>
      </c>
      <c r="C8" s="591" t="str">
        <f>Tabela13[[#This Row],[FUNKCJONARIUSZ]]</f>
        <v>F-sz 007</v>
      </c>
      <c r="D8" s="20">
        <v>22</v>
      </c>
      <c r="E8" s="31"/>
      <c r="F8" s="32" t="s">
        <v>61</v>
      </c>
      <c r="G8" s="32" t="s">
        <v>62</v>
      </c>
      <c r="H8" s="32" t="s">
        <v>62</v>
      </c>
      <c r="I8" s="32" t="s">
        <v>62</v>
      </c>
      <c r="J8" s="33" t="s">
        <v>62</v>
      </c>
      <c r="K8" s="33" t="s">
        <v>62</v>
      </c>
      <c r="L8" s="32" t="s">
        <v>515</v>
      </c>
      <c r="M8" s="32"/>
      <c r="N8" s="32"/>
      <c r="O8" s="33"/>
      <c r="P8" s="32"/>
      <c r="Q8" s="33"/>
      <c r="R8" s="33"/>
      <c r="S8" s="32"/>
      <c r="T8" s="32"/>
      <c r="U8" s="32"/>
      <c r="V8" s="32"/>
      <c r="W8" s="32"/>
      <c r="X8" s="33"/>
      <c r="Y8" s="33"/>
      <c r="Z8" s="37" t="s">
        <v>61</v>
      </c>
      <c r="AA8" s="37" t="s">
        <v>62</v>
      </c>
      <c r="AB8" s="37" t="s">
        <v>62</v>
      </c>
      <c r="AC8" s="37" t="s">
        <v>62</v>
      </c>
      <c r="AD8" s="37" t="s">
        <v>62</v>
      </c>
      <c r="AE8" s="38" t="s">
        <v>62</v>
      </c>
      <c r="AF8" s="38" t="s">
        <v>62</v>
      </c>
      <c r="AG8" s="37" t="s">
        <v>515</v>
      </c>
      <c r="AH8" s="34"/>
      <c r="AI8" s="35"/>
      <c r="AJ8" s="440" t="str">
        <f>Tabela13[[#This Row],[FUNKCJONARIUSZ]]</f>
        <v>F-sz 007</v>
      </c>
      <c r="AK8" s="557">
        <f t="shared" si="0"/>
        <v>174</v>
      </c>
      <c r="AL8" s="560">
        <f>GRUDZIEŃ!AK8</f>
        <v>-10</v>
      </c>
      <c r="AM8">
        <f t="shared" si="1"/>
        <v>0</v>
      </c>
      <c r="AN8">
        <f t="shared" si="3"/>
        <v>312</v>
      </c>
      <c r="AO8" s="29">
        <f t="shared" si="2"/>
        <v>0</v>
      </c>
      <c r="AP8" s="1">
        <f>COUNTIF(E8:AI8,"DT")*8</f>
        <v>0</v>
      </c>
      <c r="AQ8" s="1">
        <f t="shared" si="4"/>
        <v>0</v>
      </c>
      <c r="AS8" s="642" t="s">
        <v>70</v>
      </c>
      <c r="AT8" s="1" t="s">
        <v>81</v>
      </c>
      <c r="AU8" s="1">
        <v>24</v>
      </c>
      <c r="AV8" s="1">
        <v>22</v>
      </c>
    </row>
    <row r="9" spans="1:48" ht="16.3" thickBot="1">
      <c r="A9" s="1" t="s">
        <v>67</v>
      </c>
      <c r="B9" s="1" t="s">
        <v>59</v>
      </c>
      <c r="C9" s="591" t="str">
        <f>Tabela13[[#This Row],[FUNKCJONARIUSZ]]</f>
        <v>F-sz 008</v>
      </c>
      <c r="D9" s="20">
        <v>116</v>
      </c>
      <c r="E9" s="31" t="s">
        <v>62</v>
      </c>
      <c r="F9" s="32" t="s">
        <v>515</v>
      </c>
      <c r="G9" s="32"/>
      <c r="H9" s="32"/>
      <c r="I9" s="32"/>
      <c r="J9" s="33"/>
      <c r="K9" s="33"/>
      <c r="L9" s="32"/>
      <c r="M9" s="32"/>
      <c r="N9" s="32"/>
      <c r="O9" s="33"/>
      <c r="P9" s="32"/>
      <c r="Q9" s="33"/>
      <c r="R9" s="33"/>
      <c r="S9" s="32"/>
      <c r="T9" s="32"/>
      <c r="U9" s="32"/>
      <c r="V9" s="32"/>
      <c r="W9" s="32"/>
      <c r="X9" s="33"/>
      <c r="Y9" s="39"/>
      <c r="Z9" s="32"/>
      <c r="AA9" s="40"/>
      <c r="AB9" s="32"/>
      <c r="AC9" s="32"/>
      <c r="AD9" s="32"/>
      <c r="AE9" s="33"/>
      <c r="AF9" s="33"/>
      <c r="AG9" s="32"/>
      <c r="AH9" s="35"/>
      <c r="AI9" s="35"/>
      <c r="AJ9" s="440" t="str">
        <f>Tabela13[[#This Row],[FUNKCJONARIUSZ]]</f>
        <v>F-sz 008</v>
      </c>
      <c r="AK9" s="557">
        <f t="shared" si="0"/>
        <v>-8</v>
      </c>
      <c r="AL9" s="560">
        <f>GRUDZIEŃ!AK9</f>
        <v>-36</v>
      </c>
      <c r="AM9">
        <f>(COUNTIF(E9:AI9,"W")+COUNTIF(E9:AI9,"D"))*24+COUNTIF(E9:AI9,"12g")*12</f>
        <v>0</v>
      </c>
      <c r="AN9">
        <f t="shared" si="3"/>
        <v>36</v>
      </c>
      <c r="AO9" s="29">
        <f t="shared" si="2"/>
        <v>0</v>
      </c>
      <c r="AP9" s="1">
        <f>COUNTIF(E9:AI9,"DT")*8</f>
        <v>0</v>
      </c>
      <c r="AQ9" s="1">
        <f t="shared" si="4"/>
        <v>0</v>
      </c>
      <c r="AS9" s="642" t="s">
        <v>83</v>
      </c>
      <c r="AT9" s="1" t="s">
        <v>84</v>
      </c>
      <c r="AU9" s="1">
        <v>8</v>
      </c>
      <c r="AV9" s="1">
        <v>116</v>
      </c>
    </row>
    <row r="10" spans="1:48" ht="16.3" thickBot="1">
      <c r="A10" s="1" t="s">
        <v>58</v>
      </c>
      <c r="B10" s="1" t="s">
        <v>73</v>
      </c>
      <c r="C10" s="591" t="str">
        <f>Tabela13[[#This Row],[FUNKCJONARIUSZ]]</f>
        <v>F-sz 009</v>
      </c>
      <c r="D10" s="20">
        <v>35</v>
      </c>
      <c r="E10" s="31"/>
      <c r="F10" s="32"/>
      <c r="G10" s="32"/>
      <c r="H10" s="32"/>
      <c r="I10" s="32"/>
      <c r="J10" s="33"/>
      <c r="K10" s="33"/>
      <c r="L10" s="32"/>
      <c r="M10" s="32"/>
      <c r="N10" s="32"/>
      <c r="O10" s="33"/>
      <c r="P10" s="32" t="s">
        <v>61</v>
      </c>
      <c r="Q10" s="33" t="s">
        <v>62</v>
      </c>
      <c r="R10" s="33" t="s">
        <v>62</v>
      </c>
      <c r="S10" s="32" t="s">
        <v>515</v>
      </c>
      <c r="T10" s="32"/>
      <c r="U10" s="32"/>
      <c r="V10" s="32"/>
      <c r="W10" s="32"/>
      <c r="X10" s="33"/>
      <c r="Y10" s="33"/>
      <c r="Z10" s="41" t="s">
        <v>61</v>
      </c>
      <c r="AA10" s="41" t="s">
        <v>62</v>
      </c>
      <c r="AB10" s="41" t="s">
        <v>62</v>
      </c>
      <c r="AC10" s="41" t="s">
        <v>62</v>
      </c>
      <c r="AD10" s="41" t="s">
        <v>62</v>
      </c>
      <c r="AE10" s="42" t="s">
        <v>62</v>
      </c>
      <c r="AF10" s="42" t="s">
        <v>62</v>
      </c>
      <c r="AG10" s="406" t="s">
        <v>515</v>
      </c>
      <c r="AH10" s="35"/>
      <c r="AI10" s="35"/>
      <c r="AJ10" s="440" t="str">
        <f>Tabela13[[#This Row],[FUNKCJONARIUSZ]]</f>
        <v>F-sz 009</v>
      </c>
      <c r="AK10" s="557">
        <f t="shared" si="0"/>
        <v>115</v>
      </c>
      <c r="AL10" s="560">
        <f>GRUDZIEŃ!AK10</f>
        <v>39</v>
      </c>
      <c r="AM10">
        <f t="shared" ref="AM10:AM29" si="5">(COUNTIF(E10:AI10,"W")+COUNTIF(E10:AI10,"D"))*24+COUNTIF(E10:AI10,"12g")*12</f>
        <v>0</v>
      </c>
      <c r="AN10">
        <f t="shared" si="3"/>
        <v>240</v>
      </c>
      <c r="AO10" s="29">
        <f t="shared" si="2"/>
        <v>0</v>
      </c>
      <c r="AP10" s="1">
        <f>COUNTIF(E10:AI10,"DT")*8</f>
        <v>0</v>
      </c>
      <c r="AQ10" s="1">
        <f t="shared" si="4"/>
        <v>0</v>
      </c>
      <c r="AS10" s="642" t="s">
        <v>75</v>
      </c>
      <c r="AT10" s="1" t="s">
        <v>86</v>
      </c>
      <c r="AU10" s="1">
        <v>8</v>
      </c>
      <c r="AV10" s="1">
        <v>35</v>
      </c>
    </row>
    <row r="11" spans="1:48" ht="16.3" thickBot="1">
      <c r="A11" s="1" t="s">
        <v>58</v>
      </c>
      <c r="B11" s="1" t="s">
        <v>73</v>
      </c>
      <c r="C11" s="591" t="str">
        <f>Tabela13[[#This Row],[FUNKCJONARIUSZ]]</f>
        <v>F-sz 010</v>
      </c>
      <c r="D11" s="20">
        <v>40.5</v>
      </c>
      <c r="E11" s="31" t="s">
        <v>62</v>
      </c>
      <c r="F11" s="32" t="s">
        <v>515</v>
      </c>
      <c r="G11" s="32"/>
      <c r="H11" s="32"/>
      <c r="I11" s="32"/>
      <c r="J11" s="33"/>
      <c r="K11" s="33"/>
      <c r="L11" s="32"/>
      <c r="M11" s="32"/>
      <c r="N11" s="32"/>
      <c r="O11" s="33"/>
      <c r="P11" s="32"/>
      <c r="Q11" s="33"/>
      <c r="R11" s="39"/>
      <c r="S11" s="32" t="s">
        <v>61</v>
      </c>
      <c r="T11" s="32" t="s">
        <v>62</v>
      </c>
      <c r="U11" s="32" t="s">
        <v>62</v>
      </c>
      <c r="V11" s="32" t="s">
        <v>62</v>
      </c>
      <c r="W11" s="32" t="s">
        <v>62</v>
      </c>
      <c r="X11" s="33" t="s">
        <v>62</v>
      </c>
      <c r="Y11" s="33" t="s">
        <v>62</v>
      </c>
      <c r="Z11" s="32" t="s">
        <v>515</v>
      </c>
      <c r="AA11" s="32"/>
      <c r="AB11" s="32"/>
      <c r="AC11" s="32"/>
      <c r="AD11" s="32"/>
      <c r="AE11" s="33"/>
      <c r="AF11" s="561"/>
      <c r="AG11" s="43"/>
      <c r="AH11" s="35"/>
      <c r="AI11" s="35"/>
      <c r="AJ11" s="440" t="str">
        <f>Tabela13[[#This Row],[FUNKCJONARIUSZ]]</f>
        <v>F-sz 010</v>
      </c>
      <c r="AK11" s="557">
        <f t="shared" si="0"/>
        <v>84.5</v>
      </c>
      <c r="AL11" s="560">
        <f>GRUDZIEŃ!AK11</f>
        <v>68.5</v>
      </c>
      <c r="AM11">
        <f t="shared" si="5"/>
        <v>0</v>
      </c>
      <c r="AN11">
        <f t="shared" si="3"/>
        <v>204</v>
      </c>
      <c r="AO11" s="29">
        <f t="shared" si="2"/>
        <v>0</v>
      </c>
      <c r="AQ11" s="1">
        <f t="shared" si="4"/>
        <v>0</v>
      </c>
      <c r="AS11" s="642" t="s">
        <v>88</v>
      </c>
      <c r="AT11" s="1" t="s">
        <v>89</v>
      </c>
      <c r="AU11" s="1">
        <v>8</v>
      </c>
      <c r="AV11" s="1">
        <v>40.5</v>
      </c>
    </row>
    <row r="12" spans="1:48" ht="16.3" thickBot="1">
      <c r="A12" s="1" t="s">
        <v>90</v>
      </c>
      <c r="B12" s="1" t="s">
        <v>64</v>
      </c>
      <c r="C12" s="591" t="str">
        <f>Tabela13[[#This Row],[FUNKCJONARIUSZ]]</f>
        <v>F-sz 011</v>
      </c>
      <c r="D12" s="20">
        <v>18</v>
      </c>
      <c r="E12" s="31"/>
      <c r="F12" s="32"/>
      <c r="G12" s="32"/>
      <c r="H12" s="32"/>
      <c r="I12" s="32"/>
      <c r="J12" s="33"/>
      <c r="K12" s="33"/>
      <c r="L12" s="43" t="s">
        <v>61</v>
      </c>
      <c r="M12" s="32" t="s">
        <v>62</v>
      </c>
      <c r="N12" s="32" t="s">
        <v>62</v>
      </c>
      <c r="O12" s="33" t="s">
        <v>62</v>
      </c>
      <c r="P12" s="32" t="s">
        <v>515</v>
      </c>
      <c r="Q12" s="33"/>
      <c r="R12" s="39"/>
      <c r="S12" s="43"/>
      <c r="T12" s="43"/>
      <c r="U12" s="43"/>
      <c r="V12" s="43"/>
      <c r="W12" s="43"/>
      <c r="X12" s="33"/>
      <c r="Y12" s="33"/>
      <c r="Z12" s="32" t="s">
        <v>61</v>
      </c>
      <c r="AA12" s="32" t="s">
        <v>62</v>
      </c>
      <c r="AB12" s="32" t="s">
        <v>62</v>
      </c>
      <c r="AC12" s="32" t="s">
        <v>62</v>
      </c>
      <c r="AD12" s="32" t="s">
        <v>62</v>
      </c>
      <c r="AE12" s="33" t="s">
        <v>62</v>
      </c>
      <c r="AF12" s="561" t="s">
        <v>62</v>
      </c>
      <c r="AG12" s="43" t="s">
        <v>515</v>
      </c>
      <c r="AH12" s="303"/>
      <c r="AI12" s="35"/>
      <c r="AJ12" s="440" t="str">
        <f>Tabela13[[#This Row],[FUNKCJONARIUSZ]]</f>
        <v>F-sz 011</v>
      </c>
      <c r="AK12" s="557">
        <f t="shared" si="0"/>
        <v>122</v>
      </c>
      <c r="AL12" s="560">
        <f>GRUDZIEŃ!AK12</f>
        <v>-62</v>
      </c>
      <c r="AM12">
        <f t="shared" si="5"/>
        <v>0</v>
      </c>
      <c r="AN12">
        <f t="shared" si="3"/>
        <v>264</v>
      </c>
      <c r="AO12" s="29"/>
      <c r="AP12" s="1">
        <f t="shared" ref="AP12:AP17" si="6">COUNTIF(E12:AI12,"DT")*8</f>
        <v>0</v>
      </c>
      <c r="AQ12" s="1">
        <f t="shared" si="4"/>
        <v>0</v>
      </c>
      <c r="AS12" s="642" t="s">
        <v>92</v>
      </c>
      <c r="AT12" s="1" t="s">
        <v>79</v>
      </c>
      <c r="AU12" s="1">
        <v>12</v>
      </c>
      <c r="AV12" s="1">
        <v>18</v>
      </c>
    </row>
    <row r="13" spans="1:48" ht="16.3" thickBot="1">
      <c r="A13" s="1" t="s">
        <v>58</v>
      </c>
      <c r="B13" s="1" t="s">
        <v>93</v>
      </c>
      <c r="C13" s="591" t="str">
        <f>Tabela13[[#This Row],[FUNKCJONARIUSZ]]</f>
        <v>F-sz 012</v>
      </c>
      <c r="D13" s="20">
        <v>-81</v>
      </c>
      <c r="E13" s="31"/>
      <c r="F13" s="32" t="s">
        <v>61</v>
      </c>
      <c r="G13" s="32" t="s">
        <v>62</v>
      </c>
      <c r="H13" s="32" t="s">
        <v>62</v>
      </c>
      <c r="I13" s="32" t="s">
        <v>62</v>
      </c>
      <c r="J13" s="33" t="s">
        <v>62</v>
      </c>
      <c r="K13" s="33" t="s">
        <v>62</v>
      </c>
      <c r="L13" s="32" t="s">
        <v>515</v>
      </c>
      <c r="M13" s="32"/>
      <c r="N13" s="32"/>
      <c r="O13" s="33"/>
      <c r="P13" s="32"/>
      <c r="Q13" s="33"/>
      <c r="R13" s="39"/>
      <c r="S13" s="32"/>
      <c r="T13" s="32"/>
      <c r="U13" s="32"/>
      <c r="V13" s="32"/>
      <c r="W13" s="32"/>
      <c r="X13" s="33"/>
      <c r="Y13" s="33"/>
      <c r="Z13" s="32" t="s">
        <v>61</v>
      </c>
      <c r="AA13" s="32" t="s">
        <v>62</v>
      </c>
      <c r="AB13" s="32" t="s">
        <v>62</v>
      </c>
      <c r="AC13" s="32" t="s">
        <v>62</v>
      </c>
      <c r="AD13" s="32" t="s">
        <v>62</v>
      </c>
      <c r="AE13" s="33" t="s">
        <v>62</v>
      </c>
      <c r="AF13" s="561" t="s">
        <v>62</v>
      </c>
      <c r="AG13" s="32" t="s">
        <v>515</v>
      </c>
      <c r="AH13" s="34"/>
      <c r="AI13" s="35"/>
      <c r="AJ13" s="440" t="str">
        <f>Tabela13[[#This Row],[FUNKCJONARIUSZ]]</f>
        <v>F-sz 012</v>
      </c>
      <c r="AK13" s="557">
        <f t="shared" si="0"/>
        <v>71</v>
      </c>
      <c r="AL13" s="560">
        <f>GRUDZIEŃ!AK13</f>
        <v>55</v>
      </c>
      <c r="AM13">
        <f t="shared" si="5"/>
        <v>0</v>
      </c>
      <c r="AN13">
        <f t="shared" si="3"/>
        <v>312</v>
      </c>
      <c r="AO13" s="29">
        <f t="shared" ref="AO13:AO29" si="7">SUM(E13:AI13)+COUNTIF(E13:AI13,"uw")*8+COUNTIF(E13:AI13,"us")*8+COUNTIF(E13:AI13,"uz")*8</f>
        <v>0</v>
      </c>
      <c r="AP13" s="1">
        <f t="shared" si="6"/>
        <v>0</v>
      </c>
      <c r="AQ13" s="1">
        <f t="shared" si="4"/>
        <v>0</v>
      </c>
      <c r="AS13" s="642" t="s">
        <v>95</v>
      </c>
      <c r="AT13" s="1" t="s">
        <v>96</v>
      </c>
      <c r="AU13" s="1">
        <v>24</v>
      </c>
      <c r="AV13" s="1">
        <v>-81</v>
      </c>
    </row>
    <row r="14" spans="1:48" ht="16.3" thickBot="1">
      <c r="A14" s="1" t="s">
        <v>90</v>
      </c>
      <c r="B14" s="1" t="s">
        <v>59</v>
      </c>
      <c r="C14" s="591" t="str">
        <f>Tabela13[[#This Row],[FUNKCJONARIUSZ]]</f>
        <v>F-sz 013</v>
      </c>
      <c r="D14" s="20">
        <v>97</v>
      </c>
      <c r="E14" s="31"/>
      <c r="F14" s="32"/>
      <c r="G14" s="32" t="s">
        <v>59</v>
      </c>
      <c r="H14" s="32"/>
      <c r="I14" s="32"/>
      <c r="J14" s="33"/>
      <c r="K14" s="33"/>
      <c r="L14" s="32"/>
      <c r="M14" s="32"/>
      <c r="N14" s="32"/>
      <c r="O14" s="33"/>
      <c r="P14" s="32"/>
      <c r="Q14" s="33"/>
      <c r="R14" s="39"/>
      <c r="S14" s="32"/>
      <c r="T14" s="32"/>
      <c r="U14" s="32"/>
      <c r="V14" s="32"/>
      <c r="W14" s="32"/>
      <c r="X14" s="33"/>
      <c r="Y14" s="33"/>
      <c r="Z14" s="32"/>
      <c r="AA14" s="32"/>
      <c r="AB14" s="32"/>
      <c r="AC14" s="32"/>
      <c r="AD14" s="32"/>
      <c r="AE14" s="33"/>
      <c r="AF14" s="33"/>
      <c r="AG14" s="32"/>
      <c r="AH14" s="34" t="s">
        <v>59</v>
      </c>
      <c r="AI14" s="35"/>
      <c r="AJ14" s="440" t="str">
        <f>Tabela13[[#This Row],[FUNKCJONARIUSZ]]</f>
        <v>F-sz 013</v>
      </c>
      <c r="AK14" s="557">
        <f t="shared" si="0"/>
        <v>-15</v>
      </c>
      <c r="AL14" s="560">
        <f>GRUDZIEŃ!AK14</f>
        <v>-55</v>
      </c>
      <c r="AM14">
        <f t="shared" si="5"/>
        <v>48</v>
      </c>
      <c r="AN14">
        <f t="shared" si="3"/>
        <v>0</v>
      </c>
      <c r="AO14" s="29">
        <f t="shared" si="7"/>
        <v>0</v>
      </c>
      <c r="AP14" s="1">
        <f t="shared" si="6"/>
        <v>0</v>
      </c>
      <c r="AQ14" s="1">
        <f t="shared" si="4"/>
        <v>0</v>
      </c>
      <c r="AS14" s="642" t="s">
        <v>98</v>
      </c>
      <c r="AT14" s="1" t="s">
        <v>99</v>
      </c>
      <c r="AU14" s="1">
        <v>24</v>
      </c>
      <c r="AV14" s="1">
        <v>97</v>
      </c>
    </row>
    <row r="15" spans="1:48" ht="16.3" thickBot="1">
      <c r="A15" s="1" t="s">
        <v>58</v>
      </c>
      <c r="B15" s="1" t="s">
        <v>93</v>
      </c>
      <c r="C15" s="591" t="str">
        <f>Tabela13[[#This Row],[FUNKCJONARIUSZ]]</f>
        <v>F-sz 014</v>
      </c>
      <c r="D15" s="20">
        <v>33.5</v>
      </c>
      <c r="E15" s="31"/>
      <c r="F15" s="32"/>
      <c r="G15" s="32"/>
      <c r="H15" s="32" t="s">
        <v>59</v>
      </c>
      <c r="I15" s="32"/>
      <c r="J15" s="33"/>
      <c r="K15" s="33"/>
      <c r="L15" s="32" t="s">
        <v>61</v>
      </c>
      <c r="M15" s="32" t="s">
        <v>62</v>
      </c>
      <c r="N15" s="32" t="s">
        <v>62</v>
      </c>
      <c r="O15" s="33" t="s">
        <v>62</v>
      </c>
      <c r="P15" s="32" t="s">
        <v>515</v>
      </c>
      <c r="Q15" s="33"/>
      <c r="R15" s="33"/>
      <c r="S15" s="32"/>
      <c r="T15" s="32"/>
      <c r="U15" s="32"/>
      <c r="V15" s="32" t="s">
        <v>113</v>
      </c>
      <c r="W15" s="32"/>
      <c r="X15" s="33"/>
      <c r="Y15" s="33"/>
      <c r="Z15" s="32" t="s">
        <v>101</v>
      </c>
      <c r="AA15" s="32" t="s">
        <v>101</v>
      </c>
      <c r="AB15" s="32" t="s">
        <v>101</v>
      </c>
      <c r="AC15" s="32" t="s">
        <v>101</v>
      </c>
      <c r="AD15" s="32" t="s">
        <v>101</v>
      </c>
      <c r="AE15" s="33"/>
      <c r="AF15" s="33"/>
      <c r="AG15" s="32" t="s">
        <v>59</v>
      </c>
      <c r="AH15" s="34"/>
      <c r="AI15" s="35"/>
      <c r="AJ15" s="440" t="str">
        <f>Tabela13[[#This Row],[FUNKCJONARIUSZ]]</f>
        <v>F-sz 014</v>
      </c>
      <c r="AK15" s="557">
        <f t="shared" si="0"/>
        <v>161.5</v>
      </c>
      <c r="AL15" s="560">
        <f>GRUDZIEŃ!AK15</f>
        <v>49.5</v>
      </c>
      <c r="AM15">
        <f t="shared" si="5"/>
        <v>72</v>
      </c>
      <c r="AN15">
        <f t="shared" si="3"/>
        <v>96</v>
      </c>
      <c r="AO15" s="29">
        <f t="shared" si="7"/>
        <v>0</v>
      </c>
      <c r="AP15" s="1">
        <f t="shared" si="6"/>
        <v>0</v>
      </c>
      <c r="AQ15" s="1">
        <f t="shared" si="4"/>
        <v>120</v>
      </c>
      <c r="AS15" s="643" t="s">
        <v>101</v>
      </c>
      <c r="AT15" s="1" t="s">
        <v>102</v>
      </c>
      <c r="AU15" s="1" t="s">
        <v>103</v>
      </c>
      <c r="AV15" s="1">
        <v>33.5</v>
      </c>
    </row>
    <row r="16" spans="1:48" ht="16.3" thickBot="1">
      <c r="A16" s="1" t="s">
        <v>90</v>
      </c>
      <c r="B16" s="1" t="s">
        <v>64</v>
      </c>
      <c r="C16" s="591" t="str">
        <f>Tabela13[[#This Row],[FUNKCJONARIUSZ]]</f>
        <v>F-sz 015</v>
      </c>
      <c r="D16" s="20">
        <v>53</v>
      </c>
      <c r="E16" s="31" t="s">
        <v>113</v>
      </c>
      <c r="F16" s="32"/>
      <c r="G16" s="32"/>
      <c r="H16" s="32"/>
      <c r="I16" s="32"/>
      <c r="J16" s="33"/>
      <c r="K16" s="33"/>
      <c r="L16" s="32"/>
      <c r="M16" s="32"/>
      <c r="N16" s="32"/>
      <c r="O16" s="33"/>
      <c r="P16" s="32"/>
      <c r="Q16" s="33"/>
      <c r="R16" s="33"/>
      <c r="S16" s="32" t="s">
        <v>61</v>
      </c>
      <c r="T16" s="32" t="s">
        <v>62</v>
      </c>
      <c r="U16" s="32" t="s">
        <v>62</v>
      </c>
      <c r="V16" s="32" t="s">
        <v>62</v>
      </c>
      <c r="W16" s="32" t="s">
        <v>62</v>
      </c>
      <c r="X16" s="33" t="s">
        <v>62</v>
      </c>
      <c r="Y16" s="33" t="s">
        <v>62</v>
      </c>
      <c r="Z16" s="32" t="s">
        <v>515</v>
      </c>
      <c r="AA16" s="32"/>
      <c r="AB16" s="32"/>
      <c r="AC16" s="32"/>
      <c r="AD16" s="32"/>
      <c r="AE16" s="33"/>
      <c r="AF16" s="33"/>
      <c r="AG16" s="32"/>
      <c r="AH16" s="34"/>
      <c r="AI16" s="35"/>
      <c r="AJ16" s="440" t="str">
        <f>Tabela13[[#This Row],[FUNKCJONARIUSZ]]</f>
        <v>F-sz 015</v>
      </c>
      <c r="AK16" s="557">
        <f t="shared" si="0"/>
        <v>85</v>
      </c>
      <c r="AL16" s="560">
        <f>GRUDZIEŃ!AK16</f>
        <v>-3</v>
      </c>
      <c r="AM16">
        <f t="shared" si="5"/>
        <v>24</v>
      </c>
      <c r="AN16">
        <f t="shared" si="3"/>
        <v>168</v>
      </c>
      <c r="AO16" s="29">
        <f t="shared" si="7"/>
        <v>0</v>
      </c>
      <c r="AP16" s="1">
        <f t="shared" si="6"/>
        <v>0</v>
      </c>
      <c r="AQ16" s="1">
        <f t="shared" si="4"/>
        <v>0</v>
      </c>
      <c r="AV16" s="1">
        <v>53</v>
      </c>
    </row>
    <row r="17" spans="1:48" ht="16.3" thickBot="1">
      <c r="A17" s="1" t="s">
        <v>105</v>
      </c>
      <c r="B17" s="1" t="s">
        <v>64</v>
      </c>
      <c r="C17" s="591" t="str">
        <f>Tabela13[[#This Row],[FUNKCJONARIUSZ]]</f>
        <v>F-sz 016</v>
      </c>
      <c r="D17" s="20">
        <v>58</v>
      </c>
      <c r="E17" s="31"/>
      <c r="F17" s="32"/>
      <c r="G17" s="32"/>
      <c r="H17" s="32"/>
      <c r="I17" s="32"/>
      <c r="J17" s="33"/>
      <c r="K17" s="33" t="s">
        <v>113</v>
      </c>
      <c r="L17" s="32"/>
      <c r="M17" s="32"/>
      <c r="N17" s="32"/>
      <c r="O17" s="33"/>
      <c r="P17" s="32" t="s">
        <v>61</v>
      </c>
      <c r="Q17" s="33" t="s">
        <v>62</v>
      </c>
      <c r="R17" s="33" t="s">
        <v>62</v>
      </c>
      <c r="S17" s="32" t="s">
        <v>515</v>
      </c>
      <c r="T17" s="32"/>
      <c r="U17" s="32"/>
      <c r="V17" s="32"/>
      <c r="W17" s="32"/>
      <c r="X17" s="33" t="s">
        <v>59</v>
      </c>
      <c r="Y17" s="33"/>
      <c r="Z17" s="32"/>
      <c r="AA17" s="32"/>
      <c r="AB17" s="32"/>
      <c r="AC17" s="32"/>
      <c r="AD17" s="32"/>
      <c r="AE17" s="33"/>
      <c r="AF17" s="33"/>
      <c r="AG17" s="32"/>
      <c r="AH17" s="34"/>
      <c r="AI17" s="35"/>
      <c r="AJ17" s="440" t="str">
        <f>Tabela13[[#This Row],[FUNKCJONARIUSZ]]</f>
        <v>F-sz 016</v>
      </c>
      <c r="AK17" s="557">
        <f t="shared" si="0"/>
        <v>18</v>
      </c>
      <c r="AL17" s="560">
        <f>GRUDZIEŃ!AK17</f>
        <v>-58</v>
      </c>
      <c r="AM17">
        <f t="shared" si="5"/>
        <v>48</v>
      </c>
      <c r="AN17">
        <f t="shared" si="3"/>
        <v>72</v>
      </c>
      <c r="AO17" s="29">
        <f t="shared" si="7"/>
        <v>0</v>
      </c>
      <c r="AP17" s="1">
        <f t="shared" si="6"/>
        <v>0</v>
      </c>
      <c r="AQ17" s="1">
        <f t="shared" si="4"/>
        <v>0</v>
      </c>
      <c r="AV17" s="1">
        <v>58</v>
      </c>
    </row>
    <row r="18" spans="1:48" ht="16.3" thickBot="1">
      <c r="A18" s="1" t="s">
        <v>67</v>
      </c>
      <c r="B18" s="1" t="s">
        <v>73</v>
      </c>
      <c r="C18" s="591" t="str">
        <f>Tabela13[[#This Row],[FUNKCJONARIUSZ]]</f>
        <v>F-sz 017</v>
      </c>
      <c r="D18" s="20">
        <v>25</v>
      </c>
      <c r="E18" s="31"/>
      <c r="F18" s="37"/>
      <c r="G18" s="37"/>
      <c r="H18" s="37"/>
      <c r="I18" s="37"/>
      <c r="J18" s="33"/>
      <c r="K18" s="33"/>
      <c r="L18" s="37"/>
      <c r="M18" s="32"/>
      <c r="N18" s="32"/>
      <c r="O18" s="33" t="s">
        <v>59</v>
      </c>
      <c r="P18" s="32"/>
      <c r="Q18" s="33"/>
      <c r="R18" s="33"/>
      <c r="S18" s="32"/>
      <c r="T18" s="32"/>
      <c r="U18" s="32"/>
      <c r="V18" s="32"/>
      <c r="W18" s="37"/>
      <c r="X18" s="33"/>
      <c r="Y18" s="33"/>
      <c r="Z18" s="32"/>
      <c r="AA18" s="32"/>
      <c r="AB18" s="32" t="s">
        <v>113</v>
      </c>
      <c r="AC18" s="32"/>
      <c r="AD18" s="32"/>
      <c r="AE18" s="38"/>
      <c r="AF18" s="33"/>
      <c r="AG18" s="32" t="s">
        <v>61</v>
      </c>
      <c r="AH18" s="300" t="s">
        <v>62</v>
      </c>
      <c r="AI18" s="35"/>
      <c r="AJ18" s="440" t="str">
        <f>Tabela13[[#This Row],[FUNKCJONARIUSZ]]</f>
        <v>F-sz 017</v>
      </c>
      <c r="AK18" s="557">
        <f t="shared" si="0"/>
        <v>-51</v>
      </c>
      <c r="AL18" s="560">
        <f>GRUDZIEŃ!AK18</f>
        <v>-103</v>
      </c>
      <c r="AM18">
        <f t="shared" si="5"/>
        <v>48</v>
      </c>
      <c r="AN18">
        <f t="shared" si="3"/>
        <v>36</v>
      </c>
      <c r="AO18" s="29">
        <f t="shared" si="7"/>
        <v>0</v>
      </c>
      <c r="AP18" s="1">
        <v>0</v>
      </c>
      <c r="AQ18" s="1">
        <f t="shared" si="4"/>
        <v>0</v>
      </c>
      <c r="AV18" s="1">
        <v>25</v>
      </c>
    </row>
    <row r="19" spans="1:48" ht="16.3" thickBot="1">
      <c r="A19" s="1" t="s">
        <v>90</v>
      </c>
      <c r="B19" s="1" t="s">
        <v>59</v>
      </c>
      <c r="C19" s="591" t="str">
        <f>Tabela13[[#This Row],[FUNKCJONARIUSZ]]</f>
        <v>F-sz 018</v>
      </c>
      <c r="D19" s="20">
        <v>-46</v>
      </c>
      <c r="E19" s="562"/>
      <c r="F19" s="32"/>
      <c r="G19" s="32"/>
      <c r="H19" s="32"/>
      <c r="I19" s="32" t="s">
        <v>113</v>
      </c>
      <c r="J19" s="508"/>
      <c r="K19" s="39"/>
      <c r="L19" s="41"/>
      <c r="M19" s="32"/>
      <c r="N19" s="32"/>
      <c r="O19" s="33"/>
      <c r="P19" s="32"/>
      <c r="Q19" s="33" t="s">
        <v>59</v>
      </c>
      <c r="R19" s="33"/>
      <c r="S19" s="32"/>
      <c r="T19" s="32" t="s">
        <v>59</v>
      </c>
      <c r="U19" s="32"/>
      <c r="V19" s="136"/>
      <c r="W19" s="37"/>
      <c r="X19" s="508"/>
      <c r="Y19" s="33" t="s">
        <v>59</v>
      </c>
      <c r="Z19" s="32"/>
      <c r="AA19" s="32"/>
      <c r="AB19" s="32"/>
      <c r="AC19" s="32"/>
      <c r="AD19" s="136"/>
      <c r="AE19" s="38" t="s">
        <v>59</v>
      </c>
      <c r="AF19" s="33"/>
      <c r="AG19" s="32"/>
      <c r="AH19" s="303"/>
      <c r="AI19" s="35"/>
      <c r="AJ19" s="440" t="str">
        <f>Tabela13[[#This Row],[FUNKCJONARIUSZ]]</f>
        <v>F-sz 018</v>
      </c>
      <c r="AK19" s="557">
        <f t="shared" si="0"/>
        <v>-86</v>
      </c>
      <c r="AL19" s="560">
        <f>GRUDZIEŃ!AK19</f>
        <v>-78</v>
      </c>
      <c r="AM19">
        <f t="shared" si="5"/>
        <v>120</v>
      </c>
      <c r="AN19">
        <f t="shared" si="3"/>
        <v>0</v>
      </c>
      <c r="AO19" s="29">
        <f t="shared" si="7"/>
        <v>0</v>
      </c>
      <c r="AP19" s="1">
        <f>COUNTIF(E19:AI19,"DT")*8</f>
        <v>0</v>
      </c>
      <c r="AQ19" s="1">
        <f t="shared" si="4"/>
        <v>0</v>
      </c>
      <c r="AV19" s="1">
        <v>-46</v>
      </c>
    </row>
    <row r="20" spans="1:48" ht="16.3" thickBot="1">
      <c r="A20" s="1" t="s">
        <v>58</v>
      </c>
      <c r="B20" s="1" t="s">
        <v>59</v>
      </c>
      <c r="C20" s="591" t="str">
        <f>Tabela13[[#This Row],[FUNKCJONARIUSZ]]</f>
        <v>F-sz 019</v>
      </c>
      <c r="D20" s="20">
        <v>37</v>
      </c>
      <c r="E20" s="31"/>
      <c r="F20" s="41"/>
      <c r="G20" s="41"/>
      <c r="H20" s="41"/>
      <c r="I20" s="41"/>
      <c r="J20" s="33" t="s">
        <v>113</v>
      </c>
      <c r="K20" s="33"/>
      <c r="L20" s="41"/>
      <c r="M20" s="41"/>
      <c r="N20" s="32"/>
      <c r="O20" s="33"/>
      <c r="P20" s="32"/>
      <c r="Q20" s="33"/>
      <c r="R20" s="33"/>
      <c r="S20" s="32"/>
      <c r="T20" s="32"/>
      <c r="U20" s="32"/>
      <c r="V20" s="32"/>
      <c r="W20" s="37"/>
      <c r="X20" s="33"/>
      <c r="Y20" s="33"/>
      <c r="Z20" s="32"/>
      <c r="AA20" s="32"/>
      <c r="AB20" s="32"/>
      <c r="AC20" s="32"/>
      <c r="AD20" s="32"/>
      <c r="AE20" s="38"/>
      <c r="AF20" s="33"/>
      <c r="AG20" s="37"/>
      <c r="AH20" s="303"/>
      <c r="AI20" s="35"/>
      <c r="AJ20" s="440" t="str">
        <f>Tabela13[[#This Row],[FUNKCJONARIUSZ]]</f>
        <v>F-sz 019</v>
      </c>
      <c r="AK20" s="557">
        <f t="shared" si="0"/>
        <v>-99</v>
      </c>
      <c r="AL20" s="560">
        <f>GRUDZIEŃ!AK20</f>
        <v>-43</v>
      </c>
      <c r="AM20">
        <f t="shared" si="5"/>
        <v>24</v>
      </c>
      <c r="AN20">
        <f t="shared" si="3"/>
        <v>0</v>
      </c>
      <c r="AO20" s="29">
        <f t="shared" si="7"/>
        <v>0</v>
      </c>
      <c r="AP20" s="1">
        <f>COUNTIF(E20:AI20,"DT")*8</f>
        <v>0</v>
      </c>
      <c r="AQ20" s="1">
        <f t="shared" si="4"/>
        <v>0</v>
      </c>
      <c r="AV20" s="1">
        <v>37</v>
      </c>
    </row>
    <row r="21" spans="1:48" ht="16.3" thickBot="1">
      <c r="A21" s="1" t="s">
        <v>67</v>
      </c>
      <c r="B21" s="1" t="s">
        <v>93</v>
      </c>
      <c r="C21" s="591" t="str">
        <f>Tabela13[[#This Row],[FUNKCJONARIUSZ]]</f>
        <v>F-sz 020</v>
      </c>
      <c r="D21" s="20">
        <v>50</v>
      </c>
      <c r="E21" s="31" t="s">
        <v>62</v>
      </c>
      <c r="F21" s="32" t="s">
        <v>515</v>
      </c>
      <c r="G21" s="32"/>
      <c r="H21" s="32"/>
      <c r="I21" s="32"/>
      <c r="J21" s="33"/>
      <c r="K21" s="33"/>
      <c r="L21" s="37" t="s">
        <v>75</v>
      </c>
      <c r="M21" s="37" t="s">
        <v>75</v>
      </c>
      <c r="N21" s="37" t="s">
        <v>75</v>
      </c>
      <c r="O21" s="38"/>
      <c r="P21" s="37"/>
      <c r="Q21" s="38"/>
      <c r="R21" s="38"/>
      <c r="S21" s="37" t="s">
        <v>61</v>
      </c>
      <c r="T21" s="32" t="s">
        <v>62</v>
      </c>
      <c r="U21" s="32" t="s">
        <v>62</v>
      </c>
      <c r="V21" s="32" t="s">
        <v>62</v>
      </c>
      <c r="W21" s="32" t="s">
        <v>62</v>
      </c>
      <c r="X21" s="33" t="s">
        <v>62</v>
      </c>
      <c r="Y21" s="33" t="s">
        <v>62</v>
      </c>
      <c r="Z21" s="32" t="s">
        <v>515</v>
      </c>
      <c r="AA21" s="32"/>
      <c r="AB21" s="32"/>
      <c r="AC21" s="32"/>
      <c r="AD21" s="32"/>
      <c r="AE21" s="33"/>
      <c r="AF21" s="33"/>
      <c r="AG21" s="43"/>
      <c r="AH21" s="303"/>
      <c r="AI21" s="35"/>
      <c r="AJ21" s="440" t="str">
        <f>Tabela13[[#This Row],[FUNKCJONARIUSZ]]</f>
        <v>F-sz 020</v>
      </c>
      <c r="AK21" s="557">
        <f t="shared" si="0"/>
        <v>118</v>
      </c>
      <c r="AL21" s="560">
        <f>GRUDZIEŃ!AK21</f>
        <v>102</v>
      </c>
      <c r="AM21">
        <f t="shared" si="5"/>
        <v>0</v>
      </c>
      <c r="AN21">
        <f t="shared" si="3"/>
        <v>204</v>
      </c>
      <c r="AO21" s="29">
        <f t="shared" si="7"/>
        <v>24</v>
      </c>
      <c r="AQ21" s="1">
        <f t="shared" si="4"/>
        <v>0</v>
      </c>
      <c r="AV21" s="1">
        <v>50</v>
      </c>
    </row>
    <row r="22" spans="1:48" ht="16.3" thickBot="1">
      <c r="A22" s="1" t="s">
        <v>58</v>
      </c>
      <c r="B22" s="1" t="s">
        <v>59</v>
      </c>
      <c r="C22" s="591" t="str">
        <f>Tabela13[[#This Row],[FUNKCJONARIUSZ]]</f>
        <v>F-sz 021</v>
      </c>
      <c r="D22" s="20">
        <v>45.5</v>
      </c>
      <c r="E22" s="31"/>
      <c r="F22" s="32"/>
      <c r="G22" s="32"/>
      <c r="H22" s="32"/>
      <c r="I22" s="32"/>
      <c r="J22" s="33"/>
      <c r="K22" s="39"/>
      <c r="L22" s="37" t="s">
        <v>61</v>
      </c>
      <c r="M22" s="37" t="s">
        <v>62</v>
      </c>
      <c r="N22" s="37" t="s">
        <v>62</v>
      </c>
      <c r="O22" s="38" t="s">
        <v>62</v>
      </c>
      <c r="P22" s="37" t="s">
        <v>515</v>
      </c>
      <c r="Q22" s="38"/>
      <c r="R22" s="38"/>
      <c r="S22" s="37"/>
      <c r="T22" s="48"/>
      <c r="U22" s="32"/>
      <c r="V22" s="32"/>
      <c r="W22" s="32" t="s">
        <v>59</v>
      </c>
      <c r="X22" s="33"/>
      <c r="Y22" s="33"/>
      <c r="Z22" s="32"/>
      <c r="AA22" s="32"/>
      <c r="AB22" s="32"/>
      <c r="AC22" s="32"/>
      <c r="AD22" s="32"/>
      <c r="AE22" s="33"/>
      <c r="AF22" s="33"/>
      <c r="AG22" s="41"/>
      <c r="AH22" s="303"/>
      <c r="AI22" s="35"/>
      <c r="AJ22" s="440" t="str">
        <f>Tabela13[[#This Row],[FUNKCJONARIUSZ]]</f>
        <v>F-sz 021</v>
      </c>
      <c r="AK22" s="557">
        <f t="shared" si="0"/>
        <v>5.5</v>
      </c>
      <c r="AL22" s="560">
        <f>GRUDZIEŃ!AK22</f>
        <v>-10.5</v>
      </c>
      <c r="AM22">
        <f t="shared" si="5"/>
        <v>24</v>
      </c>
      <c r="AN22">
        <f t="shared" si="3"/>
        <v>96</v>
      </c>
      <c r="AO22" s="29">
        <f t="shared" si="7"/>
        <v>0</v>
      </c>
      <c r="AP22" s="1">
        <f>COUNTIF(E22:AI22,"DT")*8</f>
        <v>0</v>
      </c>
      <c r="AQ22" s="1">
        <f t="shared" si="4"/>
        <v>0</v>
      </c>
      <c r="AV22" s="1">
        <v>45.5</v>
      </c>
    </row>
    <row r="23" spans="1:48" ht="16.3" thickBot="1">
      <c r="A23" s="1" t="s">
        <v>63</v>
      </c>
      <c r="B23" s="1" t="s">
        <v>64</v>
      </c>
      <c r="C23" s="591" t="str">
        <f>Tabela13[[#This Row],[FUNKCJONARIUSZ]]</f>
        <v>F-sz 022</v>
      </c>
      <c r="D23" s="20">
        <v>-54</v>
      </c>
      <c r="E23" s="31"/>
      <c r="F23" s="32" t="s">
        <v>61</v>
      </c>
      <c r="G23" s="32" t="s">
        <v>62</v>
      </c>
      <c r="H23" s="32" t="s">
        <v>62</v>
      </c>
      <c r="I23" s="32" t="s">
        <v>62</v>
      </c>
      <c r="J23" s="33" t="s">
        <v>62</v>
      </c>
      <c r="K23" s="33" t="s">
        <v>62</v>
      </c>
      <c r="L23" s="32" t="s">
        <v>515</v>
      </c>
      <c r="M23" s="32"/>
      <c r="N23" s="32"/>
      <c r="O23" s="33"/>
      <c r="P23" s="32"/>
      <c r="Q23" s="33"/>
      <c r="R23" s="33"/>
      <c r="S23" s="32" t="s">
        <v>113</v>
      </c>
      <c r="T23" s="32"/>
      <c r="U23" s="32"/>
      <c r="V23" s="32"/>
      <c r="W23" s="32"/>
      <c r="X23" s="33"/>
      <c r="Y23" s="33"/>
      <c r="Z23" s="32"/>
      <c r="AA23" s="32" t="s">
        <v>59</v>
      </c>
      <c r="AB23" s="32"/>
      <c r="AC23" s="32"/>
      <c r="AD23" s="32"/>
      <c r="AE23" s="33"/>
      <c r="AF23" s="33"/>
      <c r="AG23" s="32"/>
      <c r="AH23" s="303"/>
      <c r="AI23" s="35"/>
      <c r="AJ23" s="440" t="str">
        <f>Tabela13[[#This Row],[FUNKCJONARIUSZ]]</f>
        <v>F-sz 022</v>
      </c>
      <c r="AK23" s="557">
        <f t="shared" si="0"/>
        <v>-22</v>
      </c>
      <c r="AL23" s="560">
        <f>GRUDZIEŃ!AK23</f>
        <v>-38</v>
      </c>
      <c r="AM23">
        <f t="shared" si="5"/>
        <v>48</v>
      </c>
      <c r="AN23">
        <f t="shared" si="3"/>
        <v>144</v>
      </c>
      <c r="AO23" s="29">
        <f t="shared" si="7"/>
        <v>0</v>
      </c>
      <c r="AP23" s="1">
        <f>COUNTIF(E23:AI23,"DT")*8</f>
        <v>0</v>
      </c>
      <c r="AQ23" s="1">
        <f t="shared" si="4"/>
        <v>0</v>
      </c>
      <c r="AV23" s="1">
        <v>-54</v>
      </c>
    </row>
    <row r="24" spans="1:48" ht="16.3" thickBot="1">
      <c r="A24" s="1" t="s">
        <v>67</v>
      </c>
      <c r="B24" s="1" t="s">
        <v>93</v>
      </c>
      <c r="C24" s="591" t="str">
        <f>Tabela13[[#This Row],[FUNKCJONARIUSZ]]</f>
        <v>F-sz 023</v>
      </c>
      <c r="D24" s="20">
        <v>96</v>
      </c>
      <c r="E24" s="31"/>
      <c r="F24" s="32"/>
      <c r="G24" s="32"/>
      <c r="H24" s="32"/>
      <c r="I24" s="32"/>
      <c r="J24" s="33"/>
      <c r="K24" s="33"/>
      <c r="L24" s="32"/>
      <c r="M24" s="32"/>
      <c r="N24" s="32"/>
      <c r="O24" s="33"/>
      <c r="P24" s="32" t="s">
        <v>61</v>
      </c>
      <c r="Q24" s="33" t="s">
        <v>62</v>
      </c>
      <c r="R24" s="33" t="s">
        <v>62</v>
      </c>
      <c r="S24" s="32" t="s">
        <v>515</v>
      </c>
      <c r="T24" s="32"/>
      <c r="U24" s="32"/>
      <c r="V24" s="32"/>
      <c r="W24" s="32"/>
      <c r="X24" s="33"/>
      <c r="Y24" s="33"/>
      <c r="Z24" s="32"/>
      <c r="AA24" s="32"/>
      <c r="AB24" s="32"/>
      <c r="AC24" s="32"/>
      <c r="AD24" s="32"/>
      <c r="AE24" s="33"/>
      <c r="AF24" s="33"/>
      <c r="AG24" s="32" t="s">
        <v>61</v>
      </c>
      <c r="AH24" s="34" t="s">
        <v>62</v>
      </c>
      <c r="AI24" s="35"/>
      <c r="AJ24" s="440" t="str">
        <f>Tabela13[[#This Row],[FUNKCJONARIUSZ]]</f>
        <v>F-sz 023</v>
      </c>
      <c r="AK24" s="557">
        <f t="shared" si="0"/>
        <v>44</v>
      </c>
      <c r="AL24" s="560">
        <f>GRUDZIEŃ!AK24</f>
        <v>8</v>
      </c>
      <c r="AM24">
        <f t="shared" si="5"/>
        <v>0</v>
      </c>
      <c r="AN24">
        <f t="shared" si="3"/>
        <v>108</v>
      </c>
      <c r="AO24" s="29">
        <f t="shared" si="7"/>
        <v>0</v>
      </c>
      <c r="AP24" s="1">
        <f>COUNTIF(E24:AI24,"DT")*8</f>
        <v>0</v>
      </c>
      <c r="AQ24" s="1">
        <f t="shared" si="4"/>
        <v>0</v>
      </c>
      <c r="AV24" s="1">
        <v>96</v>
      </c>
    </row>
    <row r="25" spans="1:48" ht="16.3" thickBot="1">
      <c r="A25" s="1" t="s">
        <v>63</v>
      </c>
      <c r="B25" s="1" t="s">
        <v>59</v>
      </c>
      <c r="C25" s="591" t="str">
        <f>Tabela13[[#This Row],[FUNKCJONARIUSZ]]</f>
        <v>F-sz 024</v>
      </c>
      <c r="D25" s="20">
        <v>78</v>
      </c>
      <c r="E25" s="563"/>
      <c r="F25" s="37"/>
      <c r="G25" s="37"/>
      <c r="H25" s="37"/>
      <c r="I25" s="37"/>
      <c r="J25" s="38"/>
      <c r="K25" s="38"/>
      <c r="L25" s="37"/>
      <c r="M25" s="37" t="s">
        <v>59</v>
      </c>
      <c r="N25" s="37"/>
      <c r="O25" s="38"/>
      <c r="P25" s="37" t="s">
        <v>59</v>
      </c>
      <c r="Q25" s="38"/>
      <c r="R25" s="38"/>
      <c r="S25" s="32"/>
      <c r="T25" s="32"/>
      <c r="U25" s="32" t="s">
        <v>59</v>
      </c>
      <c r="V25" s="32"/>
      <c r="W25" s="32"/>
      <c r="X25" s="33"/>
      <c r="Y25" s="33"/>
      <c r="Z25" s="32" t="s">
        <v>59</v>
      </c>
      <c r="AA25" s="32"/>
      <c r="AB25" s="32"/>
      <c r="AC25" s="32"/>
      <c r="AD25" s="32"/>
      <c r="AE25" s="33"/>
      <c r="AF25" s="33" t="s">
        <v>59</v>
      </c>
      <c r="AG25" s="32"/>
      <c r="AH25" s="34"/>
      <c r="AI25" s="35"/>
      <c r="AJ25" s="440" t="str">
        <f>Tabela13[[#This Row],[FUNKCJONARIUSZ]]</f>
        <v>F-sz 024</v>
      </c>
      <c r="AK25" s="557">
        <f t="shared" si="0"/>
        <v>38</v>
      </c>
      <c r="AL25" s="564">
        <f>GRUDZIEŃ!AK25</f>
        <v>-50</v>
      </c>
      <c r="AM25">
        <f t="shared" si="5"/>
        <v>120</v>
      </c>
      <c r="AN25">
        <f t="shared" si="3"/>
        <v>0</v>
      </c>
      <c r="AO25" s="29">
        <f t="shared" si="7"/>
        <v>0</v>
      </c>
      <c r="AP25" s="1">
        <f>COUNTIF(E25:AI25,"DT")*8</f>
        <v>0</v>
      </c>
      <c r="AQ25" s="1">
        <f t="shared" si="4"/>
        <v>0</v>
      </c>
      <c r="AV25" s="1">
        <v>78</v>
      </c>
    </row>
    <row r="26" spans="1:48" ht="16.3" thickBot="1">
      <c r="A26" s="1" t="s">
        <v>63</v>
      </c>
      <c r="B26" s="1" t="s">
        <v>73</v>
      </c>
      <c r="C26" s="591" t="str">
        <f>Tabela13[[#This Row],[FUNKCJONARIUSZ]]</f>
        <v>F-sz 025</v>
      </c>
      <c r="D26" s="20">
        <v>101.5</v>
      </c>
      <c r="E26" s="563"/>
      <c r="F26" s="37" t="s">
        <v>61</v>
      </c>
      <c r="G26" s="37" t="s">
        <v>62</v>
      </c>
      <c r="H26" s="37" t="s">
        <v>62</v>
      </c>
      <c r="I26" s="37" t="s">
        <v>62</v>
      </c>
      <c r="J26" s="38" t="s">
        <v>62</v>
      </c>
      <c r="K26" s="38" t="s">
        <v>62</v>
      </c>
      <c r="L26" s="37" t="s">
        <v>515</v>
      </c>
      <c r="M26" s="37"/>
      <c r="N26" s="37"/>
      <c r="O26" s="38"/>
      <c r="P26" s="37"/>
      <c r="Q26" s="38"/>
      <c r="R26" s="38"/>
      <c r="S26" s="32"/>
      <c r="T26" s="32"/>
      <c r="U26" s="32"/>
      <c r="V26" s="32"/>
      <c r="W26" s="32"/>
      <c r="X26" s="33"/>
      <c r="Y26" s="33"/>
      <c r="Z26" s="32"/>
      <c r="AA26" s="32"/>
      <c r="AB26" s="32"/>
      <c r="AC26" s="32"/>
      <c r="AD26" s="32"/>
      <c r="AE26" s="33"/>
      <c r="AF26" s="33"/>
      <c r="AG26" s="32"/>
      <c r="AH26" s="34"/>
      <c r="AI26" s="35"/>
      <c r="AJ26" s="440" t="str">
        <f>Tabela13[[#This Row],[FUNKCJONARIUSZ]]</f>
        <v>F-sz 025</v>
      </c>
      <c r="AK26" s="557">
        <f t="shared" si="0"/>
        <v>85.5</v>
      </c>
      <c r="AL26" s="565">
        <f>GRUDZIEŃ!AK26</f>
        <v>-98.5</v>
      </c>
      <c r="AM26">
        <f t="shared" si="5"/>
        <v>0</v>
      </c>
      <c r="AN26">
        <f t="shared" si="3"/>
        <v>144</v>
      </c>
      <c r="AO26" s="29">
        <f t="shared" si="7"/>
        <v>0</v>
      </c>
      <c r="AP26" s="1">
        <v>0</v>
      </c>
      <c r="AQ26" s="1">
        <f t="shared" si="4"/>
        <v>0</v>
      </c>
      <c r="AV26" s="1">
        <v>101.5</v>
      </c>
    </row>
    <row r="27" spans="1:48" ht="16.3" thickBot="1">
      <c r="A27" s="1" t="s">
        <v>58</v>
      </c>
      <c r="B27" s="1" t="s">
        <v>93</v>
      </c>
      <c r="C27" s="591" t="str">
        <f>Tabela13[[#This Row],[FUNKCJONARIUSZ]]</f>
        <v>F-sz 026</v>
      </c>
      <c r="D27" s="20">
        <v>78</v>
      </c>
      <c r="E27" s="563"/>
      <c r="F27" s="37"/>
      <c r="G27" s="37"/>
      <c r="H27" s="37"/>
      <c r="I27" s="37"/>
      <c r="J27" s="38"/>
      <c r="K27" s="38"/>
      <c r="L27" s="37"/>
      <c r="M27" s="37"/>
      <c r="N27" s="37"/>
      <c r="O27" s="38"/>
      <c r="P27" s="37"/>
      <c r="Q27" s="38"/>
      <c r="R27" s="38"/>
      <c r="S27" s="32"/>
      <c r="T27" s="32"/>
      <c r="U27" s="32"/>
      <c r="V27" s="32"/>
      <c r="W27" s="32"/>
      <c r="X27" s="33"/>
      <c r="Y27" s="33"/>
      <c r="Z27" s="32"/>
      <c r="AA27" s="32"/>
      <c r="AB27" s="32"/>
      <c r="AC27" s="32"/>
      <c r="AD27" s="32"/>
      <c r="AE27" s="33"/>
      <c r="AF27" s="33"/>
      <c r="AG27" s="32"/>
      <c r="AH27" s="34"/>
      <c r="AI27" s="35"/>
      <c r="AJ27" s="440" t="str">
        <f>Tabela13[[#This Row],[FUNKCJONARIUSZ]]</f>
        <v>F-sz 026</v>
      </c>
      <c r="AK27" s="557">
        <f t="shared" si="0"/>
        <v>-82</v>
      </c>
      <c r="AL27" s="560">
        <f>GRUDZIEŃ!AK27</f>
        <v>-34</v>
      </c>
      <c r="AM27">
        <f t="shared" si="5"/>
        <v>0</v>
      </c>
      <c r="AN27">
        <f t="shared" si="3"/>
        <v>0</v>
      </c>
      <c r="AO27" s="29">
        <f t="shared" si="7"/>
        <v>0</v>
      </c>
      <c r="AP27" s="1">
        <f>COUNTIF(E27:AI27,"DT")*8</f>
        <v>0</v>
      </c>
      <c r="AQ27" s="1">
        <f t="shared" si="4"/>
        <v>0</v>
      </c>
      <c r="AV27" s="1">
        <v>78</v>
      </c>
    </row>
    <row r="28" spans="1:48" ht="16.3" thickBot="1">
      <c r="A28" s="1" t="s">
        <v>105</v>
      </c>
      <c r="B28" s="1" t="s">
        <v>59</v>
      </c>
      <c r="C28" s="591" t="str">
        <f>Tabela13[[#This Row],[FUNKCJONARIUSZ]]</f>
        <v>F-sz 027</v>
      </c>
      <c r="D28" s="20">
        <v>63</v>
      </c>
      <c r="E28" s="31"/>
      <c r="F28" s="32"/>
      <c r="G28" s="32"/>
      <c r="H28" s="32"/>
      <c r="I28" s="32"/>
      <c r="J28" s="33"/>
      <c r="K28" s="33"/>
      <c r="L28" s="32"/>
      <c r="M28" s="32"/>
      <c r="N28" s="32"/>
      <c r="O28" s="33"/>
      <c r="P28" s="32" t="s">
        <v>61</v>
      </c>
      <c r="Q28" s="33" t="s">
        <v>62</v>
      </c>
      <c r="R28" s="33" t="s">
        <v>62</v>
      </c>
      <c r="S28" s="32" t="s">
        <v>515</v>
      </c>
      <c r="T28" s="32"/>
      <c r="U28" s="32"/>
      <c r="V28" s="32"/>
      <c r="W28" s="32"/>
      <c r="X28" s="33"/>
      <c r="Y28" s="33"/>
      <c r="Z28" s="32"/>
      <c r="AA28" s="32"/>
      <c r="AB28" s="32"/>
      <c r="AC28" s="32"/>
      <c r="AD28" s="32" t="s">
        <v>59</v>
      </c>
      <c r="AE28" s="33"/>
      <c r="AF28" s="33"/>
      <c r="AG28" s="32"/>
      <c r="AH28" s="34"/>
      <c r="AI28" s="35"/>
      <c r="AJ28" s="440" t="str">
        <f>Tabela13[[#This Row],[FUNKCJONARIUSZ]]</f>
        <v>F-sz 027</v>
      </c>
      <c r="AK28" s="557">
        <f t="shared" si="0"/>
        <v>-1</v>
      </c>
      <c r="AL28" s="560">
        <f>GRUDZIEŃ!AK28</f>
        <v>-29</v>
      </c>
      <c r="AM28">
        <f t="shared" si="5"/>
        <v>24</v>
      </c>
      <c r="AN28">
        <f t="shared" si="3"/>
        <v>72</v>
      </c>
      <c r="AO28" s="29">
        <f t="shared" si="7"/>
        <v>0</v>
      </c>
      <c r="AP28" s="1">
        <f>COUNTIF(E28:AI28,"DT")*8</f>
        <v>0</v>
      </c>
      <c r="AQ28" s="1">
        <f t="shared" si="4"/>
        <v>0</v>
      </c>
      <c r="AV28" s="1">
        <v>63</v>
      </c>
    </row>
    <row r="29" spans="1:48" ht="16.3" thickBot="1">
      <c r="A29" s="1" t="s">
        <v>58</v>
      </c>
      <c r="B29" s="1" t="s">
        <v>73</v>
      </c>
      <c r="C29" s="591" t="str">
        <f>Tabela13[[#This Row],[FUNKCJONARIUSZ]]</f>
        <v>F-sz 028</v>
      </c>
      <c r="D29" s="20">
        <v>106.5</v>
      </c>
      <c r="E29" s="50"/>
      <c r="F29" s="51"/>
      <c r="G29" s="51"/>
      <c r="H29" s="51"/>
      <c r="I29" s="51"/>
      <c r="J29" s="52"/>
      <c r="K29" s="52"/>
      <c r="L29" s="51" t="s">
        <v>61</v>
      </c>
      <c r="M29" s="51" t="s">
        <v>62</v>
      </c>
      <c r="N29" s="51" t="s">
        <v>62</v>
      </c>
      <c r="O29" s="52" t="s">
        <v>62</v>
      </c>
      <c r="P29" s="51" t="s">
        <v>515</v>
      </c>
      <c r="Q29" s="52"/>
      <c r="R29" s="52"/>
      <c r="S29" s="51"/>
      <c r="T29" s="51"/>
      <c r="U29" s="51"/>
      <c r="V29" s="51"/>
      <c r="W29" s="51"/>
      <c r="X29" s="52"/>
      <c r="Y29" s="52"/>
      <c r="Z29" s="51"/>
      <c r="AA29" s="51"/>
      <c r="AB29" s="51"/>
      <c r="AC29" s="51"/>
      <c r="AD29" s="51"/>
      <c r="AE29" s="52"/>
      <c r="AF29" s="52"/>
      <c r="AG29" s="51"/>
      <c r="AH29" s="53"/>
      <c r="AI29" s="54"/>
      <c r="AJ29" s="440" t="str">
        <f>Tabela13[[#This Row],[FUNKCJONARIUSZ]]</f>
        <v>F-sz 028</v>
      </c>
      <c r="AK29" s="557">
        <f t="shared" si="0"/>
        <v>42.5</v>
      </c>
      <c r="AL29" s="566">
        <f>GRUDZIEŃ!AK29</f>
        <v>26.5</v>
      </c>
      <c r="AM29">
        <f t="shared" si="5"/>
        <v>0</v>
      </c>
      <c r="AN29">
        <f t="shared" si="3"/>
        <v>96</v>
      </c>
      <c r="AO29" s="29">
        <f t="shared" si="7"/>
        <v>0</v>
      </c>
      <c r="AP29" s="1">
        <f>COUNTIF(E29:AI29,"DT")*8</f>
        <v>0</v>
      </c>
      <c r="AQ29" s="1">
        <f t="shared" si="4"/>
        <v>0</v>
      </c>
      <c r="AV29" s="1">
        <v>106.5</v>
      </c>
    </row>
    <row r="30" spans="1:48" ht="16.3" thickBot="1">
      <c r="A30" s="55"/>
      <c r="B30" s="55"/>
      <c r="C30" s="56"/>
      <c r="D30" s="57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9"/>
      <c r="AH30" s="27"/>
      <c r="AI30" s="27"/>
      <c r="AJ30" s="60"/>
      <c r="AK30" s="27"/>
      <c r="AL30" s="27"/>
      <c r="AM30" s="28"/>
      <c r="AN30"/>
      <c r="AO30" s="29"/>
    </row>
    <row r="31" spans="1:48" ht="15.9">
      <c r="B31" s="61"/>
      <c r="C31" s="62" t="s">
        <v>120</v>
      </c>
      <c r="D31" s="63"/>
      <c r="E31" s="64">
        <f t="shared" ref="E31:AI31" si="8">COUNTIF(E2:E29,"D")</f>
        <v>1</v>
      </c>
      <c r="F31" s="64">
        <f t="shared" si="8"/>
        <v>1</v>
      </c>
      <c r="G31" s="64">
        <f t="shared" si="8"/>
        <v>1</v>
      </c>
      <c r="H31" s="64">
        <f t="shared" si="8"/>
        <v>1</v>
      </c>
      <c r="I31" s="64">
        <f t="shared" si="8"/>
        <v>1</v>
      </c>
      <c r="J31" s="64">
        <f t="shared" si="8"/>
        <v>1</v>
      </c>
      <c r="K31" s="64">
        <f t="shared" si="8"/>
        <v>1</v>
      </c>
      <c r="L31" s="64">
        <f t="shared" si="8"/>
        <v>1</v>
      </c>
      <c r="M31" s="64">
        <f t="shared" si="8"/>
        <v>1</v>
      </c>
      <c r="N31" s="64">
        <f t="shared" si="8"/>
        <v>1</v>
      </c>
      <c r="O31" s="64">
        <f t="shared" si="8"/>
        <v>1</v>
      </c>
      <c r="P31" s="64">
        <f t="shared" si="8"/>
        <v>1</v>
      </c>
      <c r="Q31" s="64">
        <f t="shared" si="8"/>
        <v>1</v>
      </c>
      <c r="R31" s="64">
        <f t="shared" si="8"/>
        <v>1</v>
      </c>
      <c r="S31" s="64">
        <f t="shared" si="8"/>
        <v>1</v>
      </c>
      <c r="T31" s="64">
        <f t="shared" si="8"/>
        <v>1</v>
      </c>
      <c r="U31" s="64">
        <f t="shared" si="8"/>
        <v>1</v>
      </c>
      <c r="V31" s="64">
        <f t="shared" si="8"/>
        <v>1</v>
      </c>
      <c r="W31" s="64">
        <f t="shared" si="8"/>
        <v>1</v>
      </c>
      <c r="X31" s="64">
        <f t="shared" si="8"/>
        <v>1</v>
      </c>
      <c r="Y31" s="64">
        <f t="shared" si="8"/>
        <v>1</v>
      </c>
      <c r="Z31" s="64">
        <f t="shared" si="8"/>
        <v>1</v>
      </c>
      <c r="AA31" s="64">
        <f t="shared" si="8"/>
        <v>1</v>
      </c>
      <c r="AB31" s="64">
        <f t="shared" si="8"/>
        <v>1</v>
      </c>
      <c r="AC31" s="64">
        <f t="shared" si="8"/>
        <v>1</v>
      </c>
      <c r="AD31" s="64">
        <f t="shared" si="8"/>
        <v>1</v>
      </c>
      <c r="AE31" s="64">
        <f t="shared" si="8"/>
        <v>1</v>
      </c>
      <c r="AF31" s="64">
        <f t="shared" si="8"/>
        <v>1</v>
      </c>
      <c r="AG31" s="64">
        <f t="shared" si="8"/>
        <v>1</v>
      </c>
      <c r="AH31" s="64">
        <f t="shared" si="8"/>
        <v>1</v>
      </c>
      <c r="AI31" s="64">
        <f t="shared" si="8"/>
        <v>0</v>
      </c>
      <c r="AJ31"/>
      <c r="AK31" s="27"/>
      <c r="AL31" s="27"/>
      <c r="AM31" s="28"/>
      <c r="AN31"/>
      <c r="AO31" s="29"/>
    </row>
    <row r="32" spans="1:48">
      <c r="C32" s="67" t="s">
        <v>122</v>
      </c>
      <c r="D32" s="68"/>
      <c r="E32" s="592">
        <f>COUNTIF(E2:E29,"S")</f>
        <v>4</v>
      </c>
      <c r="F32" s="592">
        <f t="shared" ref="F32:AG32" si="9">COUNTIF(F2:F29,"S")</f>
        <v>0</v>
      </c>
      <c r="G32" s="592">
        <f t="shared" si="9"/>
        <v>4</v>
      </c>
      <c r="H32" s="592">
        <f t="shared" si="9"/>
        <v>4</v>
      </c>
      <c r="I32" s="592">
        <f t="shared" si="9"/>
        <v>4</v>
      </c>
      <c r="J32" s="592">
        <f t="shared" si="9"/>
        <v>4</v>
      </c>
      <c r="K32" s="592">
        <f t="shared" si="9"/>
        <v>4</v>
      </c>
      <c r="L32" s="592">
        <f t="shared" si="9"/>
        <v>0</v>
      </c>
      <c r="M32" s="592">
        <f t="shared" si="9"/>
        <v>4</v>
      </c>
      <c r="N32" s="592">
        <f t="shared" si="9"/>
        <v>4</v>
      </c>
      <c r="O32" s="592">
        <f t="shared" si="9"/>
        <v>4</v>
      </c>
      <c r="P32" s="592">
        <f t="shared" si="9"/>
        <v>0</v>
      </c>
      <c r="Q32" s="592">
        <f t="shared" si="9"/>
        <v>4</v>
      </c>
      <c r="R32" s="592">
        <f t="shared" si="9"/>
        <v>4</v>
      </c>
      <c r="S32" s="592">
        <f t="shared" si="9"/>
        <v>0</v>
      </c>
      <c r="T32" s="592">
        <f t="shared" si="9"/>
        <v>4</v>
      </c>
      <c r="U32" s="592">
        <f t="shared" si="9"/>
        <v>4</v>
      </c>
      <c r="V32" s="592">
        <f t="shared" si="9"/>
        <v>4</v>
      </c>
      <c r="W32" s="592">
        <f t="shared" si="9"/>
        <v>4</v>
      </c>
      <c r="X32" s="592">
        <f t="shared" si="9"/>
        <v>4</v>
      </c>
      <c r="Y32" s="592">
        <f t="shared" si="9"/>
        <v>4</v>
      </c>
      <c r="Z32" s="592">
        <f t="shared" si="9"/>
        <v>0</v>
      </c>
      <c r="AA32" s="592">
        <f t="shared" si="9"/>
        <v>4</v>
      </c>
      <c r="AB32" s="592">
        <f t="shared" si="9"/>
        <v>4</v>
      </c>
      <c r="AC32" s="592">
        <f t="shared" si="9"/>
        <v>4</v>
      </c>
      <c r="AD32" s="592">
        <f t="shared" si="9"/>
        <v>4</v>
      </c>
      <c r="AE32" s="592">
        <f t="shared" si="9"/>
        <v>4</v>
      </c>
      <c r="AF32" s="592">
        <f t="shared" si="9"/>
        <v>4</v>
      </c>
      <c r="AG32" s="592">
        <f t="shared" si="9"/>
        <v>0</v>
      </c>
      <c r="AH32" s="592">
        <f>COUNTIF(AH2:AH29,"S")</f>
        <v>4</v>
      </c>
      <c r="AI32" s="64" t="e">
        <f>COUNTIF(AI2:AI29,"S")+COUNTIF(#REF!,"S")</f>
        <v>#REF!</v>
      </c>
      <c r="AJ32"/>
      <c r="AK32" s="27"/>
      <c r="AL32" s="27"/>
      <c r="AM32" s="28"/>
      <c r="AN32"/>
      <c r="AO32" s="29"/>
    </row>
    <row r="33" spans="3:43" ht="16.3" thickBot="1">
      <c r="C33" s="56"/>
      <c r="D33" s="57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2"/>
      <c r="AG33" s="72"/>
      <c r="AH33" s="72"/>
      <c r="AI33" s="27"/>
      <c r="AJ33"/>
      <c r="AK33" s="27"/>
      <c r="AL33" s="27"/>
      <c r="AM33" s="28"/>
      <c r="AN33"/>
      <c r="AO33" s="29"/>
    </row>
    <row r="34" spans="3:43" s="73" customFormat="1" ht="15" customHeight="1" thickBot="1">
      <c r="C34" s="680" t="s">
        <v>122</v>
      </c>
      <c r="D34" s="680"/>
      <c r="E34" s="6"/>
      <c r="F34" s="791" t="str">
        <f>C5</f>
        <v>F-sz 004</v>
      </c>
      <c r="G34" s="791"/>
      <c r="H34" s="791"/>
      <c r="I34" s="791"/>
      <c r="J34" s="791" t="str">
        <f>F34</f>
        <v>F-sz 004</v>
      </c>
      <c r="K34" s="791"/>
      <c r="L34" s="791"/>
      <c r="M34" s="791" t="str">
        <f>C12</f>
        <v>F-sz 011</v>
      </c>
      <c r="N34" s="791"/>
      <c r="O34" s="791"/>
      <c r="P34" s="791"/>
      <c r="Q34" s="793" t="str">
        <f>C10</f>
        <v>F-sz 009</v>
      </c>
      <c r="R34" s="793"/>
      <c r="S34" s="791"/>
      <c r="T34" s="793" t="str">
        <f>C7</f>
        <v>F-sz 006</v>
      </c>
      <c r="U34" s="793"/>
      <c r="V34" s="793"/>
      <c r="W34" s="791"/>
      <c r="X34" s="794" t="str">
        <f>C5</f>
        <v>F-sz 004</v>
      </c>
      <c r="Y34" s="794"/>
      <c r="Z34" s="794"/>
      <c r="AA34" s="795" t="str">
        <f>C2</f>
        <v>F-sz 001</v>
      </c>
      <c r="AB34" s="795"/>
      <c r="AC34" s="795"/>
      <c r="AD34" s="794"/>
      <c r="AE34" s="795" t="str">
        <f>C4</f>
        <v>F-sz 003</v>
      </c>
      <c r="AF34" s="795"/>
      <c r="AG34" s="790"/>
      <c r="AH34" s="790"/>
      <c r="AI34" s="790"/>
      <c r="AJ34" s="790"/>
      <c r="AK34" s="790"/>
      <c r="AL34" s="588"/>
      <c r="AM34"/>
      <c r="AN34"/>
      <c r="AO34" s="29"/>
      <c r="AP34" s="1"/>
      <c r="AQ34" s="1"/>
    </row>
    <row r="35" spans="3:43" s="73" customFormat="1" ht="15" thickBot="1">
      <c r="C35" s="680"/>
      <c r="D35" s="680"/>
      <c r="E35" s="74"/>
      <c r="F35" s="791" t="str">
        <f>C8</f>
        <v>F-sz 007</v>
      </c>
      <c r="G35" s="791"/>
      <c r="H35" s="791"/>
      <c r="I35" s="791"/>
      <c r="J35" s="791" t="str">
        <f>F35</f>
        <v>F-sz 007</v>
      </c>
      <c r="K35" s="791"/>
      <c r="L35" s="791"/>
      <c r="M35" s="791" t="str">
        <f>C15</f>
        <v>F-sz 014</v>
      </c>
      <c r="N35" s="791"/>
      <c r="O35" s="791"/>
      <c r="P35" s="791"/>
      <c r="Q35" s="793" t="str">
        <f>C17</f>
        <v>F-sz 016</v>
      </c>
      <c r="R35" s="793"/>
      <c r="S35" s="791"/>
      <c r="T35" s="793" t="str">
        <f>C11</f>
        <v>F-sz 010</v>
      </c>
      <c r="U35" s="793"/>
      <c r="V35" s="793"/>
      <c r="W35" s="791"/>
      <c r="X35" s="794" t="str">
        <f>C7</f>
        <v>F-sz 006</v>
      </c>
      <c r="Y35" s="794"/>
      <c r="Z35" s="794"/>
      <c r="AA35" s="795" t="str">
        <f>C10</f>
        <v>F-sz 009</v>
      </c>
      <c r="AB35" s="795"/>
      <c r="AC35" s="795"/>
      <c r="AD35" s="794"/>
      <c r="AE35" s="795" t="str">
        <f>C6</f>
        <v>F-sz 005</v>
      </c>
      <c r="AF35" s="795"/>
      <c r="AG35" s="790"/>
      <c r="AH35" s="792"/>
      <c r="AI35" s="792"/>
      <c r="AJ35" s="792"/>
      <c r="AK35" s="792"/>
      <c r="AL35" s="588"/>
      <c r="AM35"/>
      <c r="AN35"/>
      <c r="AO35" s="29"/>
      <c r="AP35" s="1"/>
      <c r="AQ35" s="1"/>
    </row>
    <row r="36" spans="3:43" s="73" customFormat="1" ht="15" thickBot="1">
      <c r="C36" s="680"/>
      <c r="D36" s="680"/>
      <c r="E36" s="75"/>
      <c r="F36" s="791" t="str">
        <f>C26</f>
        <v>F-sz 025</v>
      </c>
      <c r="G36" s="791"/>
      <c r="H36" s="791"/>
      <c r="I36" s="791"/>
      <c r="J36" s="791" t="str">
        <f>F36</f>
        <v>F-sz 025</v>
      </c>
      <c r="K36" s="791"/>
      <c r="L36" s="791"/>
      <c r="M36" s="791" t="str">
        <f>C22</f>
        <v>F-sz 021</v>
      </c>
      <c r="N36" s="791"/>
      <c r="O36" s="791"/>
      <c r="P36" s="791"/>
      <c r="Q36" s="793" t="str">
        <f>C24</f>
        <v>F-sz 023</v>
      </c>
      <c r="R36" s="793"/>
      <c r="S36" s="791"/>
      <c r="T36" s="793" t="str">
        <f>C16</f>
        <v>F-sz 015</v>
      </c>
      <c r="U36" s="793"/>
      <c r="V36" s="793"/>
      <c r="W36" s="791"/>
      <c r="X36" s="794" t="str">
        <f>C11</f>
        <v>F-sz 010</v>
      </c>
      <c r="Y36" s="794"/>
      <c r="Z36" s="794"/>
      <c r="AA36" s="795" t="str">
        <f>C13</f>
        <v>F-sz 012</v>
      </c>
      <c r="AB36" s="795"/>
      <c r="AC36" s="795"/>
      <c r="AD36" s="794"/>
      <c r="AE36" s="795" t="str">
        <f>C20</f>
        <v>F-sz 019</v>
      </c>
      <c r="AF36" s="795"/>
      <c r="AG36" s="790"/>
      <c r="AH36" s="792"/>
      <c r="AI36" s="792"/>
      <c r="AJ36" s="792"/>
      <c r="AK36" s="792"/>
      <c r="AL36" s="588"/>
      <c r="AM36"/>
      <c r="AN36"/>
      <c r="AO36" s="29"/>
      <c r="AP36" s="1"/>
      <c r="AQ36" s="1"/>
    </row>
    <row r="37" spans="3:43" s="73" customFormat="1" ht="15" thickBot="1">
      <c r="C37" s="680"/>
      <c r="D37" s="680"/>
      <c r="E37" s="76"/>
      <c r="F37" s="791" t="str">
        <f>C23</f>
        <v>F-sz 022</v>
      </c>
      <c r="G37" s="791"/>
      <c r="H37" s="791"/>
      <c r="I37" s="791"/>
      <c r="J37" s="791" t="str">
        <f>F37</f>
        <v>F-sz 022</v>
      </c>
      <c r="K37" s="791"/>
      <c r="L37" s="791"/>
      <c r="M37" s="791" t="str">
        <f>C29</f>
        <v>F-sz 028</v>
      </c>
      <c r="N37" s="791"/>
      <c r="O37" s="791"/>
      <c r="P37" s="791"/>
      <c r="Q37" s="793" t="str">
        <f>C28</f>
        <v>F-sz 027</v>
      </c>
      <c r="R37" s="793"/>
      <c r="S37" s="791"/>
      <c r="T37" s="793" t="str">
        <f>C21</f>
        <v>F-sz 020</v>
      </c>
      <c r="U37" s="793"/>
      <c r="V37" s="793"/>
      <c r="W37" s="791"/>
      <c r="X37" s="796" t="str">
        <f>C21</f>
        <v>F-sz 020</v>
      </c>
      <c r="Y37" s="796"/>
      <c r="Z37" s="794"/>
      <c r="AA37" s="795" t="str">
        <f>C16</f>
        <v>F-sz 015</v>
      </c>
      <c r="AB37" s="795"/>
      <c r="AC37" s="795"/>
      <c r="AD37" s="794"/>
      <c r="AE37" s="795" t="str">
        <f>C24</f>
        <v>F-sz 023</v>
      </c>
      <c r="AF37" s="795"/>
      <c r="AG37" s="790"/>
      <c r="AH37" s="789"/>
      <c r="AI37" s="789"/>
      <c r="AJ37" s="789"/>
      <c r="AK37" s="789"/>
      <c r="AL37" s="589"/>
      <c r="AM37"/>
      <c r="AN37"/>
      <c r="AO37" s="29"/>
      <c r="AP37" s="1"/>
      <c r="AQ37" s="1"/>
    </row>
    <row r="38" spans="3:43" s="73" customFormat="1">
      <c r="C38" s="77"/>
      <c r="D38" s="77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1"/>
      <c r="AH38" s="79"/>
      <c r="AI38" s="79"/>
      <c r="AJ38" s="80"/>
      <c r="AK38" s="27"/>
      <c r="AL38" s="27"/>
      <c r="AM38" s="28"/>
      <c r="AN38"/>
      <c r="AO38" s="29"/>
      <c r="AP38" s="1"/>
      <c r="AQ38" s="1"/>
    </row>
  </sheetData>
  <mergeCells count="45">
    <mergeCell ref="AA37:AC37"/>
    <mergeCell ref="AE37:AF37"/>
    <mergeCell ref="F37:H37"/>
    <mergeCell ref="J37:K37"/>
    <mergeCell ref="M37:O37"/>
    <mergeCell ref="Q37:R37"/>
    <mergeCell ref="W34:W37"/>
    <mergeCell ref="X34:Y34"/>
    <mergeCell ref="Z34:Z37"/>
    <mergeCell ref="AA34:AC34"/>
    <mergeCell ref="AD34:AD37"/>
    <mergeCell ref="AE34:AF34"/>
    <mergeCell ref="X37:Y37"/>
    <mergeCell ref="X35:Y35"/>
    <mergeCell ref="AA35:AC35"/>
    <mergeCell ref="AE35:AF35"/>
    <mergeCell ref="C34:D37"/>
    <mergeCell ref="F34:H34"/>
    <mergeCell ref="I34:I37"/>
    <mergeCell ref="J34:K34"/>
    <mergeCell ref="L34:L37"/>
    <mergeCell ref="M34:O34"/>
    <mergeCell ref="P34:P37"/>
    <mergeCell ref="Q34:R34"/>
    <mergeCell ref="S34:S37"/>
    <mergeCell ref="T34:V34"/>
    <mergeCell ref="T37:V37"/>
    <mergeCell ref="Q35:R35"/>
    <mergeCell ref="T36:V36"/>
    <mergeCell ref="AH37:AK37"/>
    <mergeCell ref="AG34:AG37"/>
    <mergeCell ref="AH34:AK34"/>
    <mergeCell ref="F35:H35"/>
    <mergeCell ref="J35:K35"/>
    <mergeCell ref="M35:O35"/>
    <mergeCell ref="AH35:AK35"/>
    <mergeCell ref="F36:H36"/>
    <mergeCell ref="J36:K36"/>
    <mergeCell ref="M36:O36"/>
    <mergeCell ref="Q36:R36"/>
    <mergeCell ref="T35:V35"/>
    <mergeCell ref="X36:Y36"/>
    <mergeCell ref="AA36:AC36"/>
    <mergeCell ref="AE36:AF36"/>
    <mergeCell ref="AH36:AK36"/>
  </mergeCells>
  <phoneticPr fontId="22" type="noConversion"/>
  <conditionalFormatting sqref="A2:A30">
    <cfRule type="containsText" dxfId="113" priority="70" operator="containsText" text="SG212">
      <formula>NOT(ISERROR(SEARCH("SG212",A2)))</formula>
    </cfRule>
    <cfRule type="containsText" dxfId="112" priority="69" operator="containsText" text="SG214">
      <formula>NOT(ISERROR(SEARCH("SG214",A2)))</formula>
    </cfRule>
    <cfRule type="containsText" dxfId="111" priority="68" operator="containsText" text="SG068">
      <formula>NOT(ISERROR(SEARCH("SG068",A2)))</formula>
    </cfRule>
    <cfRule type="containsText" dxfId="110" priority="67" operator="containsText" text="SG007">
      <formula>NOT(ISERROR(SEARCH("SG007",A2)))</formula>
    </cfRule>
  </conditionalFormatting>
  <conditionalFormatting sqref="A5:A30">
    <cfRule type="containsText" dxfId="109" priority="71" operator="containsText" text="SG070">
      <formula>NOT(ISERROR(SEARCH("SG070",A5)))</formula>
    </cfRule>
  </conditionalFormatting>
  <conditionalFormatting sqref="E30:I30 L30:P30 S30:W30 Z30:AD30">
    <cfRule type="cellIs" dxfId="108" priority="65" operator="greaterThan">
      <formula>0</formula>
    </cfRule>
  </conditionalFormatting>
  <conditionalFormatting sqref="E30:AF30">
    <cfRule type="containsText" dxfId="107" priority="29" operator="containsText" text="k">
      <formula>NOT(ISERROR(SEARCH("k",E30)))</formula>
    </cfRule>
    <cfRule type="containsText" dxfId="106" priority="25" operator="containsText" text="l4">
      <formula>NOT(ISERROR(SEARCH("l4",E30)))</formula>
    </cfRule>
    <cfRule type="containsText" dxfId="105" priority="26" operator="containsText" text="12g">
      <formula>NOT(ISERROR(SEARCH("12g",E30)))</formula>
    </cfRule>
    <cfRule type="containsText" dxfId="103" priority="28" operator="containsText" text="wse">
      <formula>NOT(ISERROR(SEARCH("wse",E30)))</formula>
    </cfRule>
    <cfRule type="containsText" dxfId="102" priority="32" operator="containsText" text="d">
      <formula>NOT(ISERROR(SEARCH("d",E30)))</formula>
    </cfRule>
    <cfRule type="containsText" dxfId="101" priority="31" operator="containsText" text="s">
      <formula>NOT(ISERROR(SEARCH("s",E30)))</formula>
    </cfRule>
    <cfRule type="containsText" dxfId="100" priority="30" operator="containsText" text="u">
      <formula>NOT(ISERROR(SEARCH("u",E30)))</formula>
    </cfRule>
  </conditionalFormatting>
  <conditionalFormatting sqref="E2:AH2 E3:S3 AE3:AH3 E4:AH10 AH10:AH11 E11:AG11 E12:S12 X12:AH12 AF12:AF13 E13:AH20 AH19:AH21 E21:AG21 AF21:AF22 E22:AH22 AH23 E24:AH29">
    <cfRule type="containsText" dxfId="99" priority="95" operator="containsText" text="MOSG">
      <formula>NOT(ISERROR(SEARCH("MOSG",E2)))</formula>
    </cfRule>
  </conditionalFormatting>
  <conditionalFormatting sqref="E6:AH29">
    <cfRule type="cellIs" dxfId="98" priority="7" operator="equal">
      <formula>"w"</formula>
    </cfRule>
  </conditionalFormatting>
  <conditionalFormatting sqref="E23:AH23">
    <cfRule type="containsText" dxfId="97" priority="101" operator="containsText" text="MOSG">
      <formula>NOT(ISERROR(SEARCH("MOSG",E23)))</formula>
    </cfRule>
    <cfRule type="containsText" dxfId="96" priority="99" operator="containsText" text="UW">
      <formula>NOT(ISERROR(SEARCH("UW",E23)))</formula>
    </cfRule>
    <cfRule type="containsText" dxfId="95" priority="98" operator="containsText" text="S">
      <formula>NOT(ISERROR(SEARCH("S",E23)))</formula>
    </cfRule>
    <cfRule type="containsText" dxfId="94" priority="100" operator="containsText" text="D">
      <formula>NOT(ISERROR(SEARCH("D",E23)))</formula>
    </cfRule>
  </conditionalFormatting>
  <conditionalFormatting sqref="E2:AI2 E3:S3 AE3:AI3 E4:AI10 AH10:AH11 E11:AG11 AI11 X12:AI12 AF12:AF13 E12:S22 T13:AI20 AH19:AH21 T21:AG21 AI21 AF21:AF22 T22:AI22 AH23:AI23 E24:AI29">
    <cfRule type="containsText" dxfId="92" priority="94" operator="containsText" text="D">
      <formula>NOT(ISERROR(SEARCH("D",E2)))</formula>
    </cfRule>
    <cfRule type="containsText" dxfId="91" priority="93" operator="containsText" text="UW">
      <formula>NOT(ISERROR(SEARCH("UW",E2)))</formula>
    </cfRule>
    <cfRule type="containsText" dxfId="90" priority="92" operator="containsText" text="S">
      <formula>NOT(ISERROR(SEARCH("S",E2)))</formula>
    </cfRule>
  </conditionalFormatting>
  <conditionalFormatting sqref="E4:AI10 AH10:AH11 E11:AG11 X12:AI12 AF12:AF13 E12:S22 T13:AI20 AH19:AH21 T21:AG21 AF21:AF22 T22:AI22 E23:AI29 E2:AI2 E3:S3 AE3:AI3 AI11 AI21">
    <cfRule type="containsText" dxfId="89" priority="91" operator="containsText" text="L4">
      <formula>NOT(ISERROR(SEARCH("L4",E2)))</formula>
    </cfRule>
  </conditionalFormatting>
  <conditionalFormatting sqref="E31:AI31">
    <cfRule type="cellIs" dxfId="88" priority="103" operator="between">
      <formula>0.5</formula>
      <formula>1.5</formula>
    </cfRule>
    <cfRule type="cellIs" dxfId="87" priority="106" operator="greaterThan">
      <formula>1.5</formula>
    </cfRule>
  </conditionalFormatting>
  <conditionalFormatting sqref="E31:AI32">
    <cfRule type="cellIs" dxfId="86" priority="104" operator="equal">
      <formula>0</formula>
    </cfRule>
  </conditionalFormatting>
  <conditionalFormatting sqref="E32:AI32">
    <cfRule type="cellIs" dxfId="85" priority="108" operator="greaterThan">
      <formula>3.5</formula>
    </cfRule>
  </conditionalFormatting>
  <conditionalFormatting sqref="X3:Y3">
    <cfRule type="containsText" dxfId="84" priority="2" operator="containsText" text="S">
      <formula>NOT(ISERROR(SEARCH("S",X3)))</formula>
    </cfRule>
    <cfRule type="containsText" dxfId="83" priority="3" operator="containsText" text="UW">
      <formula>NOT(ISERROR(SEARCH("UW",X3)))</formula>
    </cfRule>
    <cfRule type="containsText" dxfId="82" priority="4" operator="containsText" text="D">
      <formula>NOT(ISERROR(SEARCH("D",X3)))</formula>
    </cfRule>
    <cfRule type="containsText" dxfId="81" priority="5" operator="containsText" text="MOSG">
      <formula>NOT(ISERROR(SEARCH("MOSG",X3)))</formula>
    </cfRule>
    <cfRule type="containsText" dxfId="80" priority="1" operator="containsText" text="L4">
      <formula>NOT(ISERROR(SEARCH("L4",X3)))</formula>
    </cfRule>
  </conditionalFormatting>
  <conditionalFormatting sqref="AS5:AS14">
    <cfRule type="containsText" dxfId="77" priority="15" operator="containsText" text="d">
      <formula>NOT(ISERROR(SEARCH("d",AS5)))</formula>
    </cfRule>
    <cfRule type="containsText" dxfId="76" priority="14" operator="containsText" text="s">
      <formula>NOT(ISERROR(SEARCH("s",AS5)))</formula>
    </cfRule>
    <cfRule type="containsText" dxfId="75" priority="13" operator="containsText" text="u">
      <formula>NOT(ISERROR(SEARCH("u",AS5)))</formula>
    </cfRule>
    <cfRule type="containsText" dxfId="74" priority="12" operator="containsText" text="k">
      <formula>NOT(ISERROR(SEARCH("k",AS5)))</formula>
    </cfRule>
    <cfRule type="containsText" dxfId="73" priority="11" operator="containsText" text="wse">
      <formula>NOT(ISERROR(SEARCH("wse",AS5)))</formula>
    </cfRule>
    <cfRule type="containsText" dxfId="71" priority="9" operator="containsText" text="12g">
      <formula>NOT(ISERROR(SEARCH("12g",AS5)))</formula>
    </cfRule>
  </conditionalFormatting>
  <conditionalFormatting sqref="AS15">
    <cfRule type="containsText" dxfId="70" priority="20" operator="containsText" text="k">
      <formula>NOT(ISERROR(SEARCH("k",AS15)))</formula>
    </cfRule>
    <cfRule type="containsText" dxfId="69" priority="19" operator="containsText" text="wse">
      <formula>NOT(ISERROR(SEARCH("wse",AS15)))</formula>
    </cfRule>
    <cfRule type="containsText" dxfId="67" priority="21" operator="containsText" text="u">
      <formula>NOT(ISERROR(SEARCH("u",AS15)))</formula>
    </cfRule>
    <cfRule type="containsText" dxfId="66" priority="17" operator="containsText" text="12g">
      <formula>NOT(ISERROR(SEARCH("12g",AS15)))</formula>
    </cfRule>
    <cfRule type="containsText" dxfId="65" priority="16" operator="containsText" text="l4">
      <formula>NOT(ISERROR(SEARCH("l4",AS15)))</formula>
    </cfRule>
    <cfRule type="containsText" dxfId="64" priority="23" operator="containsText" text="d">
      <formula>NOT(ISERROR(SEARCH("d",AS15)))</formula>
    </cfRule>
    <cfRule type="containsText" dxfId="63" priority="22" operator="containsText" text="s">
      <formula>NOT(ISERROR(SEARCH("s",AS15)))</formula>
    </cfRule>
  </conditionalFormatting>
  <pageMargins left="0" right="0" top="0" bottom="0" header="0.51180555555555496" footer="0.51180555555555496"/>
  <pageSetup paperSize="9" orientation="landscape" horizontalDpi="300" verticalDpi="3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7" operator="containsText" id="{2B96BE17-C9A4-46BC-8F7E-7B2DD4B38017}">
            <xm:f>NOT(ISERROR(SEARCH("-",E30)))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E30:AF30</xm:sqref>
        </x14:conditionalFormatting>
        <x14:conditionalFormatting xmlns:xm="http://schemas.microsoft.com/office/excel/2006/main">
          <x14:cfRule type="containsText" priority="96" operator="containsText" id="{684A1E58-923B-4020-8DE4-4A1CBF55EB4E}">
            <xm:f>NOT(ISERROR(SEARCH("-",E23)))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E23:AH29</xm:sqref>
        </x14:conditionalFormatting>
        <x14:conditionalFormatting xmlns:xm="http://schemas.microsoft.com/office/excel/2006/main">
          <x14:cfRule type="containsText" priority="6" operator="containsText" id="{DA9B1C61-977B-41C0-91FB-E1DD6B6F9DF3}">
            <xm:f>NOT(ISERROR(SEARCH("-",X3)))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X3:Y3</xm:sqref>
        </x14:conditionalFormatting>
        <x14:conditionalFormatting xmlns:xm="http://schemas.microsoft.com/office/excel/2006/main">
          <x14:cfRule type="containsText" priority="134" operator="containsText" id="{6A607B24-0060-415C-92D5-8D8A194DAB33}">
            <xm:f>NOT(ISERROR(SEARCH("-",E2)))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AH23 E2:AH2 E3:S3 AE3:AH3 E4:AH10 AH10:AH11 E11:AG11 X12:AH12 AF12:AF13 E12:S22 T13:AH20 AH19:AH21 T21:AG21 AF21:AF22 T22:AH22</xm:sqref>
        </x14:conditionalFormatting>
        <x14:conditionalFormatting xmlns:xm="http://schemas.microsoft.com/office/excel/2006/main">
          <x14:cfRule type="containsText" priority="10" operator="containsText" id="{E9311044-43FA-477B-A7E7-5E3090FFAC51}">
            <xm:f>NOT(ISERROR(SEARCH("-",AS5)))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AS5:AS14</xm:sqref>
        </x14:conditionalFormatting>
        <x14:conditionalFormatting xmlns:xm="http://schemas.microsoft.com/office/excel/2006/main">
          <x14:cfRule type="containsText" priority="18" operator="containsText" id="{66FFD5CD-3A22-4931-871B-D26187566A3B}">
            <xm:f>NOT(ISERROR(SEARCH("-",AS15)))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AS15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</sheetPr>
  <dimension ref="A1:AMJ38"/>
  <sheetViews>
    <sheetView tabSelected="1" zoomScale="80" zoomScaleNormal="80" workbookViewId="0">
      <pane ySplit="1" topLeftCell="A2" activePane="bottomLeft" state="frozen"/>
      <selection pane="bottomLeft" activeCell="E1" sqref="E1:AI1"/>
    </sheetView>
  </sheetViews>
  <sheetFormatPr defaultColWidth="8.84375" defaultRowHeight="14.6"/>
  <cols>
    <col min="1" max="1" width="6" style="1" customWidth="1"/>
    <col min="2" max="2" width="4.3046875" style="1" customWidth="1"/>
    <col min="3" max="3" width="17.53515625" style="7" customWidth="1"/>
    <col min="4" max="4" width="8.53515625" style="1" customWidth="1"/>
    <col min="5" max="35" width="3.53515625" style="1" customWidth="1"/>
    <col min="36" max="36" width="0.3046875" style="1" customWidth="1"/>
    <col min="37" max="37" width="7.53515625" style="8" customWidth="1"/>
    <col min="38" max="38" width="8.69140625" style="1" customWidth="1"/>
    <col min="39" max="39" width="7.53515625" style="1" customWidth="1"/>
    <col min="40" max="40" width="6.4609375" style="1" customWidth="1"/>
    <col min="41" max="41" width="7.23046875" style="1" customWidth="1"/>
    <col min="42" max="42" width="4.23046875" style="1" customWidth="1"/>
    <col min="43" max="43" width="8.84375" style="1"/>
    <col min="44" max="44" width="20.3046875" style="1" customWidth="1"/>
    <col min="45" max="1024" width="8.84375" style="1"/>
  </cols>
  <sheetData>
    <row r="1" spans="1:45" ht="57" customHeight="1" thickBot="1">
      <c r="A1" s="1" t="s">
        <v>52</v>
      </c>
      <c r="D1" s="9">
        <v>44531</v>
      </c>
      <c r="E1" s="574">
        <v>44531</v>
      </c>
      <c r="F1" s="574">
        <v>44532</v>
      </c>
      <c r="G1" s="574">
        <v>44533</v>
      </c>
      <c r="H1" s="575">
        <v>44534</v>
      </c>
      <c r="I1" s="575">
        <v>44535</v>
      </c>
      <c r="J1" s="574">
        <v>44536</v>
      </c>
      <c r="K1" s="574">
        <v>44537</v>
      </c>
      <c r="L1" s="574">
        <v>44538</v>
      </c>
      <c r="M1" s="574">
        <v>44539</v>
      </c>
      <c r="N1" s="574">
        <v>44540</v>
      </c>
      <c r="O1" s="575">
        <v>44541</v>
      </c>
      <c r="P1" s="575">
        <v>44542</v>
      </c>
      <c r="Q1" s="574">
        <v>44543</v>
      </c>
      <c r="R1" s="574">
        <v>44544</v>
      </c>
      <c r="S1" s="574">
        <v>44545</v>
      </c>
      <c r="T1" s="574">
        <v>44546</v>
      </c>
      <c r="U1" s="574">
        <v>44547</v>
      </c>
      <c r="V1" s="575">
        <v>44548</v>
      </c>
      <c r="W1" s="575">
        <v>44549</v>
      </c>
      <c r="X1" s="574">
        <v>44550</v>
      </c>
      <c r="Y1" s="574">
        <v>44551</v>
      </c>
      <c r="Z1" s="574">
        <v>44552</v>
      </c>
      <c r="AA1" s="574">
        <v>44553</v>
      </c>
      <c r="AB1" s="574">
        <v>44554</v>
      </c>
      <c r="AC1" s="575">
        <v>44555</v>
      </c>
      <c r="AD1" s="575">
        <v>44556</v>
      </c>
      <c r="AE1" s="574">
        <v>44557</v>
      </c>
      <c r="AF1" s="574">
        <v>44558</v>
      </c>
      <c r="AG1" s="574">
        <v>44559</v>
      </c>
      <c r="AH1" s="574">
        <v>44560</v>
      </c>
      <c r="AI1" s="574">
        <v>44561</v>
      </c>
      <c r="AJ1" s="14"/>
      <c r="AK1" s="15">
        <f>23*8</f>
        <v>184</v>
      </c>
      <c r="AL1" s="634" t="s">
        <v>53</v>
      </c>
      <c r="AM1" s="635" t="s">
        <v>54</v>
      </c>
      <c r="AN1" s="636" t="s">
        <v>472</v>
      </c>
      <c r="AO1" s="637" t="s">
        <v>436</v>
      </c>
      <c r="AP1" s="638" t="s">
        <v>169</v>
      </c>
    </row>
    <row r="2" spans="1:45" ht="16.3" thickBot="1">
      <c r="A2" s="1" t="s">
        <v>58</v>
      </c>
      <c r="B2" s="1" t="s">
        <v>59</v>
      </c>
      <c r="C2" s="198" t="str">
        <f>Tabela13[[#This Row],[FUNKCJONARIUSZ]]</f>
        <v>F-sz 001</v>
      </c>
      <c r="D2" s="20">
        <f>Zasoby!C2</f>
        <v>-80.5</v>
      </c>
      <c r="E2" s="200" t="s">
        <v>62</v>
      </c>
      <c r="F2" s="22" t="s">
        <v>62</v>
      </c>
      <c r="G2" s="22" t="s">
        <v>62</v>
      </c>
      <c r="H2" s="23" t="s">
        <v>62</v>
      </c>
      <c r="I2" s="23" t="s">
        <v>62</v>
      </c>
      <c r="J2" s="22" t="s">
        <v>515</v>
      </c>
      <c r="K2" s="22"/>
      <c r="L2" s="22"/>
      <c r="M2" s="22"/>
      <c r="N2" s="22"/>
      <c r="O2" s="567"/>
      <c r="P2" s="567"/>
      <c r="Q2" s="641"/>
      <c r="R2" s="641"/>
      <c r="S2" s="641"/>
      <c r="T2" s="641"/>
      <c r="U2" s="641"/>
      <c r="V2" s="23"/>
      <c r="W2" s="23"/>
      <c r="X2" s="641"/>
      <c r="Y2" s="641"/>
      <c r="Z2" s="641"/>
      <c r="AA2" s="641"/>
      <c r="AB2" s="641"/>
      <c r="AC2" s="23"/>
      <c r="AD2" s="23"/>
      <c r="AE2" s="641"/>
      <c r="AF2" s="568"/>
      <c r="AG2" s="22"/>
      <c r="AH2" s="24"/>
      <c r="AI2" s="25"/>
      <c r="AJ2" s="26" t="str">
        <f>Tabela13[[#This Row],[FUNKCJONARIUSZ]]</f>
        <v>F-sz 001</v>
      </c>
      <c r="AK2" s="27">
        <f t="shared" ref="AK2:AK29" si="0">D2+AL2+AM2+AN2-$AK$1+AO2+AP2</f>
        <v>-132.5</v>
      </c>
      <c r="AL2" s="28">
        <f>(COUNTIF(E2:AI2,"W")+COUNTIF(E2:AI2,"D"))*24+COUNTIF(E2:AI2,"12g")*12</f>
        <v>0</v>
      </c>
      <c r="AM2">
        <f>SUM(COUNTIF(E2:AI2,"s"))*24+SUM(COUNTIF(E2:AI2,"ks")+COUNTIF(E2:AI2,"Ps"))*12</f>
        <v>132</v>
      </c>
      <c r="AN2" s="29">
        <f>SUM(E2:AJ2)+COUNTIF(E2:AJ2,"uw")*8+COUNTIF(E2:AJ2,"us")*8+COUNTIF(E2:AJ2,"uz")*8</f>
        <v>0</v>
      </c>
      <c r="AO2" s="1">
        <f>COUNTIF(E2:AJ2,"odd")*8</f>
        <v>0</v>
      </c>
      <c r="AP2" s="1">
        <f>COUNTIF(E2:AJ2,"l4")*8</f>
        <v>0</v>
      </c>
    </row>
    <row r="3" spans="1:45" ht="16.3" thickBot="1">
      <c r="A3" s="1" t="s">
        <v>63</v>
      </c>
      <c r="B3" s="1" t="s">
        <v>64</v>
      </c>
      <c r="C3" s="198" t="str">
        <f>Tabela13[[#This Row],[FUNKCJONARIUSZ]]</f>
        <v>F-sz 002</v>
      </c>
      <c r="D3" s="20">
        <f>Zasoby!C3</f>
        <v>-67</v>
      </c>
      <c r="E3" s="204"/>
      <c r="F3" s="32"/>
      <c r="G3" s="32"/>
      <c r="H3" s="33"/>
      <c r="I3" s="33"/>
      <c r="J3" s="32"/>
      <c r="K3" s="32"/>
      <c r="L3" s="32"/>
      <c r="M3" s="32" t="s">
        <v>59</v>
      </c>
      <c r="N3" s="32"/>
      <c r="O3" s="33"/>
      <c r="P3" s="42"/>
      <c r="Q3" s="41" t="s">
        <v>61</v>
      </c>
      <c r="R3" s="41" t="s">
        <v>62</v>
      </c>
      <c r="S3" s="41" t="s">
        <v>62</v>
      </c>
      <c r="T3" s="41" t="s">
        <v>62</v>
      </c>
      <c r="U3" s="41" t="s">
        <v>62</v>
      </c>
      <c r="V3" s="42" t="s">
        <v>62</v>
      </c>
      <c r="W3" s="42" t="s">
        <v>62</v>
      </c>
      <c r="X3" s="41" t="s">
        <v>515</v>
      </c>
      <c r="Y3" s="41"/>
      <c r="Z3" s="41"/>
      <c r="AA3" s="41"/>
      <c r="AB3" s="41"/>
      <c r="AC3" s="42"/>
      <c r="AD3" s="42"/>
      <c r="AE3" s="41"/>
      <c r="AF3" s="32"/>
      <c r="AG3" s="32"/>
      <c r="AH3" s="34"/>
      <c r="AI3" s="569"/>
      <c r="AJ3" s="26" t="str">
        <f>Tabela13[[#This Row],[FUNKCJONARIUSZ]]</f>
        <v>F-sz 002</v>
      </c>
      <c r="AK3" s="27">
        <f t="shared" si="0"/>
        <v>-59</v>
      </c>
      <c r="AL3" s="28">
        <f t="shared" ref="AL3:AL29" si="1">(COUNTIF(E3:AI3,"W")+COUNTIF(E3:AI3,"D"))*24+COUNTIF(E3:AI3,"12g")*12</f>
        <v>24</v>
      </c>
      <c r="AM3">
        <f t="shared" ref="AM3:AM29" si="2">SUM(COUNTIF(E3:AI3,"s"))*24+SUM(COUNTIF(E3:AI3,"ks")+COUNTIF(E3:AI3,"Ps"))*12</f>
        <v>168</v>
      </c>
      <c r="AN3" s="29">
        <f t="shared" ref="AN3:AN29" si="3">SUM(E3:AJ3)+COUNTIF(E3:AJ3,"uw")*8+COUNTIF(E3:AJ3,"us")*8+COUNTIF(E3:AJ3,"uz")*8</f>
        <v>0</v>
      </c>
      <c r="AO3" s="1">
        <f t="shared" ref="AO3:AO29" si="4">COUNTIF(E3:AJ3,"odd")*8</f>
        <v>0</v>
      </c>
      <c r="AP3" s="1">
        <f t="shared" ref="AP3:AP29" si="5">COUNTIF(E3:AJ3,"l4")*8</f>
        <v>0</v>
      </c>
    </row>
    <row r="4" spans="1:45" ht="16.3" thickBot="1">
      <c r="A4" s="1" t="s">
        <v>67</v>
      </c>
      <c r="B4" s="1" t="s">
        <v>64</v>
      </c>
      <c r="C4" s="198" t="str">
        <f>Tabela13[[#This Row],[FUNKCJONARIUSZ]]</f>
        <v>F-sz 003</v>
      </c>
      <c r="D4" s="20">
        <f>Zasoby!C4</f>
        <v>-69</v>
      </c>
      <c r="E4" s="204"/>
      <c r="F4" s="32"/>
      <c r="G4" s="32"/>
      <c r="H4" s="33"/>
      <c r="I4" s="33"/>
      <c r="J4" s="32" t="s">
        <v>61</v>
      </c>
      <c r="K4" s="32" t="s">
        <v>62</v>
      </c>
      <c r="L4" s="32" t="s">
        <v>62</v>
      </c>
      <c r="M4" s="32" t="s">
        <v>62</v>
      </c>
      <c r="N4" s="32" t="s">
        <v>62</v>
      </c>
      <c r="O4" s="33" t="s">
        <v>62</v>
      </c>
      <c r="P4" s="33" t="s">
        <v>62</v>
      </c>
      <c r="Q4" s="32" t="s">
        <v>515</v>
      </c>
      <c r="R4" s="32"/>
      <c r="S4" s="32"/>
      <c r="T4" s="32"/>
      <c r="U4" s="32"/>
      <c r="V4" s="33"/>
      <c r="W4" s="33"/>
      <c r="X4" s="32"/>
      <c r="Y4" s="32"/>
      <c r="Z4" s="32"/>
      <c r="AA4" s="32"/>
      <c r="AB4" s="32"/>
      <c r="AC4" s="33"/>
      <c r="AD4" s="33"/>
      <c r="AE4" s="32"/>
      <c r="AF4" s="32"/>
      <c r="AG4" s="32"/>
      <c r="AH4" s="34"/>
      <c r="AI4" s="35"/>
      <c r="AJ4" s="26" t="str">
        <f>Tabela13[[#This Row],[FUNKCJONARIUSZ]]</f>
        <v>F-sz 003</v>
      </c>
      <c r="AK4" s="27">
        <f t="shared" si="0"/>
        <v>-85</v>
      </c>
      <c r="AL4" s="28">
        <f t="shared" si="1"/>
        <v>0</v>
      </c>
      <c r="AM4">
        <f t="shared" si="2"/>
        <v>168</v>
      </c>
      <c r="AN4" s="29">
        <f t="shared" si="3"/>
        <v>0</v>
      </c>
      <c r="AO4" s="1">
        <f t="shared" si="4"/>
        <v>0</v>
      </c>
      <c r="AP4" s="1">
        <f t="shared" si="5"/>
        <v>0</v>
      </c>
    </row>
    <row r="5" spans="1:45" ht="16.3" thickBot="1">
      <c r="A5" s="1" t="s">
        <v>63</v>
      </c>
      <c r="B5" s="1" t="s">
        <v>64</v>
      </c>
      <c r="C5" s="198" t="str">
        <f>Tabela13[[#This Row],[FUNKCJONARIUSZ]]</f>
        <v>F-sz 004</v>
      </c>
      <c r="D5" s="20">
        <f>Zasoby!C5</f>
        <v>-46</v>
      </c>
      <c r="E5" s="204" t="s">
        <v>62</v>
      </c>
      <c r="F5" s="32" t="s">
        <v>62</v>
      </c>
      <c r="G5" s="32" t="s">
        <v>62</v>
      </c>
      <c r="H5" s="33" t="s">
        <v>62</v>
      </c>
      <c r="I5" s="33" t="s">
        <v>62</v>
      </c>
      <c r="J5" s="32" t="s">
        <v>515</v>
      </c>
      <c r="K5" s="32"/>
      <c r="L5" s="32" t="s">
        <v>113</v>
      </c>
      <c r="M5" s="32"/>
      <c r="N5" s="32"/>
      <c r="O5" s="33"/>
      <c r="P5" s="38"/>
      <c r="Q5" s="37"/>
      <c r="R5" s="37"/>
      <c r="S5" s="37"/>
      <c r="T5" s="37"/>
      <c r="U5" s="37"/>
      <c r="V5" s="38"/>
      <c r="W5" s="38"/>
      <c r="X5" s="37"/>
      <c r="Y5" s="37"/>
      <c r="Z5" s="37"/>
      <c r="AA5" s="37"/>
      <c r="AB5" s="37"/>
      <c r="AC5" s="38"/>
      <c r="AD5" s="38"/>
      <c r="AE5" s="32" t="s">
        <v>59</v>
      </c>
      <c r="AF5" s="32"/>
      <c r="AG5" s="32"/>
      <c r="AH5" s="34"/>
      <c r="AI5" s="35"/>
      <c r="AJ5" s="26" t="str">
        <f>Tabela13[[#This Row],[FUNKCJONARIUSZ]]</f>
        <v>F-sz 004</v>
      </c>
      <c r="AK5" s="27">
        <f t="shared" si="0"/>
        <v>-50</v>
      </c>
      <c r="AL5" s="28">
        <f t="shared" si="1"/>
        <v>48</v>
      </c>
      <c r="AM5">
        <f t="shared" si="2"/>
        <v>132</v>
      </c>
      <c r="AN5" s="29">
        <f t="shared" si="3"/>
        <v>0</v>
      </c>
      <c r="AO5" s="1">
        <f t="shared" si="4"/>
        <v>0</v>
      </c>
      <c r="AP5" s="1">
        <f t="shared" si="5"/>
        <v>0</v>
      </c>
      <c r="AQ5" s="36" t="s">
        <v>59</v>
      </c>
      <c r="AR5" s="1" t="s">
        <v>72</v>
      </c>
      <c r="AS5" s="1">
        <v>24</v>
      </c>
    </row>
    <row r="6" spans="1:45" ht="16.3" thickBot="1">
      <c r="A6" s="1" t="s">
        <v>67</v>
      </c>
      <c r="B6" s="1" t="s">
        <v>73</v>
      </c>
      <c r="C6" s="198" t="str">
        <f>Tabela13[[#This Row],[FUNKCJONARIUSZ]]</f>
        <v>F-sz 005</v>
      </c>
      <c r="D6" s="20">
        <f>Zasoby!C6</f>
        <v>-29.5</v>
      </c>
      <c r="E6" s="204"/>
      <c r="F6" s="32"/>
      <c r="G6" s="32"/>
      <c r="H6" s="33"/>
      <c r="I6" s="33"/>
      <c r="J6" s="32"/>
      <c r="K6" s="32"/>
      <c r="L6" s="32"/>
      <c r="M6" s="32"/>
      <c r="N6" s="32"/>
      <c r="O6" s="39"/>
      <c r="P6" s="579"/>
      <c r="Q6" s="37" t="s">
        <v>61</v>
      </c>
      <c r="R6" s="37" t="s">
        <v>62</v>
      </c>
      <c r="S6" s="37" t="s">
        <v>62</v>
      </c>
      <c r="T6" s="37" t="s">
        <v>62</v>
      </c>
      <c r="U6" s="37" t="s">
        <v>62</v>
      </c>
      <c r="V6" s="38" t="s">
        <v>62</v>
      </c>
      <c r="W6" s="38" t="s">
        <v>62</v>
      </c>
      <c r="X6" s="37" t="s">
        <v>515</v>
      </c>
      <c r="Y6" s="37"/>
      <c r="Z6" s="37"/>
      <c r="AA6" s="37"/>
      <c r="AB6" s="37"/>
      <c r="AC6" s="38"/>
      <c r="AD6" s="38"/>
      <c r="AE6" s="48" t="s">
        <v>75</v>
      </c>
      <c r="AF6" s="32" t="s">
        <v>75</v>
      </c>
      <c r="AG6" s="32" t="s">
        <v>75</v>
      </c>
      <c r="AH6" s="34" t="s">
        <v>75</v>
      </c>
      <c r="AI6" s="35" t="s">
        <v>66</v>
      </c>
      <c r="AJ6" s="26" t="str">
        <f>Tabela13[[#This Row],[FUNKCJONARIUSZ]]</f>
        <v>F-sz 005</v>
      </c>
      <c r="AK6" s="27">
        <f t="shared" si="0"/>
        <v>-13.5</v>
      </c>
      <c r="AL6" s="28">
        <f t="shared" si="1"/>
        <v>0</v>
      </c>
      <c r="AM6">
        <f t="shared" si="2"/>
        <v>168</v>
      </c>
      <c r="AN6" s="29">
        <f t="shared" si="3"/>
        <v>32</v>
      </c>
      <c r="AO6" s="1">
        <f t="shared" si="4"/>
        <v>0</v>
      </c>
      <c r="AP6" s="1">
        <f t="shared" si="5"/>
        <v>0</v>
      </c>
      <c r="AQ6" s="36" t="s">
        <v>76</v>
      </c>
      <c r="AR6" s="1" t="s">
        <v>77</v>
      </c>
      <c r="AS6" s="1">
        <v>12</v>
      </c>
    </row>
    <row r="7" spans="1:45" ht="16.3" thickBot="1">
      <c r="A7" s="1" t="s">
        <v>67</v>
      </c>
      <c r="B7" s="1" t="s">
        <v>59</v>
      </c>
      <c r="C7" s="198" t="str">
        <f>Tabela13[[#This Row],[FUNKCJONARIUSZ]]</f>
        <v>F-sz 006</v>
      </c>
      <c r="D7" s="20">
        <f>Zasoby!C7</f>
        <v>-22</v>
      </c>
      <c r="E7" s="204"/>
      <c r="F7" s="32"/>
      <c r="G7" s="32"/>
      <c r="H7" s="33"/>
      <c r="I7" s="33"/>
      <c r="J7" s="32" t="s">
        <v>59</v>
      </c>
      <c r="K7" s="32"/>
      <c r="L7" s="32"/>
      <c r="M7" s="32"/>
      <c r="N7" s="32"/>
      <c r="O7" s="33" t="s">
        <v>113</v>
      </c>
      <c r="P7" s="42"/>
      <c r="Q7" s="41" t="s">
        <v>75</v>
      </c>
      <c r="R7" s="41" t="s">
        <v>75</v>
      </c>
      <c r="S7" s="41" t="s">
        <v>75</v>
      </c>
      <c r="T7" s="41" t="s">
        <v>75</v>
      </c>
      <c r="U7" s="41" t="s">
        <v>75</v>
      </c>
      <c r="V7" s="42" t="s">
        <v>66</v>
      </c>
      <c r="W7" s="42" t="s">
        <v>66</v>
      </c>
      <c r="X7" s="41" t="s">
        <v>75</v>
      </c>
      <c r="Y7" s="41" t="s">
        <v>75</v>
      </c>
      <c r="Z7" s="41" t="s">
        <v>75</v>
      </c>
      <c r="AA7" s="41" t="s">
        <v>66</v>
      </c>
      <c r="AB7" s="41" t="s">
        <v>66</v>
      </c>
      <c r="AC7" s="42" t="s">
        <v>66</v>
      </c>
      <c r="AD7" s="42" t="s">
        <v>66</v>
      </c>
      <c r="AE7" s="32" t="s">
        <v>75</v>
      </c>
      <c r="AF7" s="32" t="s">
        <v>59</v>
      </c>
      <c r="AG7" s="32"/>
      <c r="AH7" s="34"/>
      <c r="AI7" s="35"/>
      <c r="AJ7" s="26" t="str">
        <f>Tabela13[[#This Row],[FUNKCJONARIUSZ]]</f>
        <v>F-sz 006</v>
      </c>
      <c r="AK7" s="27">
        <f t="shared" si="0"/>
        <v>-62</v>
      </c>
      <c r="AL7" s="28">
        <f t="shared" si="1"/>
        <v>72</v>
      </c>
      <c r="AM7">
        <f t="shared" si="2"/>
        <v>0</v>
      </c>
      <c r="AN7" s="29">
        <f t="shared" si="3"/>
        <v>72</v>
      </c>
      <c r="AO7" s="1">
        <f t="shared" si="4"/>
        <v>0</v>
      </c>
      <c r="AP7" s="1">
        <f t="shared" si="5"/>
        <v>0</v>
      </c>
      <c r="AQ7" s="36" t="s">
        <v>69</v>
      </c>
      <c r="AR7" s="1" t="s">
        <v>79</v>
      </c>
      <c r="AS7" s="1">
        <v>12</v>
      </c>
    </row>
    <row r="8" spans="1:45" ht="16.3" thickBot="1">
      <c r="A8" s="1" t="s">
        <v>67</v>
      </c>
      <c r="B8" s="1" t="s">
        <v>59</v>
      </c>
      <c r="C8" s="198" t="str">
        <f>Tabela13[[#This Row],[FUNKCJONARIUSZ]]</f>
        <v>F-sz 007</v>
      </c>
      <c r="D8" s="20">
        <f>Zasoby!C8</f>
        <v>174</v>
      </c>
      <c r="E8" s="204"/>
      <c r="F8" s="32"/>
      <c r="G8" s="32"/>
      <c r="H8" s="33"/>
      <c r="I8" s="33"/>
      <c r="J8" s="32"/>
      <c r="K8" s="32"/>
      <c r="L8" s="32"/>
      <c r="M8" s="32"/>
      <c r="N8" s="32"/>
      <c r="O8" s="33"/>
      <c r="P8" s="33"/>
      <c r="Q8" s="32"/>
      <c r="R8" s="32"/>
      <c r="S8" s="32"/>
      <c r="T8" s="32"/>
      <c r="U8" s="32"/>
      <c r="V8" s="33"/>
      <c r="W8" s="33"/>
      <c r="X8" s="32"/>
      <c r="Y8" s="32"/>
      <c r="Z8" s="32"/>
      <c r="AA8" s="32"/>
      <c r="AB8" s="32"/>
      <c r="AC8" s="33"/>
      <c r="AD8" s="33"/>
      <c r="AE8" s="32"/>
      <c r="AF8" s="32"/>
      <c r="AG8" s="32"/>
      <c r="AH8" s="34"/>
      <c r="AI8" s="35"/>
      <c r="AJ8" s="26" t="str">
        <f>Tabela13[[#This Row],[FUNKCJONARIUSZ]]</f>
        <v>F-sz 007</v>
      </c>
      <c r="AK8" s="27">
        <f t="shared" si="0"/>
        <v>-10</v>
      </c>
      <c r="AL8" s="28">
        <f t="shared" si="1"/>
        <v>0</v>
      </c>
      <c r="AM8">
        <f t="shared" si="2"/>
        <v>0</v>
      </c>
      <c r="AN8" s="29">
        <f t="shared" si="3"/>
        <v>0</v>
      </c>
      <c r="AO8" s="1">
        <f t="shared" si="4"/>
        <v>0</v>
      </c>
      <c r="AP8" s="1">
        <f t="shared" si="5"/>
        <v>0</v>
      </c>
      <c r="AQ8" s="36" t="s">
        <v>70</v>
      </c>
      <c r="AR8" s="1" t="s">
        <v>81</v>
      </c>
      <c r="AS8" s="1">
        <v>24</v>
      </c>
    </row>
    <row r="9" spans="1:45" ht="16.3" thickBot="1">
      <c r="A9" s="1" t="s">
        <v>67</v>
      </c>
      <c r="B9" s="1" t="s">
        <v>59</v>
      </c>
      <c r="C9" s="198" t="str">
        <f>Tabela13[[#This Row],[FUNKCJONARIUSZ]]</f>
        <v>F-sz 008</v>
      </c>
      <c r="D9" s="20">
        <f>Zasoby!C9</f>
        <v>-8</v>
      </c>
      <c r="E9" s="204"/>
      <c r="F9" s="32"/>
      <c r="G9" s="32"/>
      <c r="H9" s="33"/>
      <c r="I9" s="33"/>
      <c r="J9" s="32"/>
      <c r="K9" s="32"/>
      <c r="L9" s="32"/>
      <c r="M9" s="32"/>
      <c r="N9" s="32"/>
      <c r="O9" s="33"/>
      <c r="P9" s="33"/>
      <c r="Q9" s="32"/>
      <c r="R9" s="32" t="s">
        <v>59</v>
      </c>
      <c r="S9" s="32"/>
      <c r="T9" s="32"/>
      <c r="U9" s="32"/>
      <c r="V9" s="33" t="s">
        <v>113</v>
      </c>
      <c r="W9" s="33"/>
      <c r="X9" s="32"/>
      <c r="Y9" s="32"/>
      <c r="Z9" s="32"/>
      <c r="AA9" s="40"/>
      <c r="AB9" s="32"/>
      <c r="AC9" s="33"/>
      <c r="AD9" s="33"/>
      <c r="AE9" s="32" t="s">
        <v>61</v>
      </c>
      <c r="AF9" s="32" t="s">
        <v>62</v>
      </c>
      <c r="AG9" s="32" t="s">
        <v>62</v>
      </c>
      <c r="AH9" s="34" t="s">
        <v>62</v>
      </c>
      <c r="AI9" s="35" t="s">
        <v>62</v>
      </c>
      <c r="AJ9" s="26" t="str">
        <f>Tabela13[[#This Row],[FUNKCJONARIUSZ]]</f>
        <v>F-sz 008</v>
      </c>
      <c r="AK9" s="27">
        <f t="shared" si="0"/>
        <v>-36</v>
      </c>
      <c r="AL9" s="28">
        <f t="shared" si="1"/>
        <v>48</v>
      </c>
      <c r="AM9">
        <f t="shared" si="2"/>
        <v>108</v>
      </c>
      <c r="AN9" s="29">
        <f t="shared" si="3"/>
        <v>0</v>
      </c>
      <c r="AO9" s="1">
        <f t="shared" si="4"/>
        <v>0</v>
      </c>
      <c r="AP9" s="1">
        <f t="shared" si="5"/>
        <v>0</v>
      </c>
      <c r="AQ9" s="36" t="s">
        <v>83</v>
      </c>
      <c r="AR9" s="1" t="s">
        <v>84</v>
      </c>
      <c r="AS9" s="1">
        <v>8</v>
      </c>
    </row>
    <row r="10" spans="1:45" ht="16.3" thickBot="1">
      <c r="A10" s="1" t="s">
        <v>58</v>
      </c>
      <c r="B10" s="1" t="s">
        <v>73</v>
      </c>
      <c r="C10" s="198" t="str">
        <f>Tabela13[[#This Row],[FUNKCJONARIUSZ]]</f>
        <v>F-sz 009</v>
      </c>
      <c r="D10" s="20">
        <f>Zasoby!C10</f>
        <v>115</v>
      </c>
      <c r="E10" s="299"/>
      <c r="F10" s="32"/>
      <c r="G10" s="32"/>
      <c r="H10" s="33"/>
      <c r="I10" s="33"/>
      <c r="J10" s="37"/>
      <c r="K10" s="37"/>
      <c r="L10" s="37"/>
      <c r="M10" s="37"/>
      <c r="N10" s="37"/>
      <c r="O10" s="33"/>
      <c r="P10" s="33"/>
      <c r="Q10" s="37"/>
      <c r="R10" s="37"/>
      <c r="S10" s="37"/>
      <c r="T10" s="37"/>
      <c r="U10" s="37"/>
      <c r="V10" s="38"/>
      <c r="W10" s="38"/>
      <c r="X10" s="37"/>
      <c r="Y10" s="37"/>
      <c r="Z10" s="37"/>
      <c r="AA10" s="37"/>
      <c r="AB10" s="37"/>
      <c r="AC10" s="38"/>
      <c r="AD10" s="38"/>
      <c r="AE10" s="41" t="s">
        <v>61</v>
      </c>
      <c r="AF10" s="41" t="s">
        <v>62</v>
      </c>
      <c r="AG10" s="41" t="s">
        <v>62</v>
      </c>
      <c r="AH10" s="303" t="s">
        <v>62</v>
      </c>
      <c r="AI10" s="35" t="s">
        <v>62</v>
      </c>
      <c r="AJ10" s="26" t="str">
        <f>Tabela13[[#This Row],[FUNKCJONARIUSZ]]</f>
        <v>F-sz 009</v>
      </c>
      <c r="AK10" s="27">
        <f t="shared" si="0"/>
        <v>39</v>
      </c>
      <c r="AL10" s="28">
        <f t="shared" si="1"/>
        <v>0</v>
      </c>
      <c r="AM10">
        <f t="shared" si="2"/>
        <v>108</v>
      </c>
      <c r="AN10" s="29">
        <f t="shared" si="3"/>
        <v>0</v>
      </c>
      <c r="AO10" s="1">
        <f t="shared" si="4"/>
        <v>0</v>
      </c>
      <c r="AP10" s="1">
        <f t="shared" si="5"/>
        <v>0</v>
      </c>
      <c r="AQ10" s="36" t="s">
        <v>75</v>
      </c>
      <c r="AR10" s="1" t="s">
        <v>86</v>
      </c>
      <c r="AS10" s="1">
        <v>8</v>
      </c>
    </row>
    <row r="11" spans="1:45" ht="16.3" thickBot="1">
      <c r="A11" s="1" t="s">
        <v>58</v>
      </c>
      <c r="B11" s="1" t="s">
        <v>73</v>
      </c>
      <c r="C11" s="198" t="str">
        <f>Tabela13[[#This Row],[FUNKCJONARIUSZ]]</f>
        <v>F-sz 010</v>
      </c>
      <c r="D11" s="20">
        <f>Zasoby!C11</f>
        <v>84.5</v>
      </c>
      <c r="E11" s="571"/>
      <c r="F11" s="32"/>
      <c r="G11" s="32"/>
      <c r="H11" s="33"/>
      <c r="I11" s="39"/>
      <c r="J11" s="43"/>
      <c r="K11" s="43"/>
      <c r="L11" s="43"/>
      <c r="M11" s="43"/>
      <c r="N11" s="43"/>
      <c r="O11" s="33"/>
      <c r="P11" s="33"/>
      <c r="Q11" s="43"/>
      <c r="R11" s="43"/>
      <c r="S11" s="43"/>
      <c r="T11" s="43"/>
      <c r="U11" s="43"/>
      <c r="V11" s="39"/>
      <c r="W11" s="38"/>
      <c r="X11" s="37" t="s">
        <v>61</v>
      </c>
      <c r="Y11" s="37" t="s">
        <v>62</v>
      </c>
      <c r="Z11" s="37" t="s">
        <v>62</v>
      </c>
      <c r="AA11" s="37" t="s">
        <v>62</v>
      </c>
      <c r="AB11" s="37" t="s">
        <v>62</v>
      </c>
      <c r="AC11" s="38" t="s">
        <v>62</v>
      </c>
      <c r="AD11" s="38" t="s">
        <v>62</v>
      </c>
      <c r="AE11" s="41" t="s">
        <v>515</v>
      </c>
      <c r="AF11" s="41"/>
      <c r="AG11" s="41"/>
      <c r="AH11" s="303"/>
      <c r="AI11" s="35"/>
      <c r="AJ11" s="26" t="str">
        <f>Tabela13[[#This Row],[FUNKCJONARIUSZ]]</f>
        <v>F-sz 010</v>
      </c>
      <c r="AK11" s="27">
        <f t="shared" si="0"/>
        <v>68.5</v>
      </c>
      <c r="AL11" s="28">
        <f t="shared" si="1"/>
        <v>0</v>
      </c>
      <c r="AM11">
        <f t="shared" si="2"/>
        <v>168</v>
      </c>
      <c r="AN11" s="29">
        <f t="shared" si="3"/>
        <v>0</v>
      </c>
      <c r="AO11" s="1">
        <f t="shared" si="4"/>
        <v>0</v>
      </c>
      <c r="AP11" s="1">
        <f t="shared" si="5"/>
        <v>0</v>
      </c>
      <c r="AQ11" s="36" t="s">
        <v>88</v>
      </c>
      <c r="AR11" s="1" t="s">
        <v>89</v>
      </c>
      <c r="AS11" s="1">
        <v>8</v>
      </c>
    </row>
    <row r="12" spans="1:45" ht="16.3" thickBot="1">
      <c r="A12" s="1" t="s">
        <v>90</v>
      </c>
      <c r="B12" s="1" t="s">
        <v>64</v>
      </c>
      <c r="C12" s="198" t="str">
        <f>Tabela13[[#This Row],[FUNKCJONARIUSZ]]</f>
        <v>F-sz 011</v>
      </c>
      <c r="D12" s="20">
        <f>Zasoby!C12</f>
        <v>122</v>
      </c>
      <c r="E12" s="302"/>
      <c r="F12" s="32"/>
      <c r="G12" s="32"/>
      <c r="H12" s="33"/>
      <c r="I12" s="33"/>
      <c r="J12" s="41"/>
      <c r="K12" s="41"/>
      <c r="L12" s="570"/>
      <c r="M12" s="570"/>
      <c r="N12" s="570"/>
      <c r="O12" s="42"/>
      <c r="P12" s="42"/>
      <c r="Q12" s="41"/>
      <c r="R12" s="41"/>
      <c r="S12" s="41"/>
      <c r="T12" s="41"/>
      <c r="U12" s="41"/>
      <c r="V12" s="33"/>
      <c r="W12" s="38"/>
      <c r="X12" s="37"/>
      <c r="Y12" s="37"/>
      <c r="Z12" s="37"/>
      <c r="AA12" s="37"/>
      <c r="AB12" s="37"/>
      <c r="AC12" s="38"/>
      <c r="AD12" s="38"/>
      <c r="AE12" s="41"/>
      <c r="AF12" s="41"/>
      <c r="AG12" s="41"/>
      <c r="AH12" s="303"/>
      <c r="AI12" s="35"/>
      <c r="AJ12" s="26" t="str">
        <f>Tabela13[[#This Row],[FUNKCJONARIUSZ]]</f>
        <v>F-sz 011</v>
      </c>
      <c r="AK12" s="27">
        <f t="shared" si="0"/>
        <v>-62</v>
      </c>
      <c r="AL12" s="28">
        <f t="shared" si="1"/>
        <v>0</v>
      </c>
      <c r="AM12">
        <f t="shared" si="2"/>
        <v>0</v>
      </c>
      <c r="AN12" s="29">
        <f t="shared" si="3"/>
        <v>0</v>
      </c>
      <c r="AO12" s="1">
        <f t="shared" si="4"/>
        <v>0</v>
      </c>
      <c r="AP12" s="1">
        <f t="shared" si="5"/>
        <v>0</v>
      </c>
      <c r="AQ12" s="36" t="s">
        <v>92</v>
      </c>
      <c r="AR12" s="1" t="s">
        <v>79</v>
      </c>
      <c r="AS12" s="1">
        <v>12</v>
      </c>
    </row>
    <row r="13" spans="1:45" ht="16.3" thickBot="1">
      <c r="A13" s="1" t="s">
        <v>58</v>
      </c>
      <c r="B13" s="1" t="s">
        <v>93</v>
      </c>
      <c r="C13" s="198" t="str">
        <f>Tabela13[[#This Row],[FUNKCJONARIUSZ]]</f>
        <v>F-sz 012</v>
      </c>
      <c r="D13" s="20">
        <f>Zasoby!C13</f>
        <v>71</v>
      </c>
      <c r="E13" s="204"/>
      <c r="F13" s="32"/>
      <c r="G13" s="32"/>
      <c r="H13" s="33"/>
      <c r="I13" s="33"/>
      <c r="J13" s="32"/>
      <c r="K13" s="32"/>
      <c r="L13" s="32"/>
      <c r="M13" s="32"/>
      <c r="N13" s="32"/>
      <c r="O13" s="33"/>
      <c r="P13" s="33"/>
      <c r="Q13" s="32"/>
      <c r="R13" s="32"/>
      <c r="S13" s="32"/>
      <c r="T13" s="32"/>
      <c r="U13" s="32"/>
      <c r="V13" s="33"/>
      <c r="W13" s="33"/>
      <c r="X13" s="32" t="s">
        <v>61</v>
      </c>
      <c r="Y13" s="32" t="s">
        <v>62</v>
      </c>
      <c r="Z13" s="32" t="s">
        <v>62</v>
      </c>
      <c r="AA13" s="32" t="s">
        <v>62</v>
      </c>
      <c r="AB13" s="32" t="s">
        <v>62</v>
      </c>
      <c r="AC13" s="33" t="s">
        <v>62</v>
      </c>
      <c r="AD13" s="33" t="s">
        <v>62</v>
      </c>
      <c r="AE13" s="32" t="s">
        <v>515</v>
      </c>
      <c r="AF13" s="32"/>
      <c r="AG13" s="32"/>
      <c r="AH13" s="34"/>
      <c r="AI13" s="35"/>
      <c r="AJ13" s="26" t="str">
        <f>Tabela13[[#This Row],[FUNKCJONARIUSZ]]</f>
        <v>F-sz 012</v>
      </c>
      <c r="AK13" s="27">
        <f t="shared" si="0"/>
        <v>55</v>
      </c>
      <c r="AL13" s="28">
        <f t="shared" si="1"/>
        <v>0</v>
      </c>
      <c r="AM13">
        <f t="shared" si="2"/>
        <v>168</v>
      </c>
      <c r="AN13" s="29">
        <f t="shared" si="3"/>
        <v>0</v>
      </c>
      <c r="AO13" s="1">
        <f t="shared" si="4"/>
        <v>0</v>
      </c>
      <c r="AP13" s="1">
        <f t="shared" si="5"/>
        <v>0</v>
      </c>
      <c r="AQ13" s="36" t="s">
        <v>95</v>
      </c>
      <c r="AR13" s="1" t="s">
        <v>96</v>
      </c>
      <c r="AS13" s="1">
        <v>24</v>
      </c>
    </row>
    <row r="14" spans="1:45" ht="16.3" thickBot="1">
      <c r="A14" s="1" t="s">
        <v>90</v>
      </c>
      <c r="B14" s="1" t="s">
        <v>59</v>
      </c>
      <c r="C14" s="198" t="str">
        <f>Tabela13[[#This Row],[FUNKCJONARIUSZ]]</f>
        <v>F-sz 013</v>
      </c>
      <c r="D14" s="20">
        <f>Zasoby!C14</f>
        <v>-15</v>
      </c>
      <c r="E14" s="204"/>
      <c r="F14" s="32" t="s">
        <v>59</v>
      </c>
      <c r="G14" s="32"/>
      <c r="H14" s="33"/>
      <c r="I14" s="33"/>
      <c r="J14" s="37"/>
      <c r="K14" s="37"/>
      <c r="L14" s="37"/>
      <c r="M14" s="37"/>
      <c r="N14" s="37"/>
      <c r="O14" s="33"/>
      <c r="P14" s="33" t="s">
        <v>59</v>
      </c>
      <c r="Q14" s="32"/>
      <c r="R14" s="32"/>
      <c r="S14" s="32"/>
      <c r="T14" s="32"/>
      <c r="U14" s="32" t="s">
        <v>59</v>
      </c>
      <c r="V14" s="33"/>
      <c r="W14" s="33"/>
      <c r="X14" s="32" t="s">
        <v>59</v>
      </c>
      <c r="Y14" s="32"/>
      <c r="Z14" s="32"/>
      <c r="AA14" s="32"/>
      <c r="AB14" s="32"/>
      <c r="AC14" s="33" t="s">
        <v>113</v>
      </c>
      <c r="AD14" s="33"/>
      <c r="AE14" s="32"/>
      <c r="AF14" s="32"/>
      <c r="AG14" s="32"/>
      <c r="AH14" s="34" t="s">
        <v>59</v>
      </c>
      <c r="AI14" s="35"/>
      <c r="AJ14" s="26" t="str">
        <f>Tabela13[[#This Row],[FUNKCJONARIUSZ]]</f>
        <v>F-sz 013</v>
      </c>
      <c r="AK14" s="27">
        <f t="shared" si="0"/>
        <v>-55</v>
      </c>
      <c r="AL14" s="28">
        <f t="shared" si="1"/>
        <v>144</v>
      </c>
      <c r="AM14">
        <f t="shared" si="2"/>
        <v>0</v>
      </c>
      <c r="AN14" s="29">
        <f t="shared" si="3"/>
        <v>0</v>
      </c>
      <c r="AO14" s="1">
        <f t="shared" si="4"/>
        <v>0</v>
      </c>
      <c r="AP14" s="1">
        <f t="shared" si="5"/>
        <v>0</v>
      </c>
      <c r="AQ14" s="36" t="s">
        <v>98</v>
      </c>
      <c r="AR14" s="1" t="s">
        <v>99</v>
      </c>
      <c r="AS14" s="1">
        <v>24</v>
      </c>
    </row>
    <row r="15" spans="1:45" ht="16.3" thickBot="1">
      <c r="A15" s="1" t="s">
        <v>58</v>
      </c>
      <c r="B15" s="1" t="s">
        <v>93</v>
      </c>
      <c r="C15" s="198" t="str">
        <f>Tabela13[[#This Row],[FUNKCJONARIUSZ]]</f>
        <v>F-sz 014</v>
      </c>
      <c r="D15" s="20">
        <f>Zasoby!C15</f>
        <v>161.5</v>
      </c>
      <c r="E15" s="204"/>
      <c r="F15" s="32"/>
      <c r="G15" s="32"/>
      <c r="H15" s="33"/>
      <c r="I15" s="39"/>
      <c r="J15" s="43"/>
      <c r="K15" s="43"/>
      <c r="L15" s="43"/>
      <c r="M15" s="43"/>
      <c r="N15" s="43"/>
      <c r="O15" s="508"/>
      <c r="P15" s="33"/>
      <c r="Q15" s="32"/>
      <c r="R15" s="32"/>
      <c r="S15" s="32" t="s">
        <v>59</v>
      </c>
      <c r="T15" s="32"/>
      <c r="U15" s="32"/>
      <c r="V15" s="33"/>
      <c r="W15" s="33"/>
      <c r="X15" s="32"/>
      <c r="Y15" s="32"/>
      <c r="Z15" s="32"/>
      <c r="AA15" s="32" t="s">
        <v>59</v>
      </c>
      <c r="AB15" s="32"/>
      <c r="AC15" s="33"/>
      <c r="AD15" s="33"/>
      <c r="AE15" s="32"/>
      <c r="AF15" s="32"/>
      <c r="AG15" s="32" t="s">
        <v>59</v>
      </c>
      <c r="AH15" s="34"/>
      <c r="AI15" s="35"/>
      <c r="AJ15" s="26" t="str">
        <f>Tabela13[[#This Row],[FUNKCJONARIUSZ]]</f>
        <v>F-sz 014</v>
      </c>
      <c r="AK15" s="27">
        <f t="shared" si="0"/>
        <v>49.5</v>
      </c>
      <c r="AL15" s="28">
        <f t="shared" si="1"/>
        <v>72</v>
      </c>
      <c r="AM15">
        <f t="shared" si="2"/>
        <v>0</v>
      </c>
      <c r="AN15" s="29">
        <f t="shared" si="3"/>
        <v>0</v>
      </c>
      <c r="AO15" s="1">
        <f t="shared" si="4"/>
        <v>0</v>
      </c>
      <c r="AP15" s="1">
        <f t="shared" si="5"/>
        <v>0</v>
      </c>
      <c r="AQ15" s="32" t="s">
        <v>101</v>
      </c>
      <c r="AR15" s="1" t="s">
        <v>102</v>
      </c>
      <c r="AS15" s="1" t="s">
        <v>103</v>
      </c>
    </row>
    <row r="16" spans="1:45" ht="16.3" thickBot="1">
      <c r="A16" s="1" t="s">
        <v>90</v>
      </c>
      <c r="B16" s="1" t="s">
        <v>64</v>
      </c>
      <c r="C16" s="198" t="str">
        <f>Tabela13[[#This Row],[FUNKCJONARIUSZ]]</f>
        <v>F-sz 015</v>
      </c>
      <c r="D16" s="20">
        <f>Zasoby!C16</f>
        <v>85</v>
      </c>
      <c r="E16" s="204"/>
      <c r="F16" s="32"/>
      <c r="G16" s="32"/>
      <c r="H16" s="33" t="s">
        <v>59</v>
      </c>
      <c r="I16" s="33"/>
      <c r="J16" s="41"/>
      <c r="K16" s="41" t="s">
        <v>59</v>
      </c>
      <c r="L16" s="41"/>
      <c r="M16" s="41"/>
      <c r="N16" s="41" t="s">
        <v>59</v>
      </c>
      <c r="O16" s="33"/>
      <c r="P16" s="33"/>
      <c r="Q16" s="32"/>
      <c r="R16" s="32"/>
      <c r="S16" s="32"/>
      <c r="T16" s="32"/>
      <c r="U16" s="32"/>
      <c r="V16" s="33"/>
      <c r="W16" s="33"/>
      <c r="X16" s="32"/>
      <c r="Y16" s="32" t="s">
        <v>113</v>
      </c>
      <c r="Z16" s="32"/>
      <c r="AA16" s="32"/>
      <c r="AB16" s="32"/>
      <c r="AC16" s="33"/>
      <c r="AD16" s="33"/>
      <c r="AE16" s="32"/>
      <c r="AF16" s="32"/>
      <c r="AG16" s="32"/>
      <c r="AH16" s="34"/>
      <c r="AI16" s="35"/>
      <c r="AJ16" s="26" t="str">
        <f>Tabela13[[#This Row],[FUNKCJONARIUSZ]]</f>
        <v>F-sz 015</v>
      </c>
      <c r="AK16" s="27">
        <f t="shared" si="0"/>
        <v>-3</v>
      </c>
      <c r="AL16" s="28">
        <f t="shared" si="1"/>
        <v>96</v>
      </c>
      <c r="AM16">
        <f t="shared" si="2"/>
        <v>0</v>
      </c>
      <c r="AN16" s="29">
        <f t="shared" si="3"/>
        <v>0</v>
      </c>
      <c r="AO16" s="1">
        <f t="shared" si="4"/>
        <v>0</v>
      </c>
      <c r="AP16" s="1">
        <f t="shared" si="5"/>
        <v>0</v>
      </c>
    </row>
    <row r="17" spans="1:42" ht="16.3" thickBot="1">
      <c r="A17" s="1" t="s">
        <v>105</v>
      </c>
      <c r="B17" s="1" t="s">
        <v>64</v>
      </c>
      <c r="C17" s="198" t="str">
        <f>Tabela13[[#This Row],[FUNKCJONARIUSZ]]</f>
        <v>F-sz 016</v>
      </c>
      <c r="D17" s="20">
        <f>Zasoby!C17</f>
        <v>18</v>
      </c>
      <c r="E17" s="204"/>
      <c r="F17" s="32"/>
      <c r="G17" s="32"/>
      <c r="H17" s="33"/>
      <c r="I17" s="33"/>
      <c r="J17" s="32"/>
      <c r="K17" s="32"/>
      <c r="L17" s="32"/>
      <c r="M17" s="32"/>
      <c r="N17" s="32"/>
      <c r="O17" s="33"/>
      <c r="P17" s="38"/>
      <c r="Q17" s="37"/>
      <c r="R17" s="37"/>
      <c r="S17" s="37"/>
      <c r="T17" s="37"/>
      <c r="U17" s="37"/>
      <c r="V17" s="38"/>
      <c r="W17" s="38"/>
      <c r="X17" s="37"/>
      <c r="Y17" s="37"/>
      <c r="Z17" s="37"/>
      <c r="AA17" s="37"/>
      <c r="AB17" s="37"/>
      <c r="AC17" s="38"/>
      <c r="AD17" s="38"/>
      <c r="AE17" s="37" t="s">
        <v>61</v>
      </c>
      <c r="AF17" s="32" t="s">
        <v>62</v>
      </c>
      <c r="AG17" s="32" t="s">
        <v>62</v>
      </c>
      <c r="AH17" s="34" t="s">
        <v>62</v>
      </c>
      <c r="AI17" s="35" t="s">
        <v>62</v>
      </c>
      <c r="AJ17" s="26" t="str">
        <f>Tabela13[[#This Row],[FUNKCJONARIUSZ]]</f>
        <v>F-sz 016</v>
      </c>
      <c r="AK17" s="27">
        <f t="shared" si="0"/>
        <v>-58</v>
      </c>
      <c r="AL17" s="28">
        <f t="shared" si="1"/>
        <v>0</v>
      </c>
      <c r="AM17">
        <f t="shared" si="2"/>
        <v>108</v>
      </c>
      <c r="AN17" s="29">
        <f t="shared" si="3"/>
        <v>0</v>
      </c>
      <c r="AO17" s="1">
        <f t="shared" si="4"/>
        <v>0</v>
      </c>
      <c r="AP17" s="1">
        <f t="shared" si="5"/>
        <v>0</v>
      </c>
    </row>
    <row r="18" spans="1:42" ht="16.3" thickBot="1">
      <c r="A18" s="1" t="s">
        <v>67</v>
      </c>
      <c r="B18" s="1" t="s">
        <v>73</v>
      </c>
      <c r="C18" s="198" t="str">
        <f>Tabela13[[#This Row],[FUNKCJONARIUSZ]]</f>
        <v>F-sz 017</v>
      </c>
      <c r="D18" s="20">
        <f>Zasoby!C18</f>
        <v>-51</v>
      </c>
      <c r="E18" s="204" t="s">
        <v>62</v>
      </c>
      <c r="F18" s="32" t="s">
        <v>62</v>
      </c>
      <c r="G18" s="32" t="s">
        <v>62</v>
      </c>
      <c r="H18" s="33" t="s">
        <v>62</v>
      </c>
      <c r="I18" s="33" t="s">
        <v>62</v>
      </c>
      <c r="J18" s="32" t="s">
        <v>515</v>
      </c>
      <c r="K18" s="32"/>
      <c r="L18" s="32"/>
      <c r="M18" s="32"/>
      <c r="N18" s="32"/>
      <c r="O18" s="39"/>
      <c r="P18" s="580"/>
      <c r="Q18" s="37"/>
      <c r="R18" s="37"/>
      <c r="S18" s="37"/>
      <c r="T18" s="37"/>
      <c r="U18" s="37"/>
      <c r="V18" s="38"/>
      <c r="W18" s="38"/>
      <c r="X18" s="37"/>
      <c r="Y18" s="37"/>
      <c r="Z18" s="32"/>
      <c r="AA18" s="32"/>
      <c r="AB18" s="32"/>
      <c r="AC18" s="33"/>
      <c r="AD18" s="33"/>
      <c r="AE18" s="37"/>
      <c r="AF18" s="48"/>
      <c r="AG18" s="32"/>
      <c r="AH18" s="34"/>
      <c r="AI18" s="35"/>
      <c r="AJ18" s="26" t="str">
        <f>Tabela13[[#This Row],[FUNKCJONARIUSZ]]</f>
        <v>F-sz 017</v>
      </c>
      <c r="AK18" s="27">
        <f t="shared" si="0"/>
        <v>-103</v>
      </c>
      <c r="AL18" s="28">
        <f t="shared" si="1"/>
        <v>0</v>
      </c>
      <c r="AM18">
        <f t="shared" si="2"/>
        <v>132</v>
      </c>
      <c r="AN18" s="29">
        <f t="shared" si="3"/>
        <v>0</v>
      </c>
      <c r="AO18" s="1">
        <f t="shared" si="4"/>
        <v>0</v>
      </c>
      <c r="AP18" s="1">
        <f t="shared" si="5"/>
        <v>0</v>
      </c>
    </row>
    <row r="19" spans="1:42" ht="16.3" thickBot="1">
      <c r="A19" s="1" t="s">
        <v>90</v>
      </c>
      <c r="B19" s="1" t="s">
        <v>59</v>
      </c>
      <c r="C19" s="198" t="str">
        <f>Tabela13[[#This Row],[FUNKCJONARIUSZ]]</f>
        <v>F-sz 018</v>
      </c>
      <c r="D19" s="20">
        <f>Zasoby!C19</f>
        <v>-86</v>
      </c>
      <c r="E19" s="204"/>
      <c r="F19" s="32"/>
      <c r="G19" s="32"/>
      <c r="H19" s="33"/>
      <c r="I19" s="33" t="s">
        <v>59</v>
      </c>
      <c r="J19" s="32"/>
      <c r="K19" s="32"/>
      <c r="L19" s="32"/>
      <c r="M19" s="32"/>
      <c r="N19" s="32"/>
      <c r="O19" s="39"/>
      <c r="P19" s="580"/>
      <c r="Q19" s="37" t="s">
        <v>61</v>
      </c>
      <c r="R19" s="37" t="s">
        <v>62</v>
      </c>
      <c r="S19" s="37" t="s">
        <v>62</v>
      </c>
      <c r="T19" s="37" t="s">
        <v>62</v>
      </c>
      <c r="U19" s="37" t="s">
        <v>62</v>
      </c>
      <c r="V19" s="38" t="s">
        <v>62</v>
      </c>
      <c r="W19" s="38" t="s">
        <v>62</v>
      </c>
      <c r="X19" s="37" t="s">
        <v>515</v>
      </c>
      <c r="Y19" s="37"/>
      <c r="Z19" s="32"/>
      <c r="AA19" s="32"/>
      <c r="AB19" s="32"/>
      <c r="AC19" s="33"/>
      <c r="AD19" s="33"/>
      <c r="AE19" s="37"/>
      <c r="AF19" s="32"/>
      <c r="AG19" s="32"/>
      <c r="AH19" s="34"/>
      <c r="AI19" s="35"/>
      <c r="AJ19" s="26" t="str">
        <f>Tabela13[[#This Row],[FUNKCJONARIUSZ]]</f>
        <v>F-sz 018</v>
      </c>
      <c r="AK19" s="27">
        <f t="shared" si="0"/>
        <v>-78</v>
      </c>
      <c r="AL19" s="28">
        <f t="shared" si="1"/>
        <v>24</v>
      </c>
      <c r="AM19">
        <f t="shared" si="2"/>
        <v>168</v>
      </c>
      <c r="AN19" s="29">
        <f t="shared" si="3"/>
        <v>0</v>
      </c>
      <c r="AO19" s="1">
        <f t="shared" si="4"/>
        <v>0</v>
      </c>
      <c r="AP19" s="1">
        <f t="shared" si="5"/>
        <v>0</v>
      </c>
    </row>
    <row r="20" spans="1:42" ht="16.3" thickBot="1">
      <c r="A20" s="1" t="s">
        <v>58</v>
      </c>
      <c r="B20" s="1" t="s">
        <v>59</v>
      </c>
      <c r="C20" s="198" t="str">
        <f>Tabela13[[#This Row],[FUNKCJONARIUSZ]]</f>
        <v>F-sz 019</v>
      </c>
      <c r="D20" s="20">
        <f>Zasoby!C20</f>
        <v>-99</v>
      </c>
      <c r="E20" s="299"/>
      <c r="F20" s="32"/>
      <c r="G20" s="32" t="s">
        <v>113</v>
      </c>
      <c r="H20" s="33"/>
      <c r="I20" s="33"/>
      <c r="J20" s="37" t="s">
        <v>61</v>
      </c>
      <c r="K20" s="37" t="s">
        <v>62</v>
      </c>
      <c r="L20" s="37" t="s">
        <v>62</v>
      </c>
      <c r="M20" s="37" t="s">
        <v>62</v>
      </c>
      <c r="N20" s="37" t="s">
        <v>62</v>
      </c>
      <c r="O20" s="39" t="s">
        <v>62</v>
      </c>
      <c r="P20" s="580" t="s">
        <v>62</v>
      </c>
      <c r="Q20" s="37" t="s">
        <v>515</v>
      </c>
      <c r="R20" s="37"/>
      <c r="S20" s="37"/>
      <c r="T20" s="37"/>
      <c r="U20" s="37"/>
      <c r="V20" s="33"/>
      <c r="W20" s="33"/>
      <c r="X20" s="37"/>
      <c r="Y20" s="37"/>
      <c r="Z20" s="32"/>
      <c r="AA20" s="32"/>
      <c r="AB20" s="32" t="s">
        <v>59</v>
      </c>
      <c r="AC20" s="33"/>
      <c r="AD20" s="33"/>
      <c r="AE20" s="37"/>
      <c r="AF20" s="32"/>
      <c r="AG20" s="32"/>
      <c r="AH20" s="300"/>
      <c r="AI20" s="35" t="s">
        <v>59</v>
      </c>
      <c r="AJ20" s="26" t="str">
        <f>Tabela13[[#This Row],[FUNKCJONARIUSZ]]</f>
        <v>F-sz 019</v>
      </c>
      <c r="AK20" s="27">
        <f t="shared" si="0"/>
        <v>-43</v>
      </c>
      <c r="AL20" s="28">
        <f t="shared" si="1"/>
        <v>72</v>
      </c>
      <c r="AM20">
        <f t="shared" si="2"/>
        <v>168</v>
      </c>
      <c r="AN20" s="29">
        <f t="shared" si="3"/>
        <v>0</v>
      </c>
      <c r="AO20" s="1">
        <f t="shared" si="4"/>
        <v>0</v>
      </c>
      <c r="AP20" s="1">
        <f t="shared" si="5"/>
        <v>0</v>
      </c>
    </row>
    <row r="21" spans="1:42" ht="16.3" thickBot="1">
      <c r="A21" s="1" t="s">
        <v>67</v>
      </c>
      <c r="B21" s="1" t="s">
        <v>93</v>
      </c>
      <c r="C21" s="198" t="str">
        <f>Tabela13[[#This Row],[FUNKCJONARIUSZ]]</f>
        <v>F-sz 020</v>
      </c>
      <c r="D21" s="20">
        <f>Zasoby!C21</f>
        <v>118</v>
      </c>
      <c r="E21" s="571"/>
      <c r="F21" s="32"/>
      <c r="G21" s="32"/>
      <c r="H21" s="33"/>
      <c r="I21" s="39"/>
      <c r="J21" s="37" t="s">
        <v>61</v>
      </c>
      <c r="K21" s="37" t="s">
        <v>62</v>
      </c>
      <c r="L21" s="37" t="s">
        <v>62</v>
      </c>
      <c r="M21" s="37" t="s">
        <v>62</v>
      </c>
      <c r="N21" s="37" t="s">
        <v>62</v>
      </c>
      <c r="O21" s="39" t="s">
        <v>62</v>
      </c>
      <c r="P21" s="580" t="s">
        <v>62</v>
      </c>
      <c r="Q21" s="37" t="s">
        <v>515</v>
      </c>
      <c r="R21" s="32"/>
      <c r="S21" s="32"/>
      <c r="T21" s="43"/>
      <c r="U21" s="43"/>
      <c r="V21" s="42"/>
      <c r="W21" s="33"/>
      <c r="X21" s="43"/>
      <c r="Y21" s="32"/>
      <c r="Z21" s="48"/>
      <c r="AA21" s="32"/>
      <c r="AB21" s="32"/>
      <c r="AC21" s="33"/>
      <c r="AD21" s="39"/>
      <c r="AE21" s="32"/>
      <c r="AF21" s="48"/>
      <c r="AG21" s="136"/>
      <c r="AH21" s="32"/>
      <c r="AI21" s="35"/>
      <c r="AJ21" s="26" t="str">
        <f>Tabela13[[#This Row],[FUNKCJONARIUSZ]]</f>
        <v>F-sz 020</v>
      </c>
      <c r="AK21" s="27">
        <f t="shared" si="0"/>
        <v>102</v>
      </c>
      <c r="AL21" s="28">
        <f t="shared" si="1"/>
        <v>0</v>
      </c>
      <c r="AM21">
        <f t="shared" si="2"/>
        <v>168</v>
      </c>
      <c r="AN21" s="29">
        <f t="shared" si="3"/>
        <v>0</v>
      </c>
      <c r="AO21" s="1">
        <f t="shared" si="4"/>
        <v>0</v>
      </c>
      <c r="AP21" s="1">
        <f t="shared" si="5"/>
        <v>0</v>
      </c>
    </row>
    <row r="22" spans="1:42" ht="16.3" thickBot="1">
      <c r="A22" s="1" t="s">
        <v>58</v>
      </c>
      <c r="B22" s="1" t="s">
        <v>59</v>
      </c>
      <c r="C22" s="198" t="str">
        <f>Tabela13[[#This Row],[FUNKCJONARIUSZ]]</f>
        <v>F-sz 021</v>
      </c>
      <c r="D22" s="20">
        <f>Zasoby!C22</f>
        <v>5.5</v>
      </c>
      <c r="E22" s="302"/>
      <c r="F22" s="32"/>
      <c r="G22" s="32"/>
      <c r="H22" s="33"/>
      <c r="I22" s="33"/>
      <c r="J22" s="41"/>
      <c r="K22" s="41"/>
      <c r="L22" s="41"/>
      <c r="M22" s="41"/>
      <c r="N22" s="41"/>
      <c r="O22" s="42"/>
      <c r="P22" s="42"/>
      <c r="Q22" s="41"/>
      <c r="R22" s="41"/>
      <c r="S22" s="41"/>
      <c r="T22" s="41"/>
      <c r="U22" s="41"/>
      <c r="V22" s="42"/>
      <c r="W22" s="42"/>
      <c r="X22" s="41" t="s">
        <v>61</v>
      </c>
      <c r="Y22" s="41" t="s">
        <v>62</v>
      </c>
      <c r="Z22" s="32" t="s">
        <v>62</v>
      </c>
      <c r="AA22" s="32" t="s">
        <v>62</v>
      </c>
      <c r="AB22" s="32" t="s">
        <v>62</v>
      </c>
      <c r="AC22" s="33" t="s">
        <v>62</v>
      </c>
      <c r="AD22" s="33" t="s">
        <v>62</v>
      </c>
      <c r="AE22" s="32" t="s">
        <v>515</v>
      </c>
      <c r="AF22" s="32"/>
      <c r="AG22" s="32"/>
      <c r="AH22" s="303"/>
      <c r="AI22" s="35"/>
      <c r="AJ22" s="26" t="str">
        <f>Tabela13[[#This Row],[FUNKCJONARIUSZ]]</f>
        <v>F-sz 021</v>
      </c>
      <c r="AK22" s="27">
        <f t="shared" si="0"/>
        <v>-10.5</v>
      </c>
      <c r="AL22" s="28">
        <f t="shared" si="1"/>
        <v>0</v>
      </c>
      <c r="AM22">
        <f t="shared" si="2"/>
        <v>168</v>
      </c>
      <c r="AN22" s="29">
        <f t="shared" si="3"/>
        <v>0</v>
      </c>
      <c r="AO22" s="1">
        <f t="shared" si="4"/>
        <v>0</v>
      </c>
      <c r="AP22" s="1">
        <f t="shared" si="5"/>
        <v>0</v>
      </c>
    </row>
    <row r="23" spans="1:42" ht="16.3" thickBot="1">
      <c r="A23" s="1" t="s">
        <v>63</v>
      </c>
      <c r="B23" s="1" t="s">
        <v>64</v>
      </c>
      <c r="C23" s="198" t="str">
        <f>Tabela13[[#This Row],[FUNKCJONARIUSZ]]</f>
        <v>F-sz 022</v>
      </c>
      <c r="D23" s="20">
        <f>Zasoby!C23</f>
        <v>-22</v>
      </c>
      <c r="E23" s="571"/>
      <c r="F23" s="32"/>
      <c r="G23" s="32"/>
      <c r="H23" s="33"/>
      <c r="I23" s="33"/>
      <c r="J23" s="43"/>
      <c r="K23" s="43"/>
      <c r="L23" s="43"/>
      <c r="M23" s="43"/>
      <c r="N23" s="43"/>
      <c r="O23" s="539"/>
      <c r="P23" s="33"/>
      <c r="Q23" s="32"/>
      <c r="R23" s="32"/>
      <c r="S23" s="32"/>
      <c r="T23" s="43"/>
      <c r="U23" s="43"/>
      <c r="V23" s="33"/>
      <c r="W23" s="33"/>
      <c r="X23" s="32" t="s">
        <v>61</v>
      </c>
      <c r="Y23" s="32" t="s">
        <v>62</v>
      </c>
      <c r="Z23" s="32" t="s">
        <v>62</v>
      </c>
      <c r="AA23" s="32" t="s">
        <v>62</v>
      </c>
      <c r="AB23" s="32" t="s">
        <v>62</v>
      </c>
      <c r="AC23" s="33" t="s">
        <v>62</v>
      </c>
      <c r="AD23" s="33" t="s">
        <v>62</v>
      </c>
      <c r="AE23" s="32" t="s">
        <v>515</v>
      </c>
      <c r="AF23" s="32"/>
      <c r="AG23" s="32"/>
      <c r="AH23" s="34"/>
      <c r="AI23" s="35"/>
      <c r="AJ23" s="26" t="str">
        <f>Tabela13[[#This Row],[FUNKCJONARIUSZ]]</f>
        <v>F-sz 022</v>
      </c>
      <c r="AK23" s="27">
        <f t="shared" si="0"/>
        <v>-38</v>
      </c>
      <c r="AL23" s="28">
        <f t="shared" si="1"/>
        <v>0</v>
      </c>
      <c r="AM23">
        <f t="shared" si="2"/>
        <v>168</v>
      </c>
      <c r="AN23" s="29">
        <f t="shared" si="3"/>
        <v>0</v>
      </c>
      <c r="AO23" s="1">
        <f t="shared" si="4"/>
        <v>0</v>
      </c>
      <c r="AP23" s="1">
        <f t="shared" si="5"/>
        <v>0</v>
      </c>
    </row>
    <row r="24" spans="1:42" ht="16.3" thickBot="1">
      <c r="A24" s="1" t="s">
        <v>67</v>
      </c>
      <c r="B24" s="1" t="s">
        <v>93</v>
      </c>
      <c r="C24" s="198" t="str">
        <f>Tabela13[[#This Row],[FUNKCJONARIUSZ]]</f>
        <v>F-sz 023</v>
      </c>
      <c r="D24" s="20">
        <f>Zasoby!C24</f>
        <v>44</v>
      </c>
      <c r="E24" s="204" t="s">
        <v>62</v>
      </c>
      <c r="F24" s="32" t="s">
        <v>62</v>
      </c>
      <c r="G24" s="32" t="s">
        <v>62</v>
      </c>
      <c r="H24" s="33" t="s">
        <v>62</v>
      </c>
      <c r="I24" s="33" t="s">
        <v>62</v>
      </c>
      <c r="J24" s="32" t="s">
        <v>515</v>
      </c>
      <c r="K24" s="32"/>
      <c r="L24" s="32"/>
      <c r="M24" s="32"/>
      <c r="N24" s="32"/>
      <c r="O24" s="33"/>
      <c r="P24" s="33"/>
      <c r="Q24" s="32"/>
      <c r="R24" s="32"/>
      <c r="S24" s="32"/>
      <c r="T24" s="32"/>
      <c r="U24" s="32"/>
      <c r="V24" s="33"/>
      <c r="W24" s="33"/>
      <c r="X24" s="32"/>
      <c r="Y24" s="32"/>
      <c r="Z24" s="32"/>
      <c r="AA24" s="32"/>
      <c r="AB24" s="32"/>
      <c r="AC24" s="33"/>
      <c r="AD24" s="33"/>
      <c r="AE24" s="32"/>
      <c r="AF24" s="32"/>
      <c r="AG24" s="32"/>
      <c r="AH24" s="34" t="s">
        <v>75</v>
      </c>
      <c r="AI24" s="35" t="s">
        <v>75</v>
      </c>
      <c r="AJ24" s="26" t="str">
        <f>Tabela13[[#This Row],[FUNKCJONARIUSZ]]</f>
        <v>F-sz 023</v>
      </c>
      <c r="AK24" s="27">
        <f t="shared" si="0"/>
        <v>8</v>
      </c>
      <c r="AL24" s="28">
        <f t="shared" si="1"/>
        <v>0</v>
      </c>
      <c r="AM24">
        <f t="shared" si="2"/>
        <v>132</v>
      </c>
      <c r="AN24" s="29">
        <f t="shared" si="3"/>
        <v>16</v>
      </c>
      <c r="AO24" s="1">
        <f t="shared" si="4"/>
        <v>0</v>
      </c>
      <c r="AP24" s="1">
        <f t="shared" si="5"/>
        <v>0</v>
      </c>
    </row>
    <row r="25" spans="1:42" ht="16.3" thickBot="1">
      <c r="A25" s="1" t="s">
        <v>63</v>
      </c>
      <c r="B25" s="1" t="s">
        <v>59</v>
      </c>
      <c r="C25" s="198" t="str">
        <f>Tabela13[[#This Row],[FUNKCJONARIUSZ]]</f>
        <v>F-sz 024</v>
      </c>
      <c r="D25" s="20">
        <f>Zasoby!C25</f>
        <v>38</v>
      </c>
      <c r="E25" s="204"/>
      <c r="F25" s="32"/>
      <c r="G25" s="32"/>
      <c r="H25" s="33"/>
      <c r="I25" s="33"/>
      <c r="J25" s="32"/>
      <c r="K25" s="32"/>
      <c r="L25" s="32"/>
      <c r="M25" s="32"/>
      <c r="N25" s="32"/>
      <c r="O25" s="33"/>
      <c r="P25" s="33"/>
      <c r="Q25" s="32" t="s">
        <v>59</v>
      </c>
      <c r="R25" s="32"/>
      <c r="S25" s="32"/>
      <c r="T25" s="32" t="s">
        <v>59</v>
      </c>
      <c r="U25" s="32"/>
      <c r="V25" s="33"/>
      <c r="W25" s="33"/>
      <c r="X25" s="32"/>
      <c r="Y25" s="32"/>
      <c r="Z25" s="32" t="s">
        <v>59</v>
      </c>
      <c r="AA25" s="32"/>
      <c r="AB25" s="32"/>
      <c r="AC25" s="33"/>
      <c r="AD25" s="33" t="s">
        <v>59</v>
      </c>
      <c r="AE25" s="32"/>
      <c r="AF25" s="32"/>
      <c r="AG25" s="32"/>
      <c r="AH25" s="34"/>
      <c r="AI25" s="35" t="s">
        <v>66</v>
      </c>
      <c r="AJ25" s="26" t="str">
        <f>Tabela13[[#This Row],[FUNKCJONARIUSZ]]</f>
        <v>F-sz 024</v>
      </c>
      <c r="AK25" s="27">
        <f t="shared" si="0"/>
        <v>-50</v>
      </c>
      <c r="AL25" s="28">
        <f t="shared" si="1"/>
        <v>96</v>
      </c>
      <c r="AM25">
        <f t="shared" si="2"/>
        <v>0</v>
      </c>
      <c r="AN25" s="29">
        <f t="shared" si="3"/>
        <v>0</v>
      </c>
      <c r="AO25" s="1">
        <f t="shared" si="4"/>
        <v>0</v>
      </c>
      <c r="AP25" s="1">
        <f t="shared" si="5"/>
        <v>0</v>
      </c>
    </row>
    <row r="26" spans="1:42" ht="16.3" thickBot="1">
      <c r="A26" s="1" t="s">
        <v>63</v>
      </c>
      <c r="B26" s="1" t="s">
        <v>73</v>
      </c>
      <c r="C26" s="198" t="str">
        <f>Tabela13[[#This Row],[FUNKCJONARIUSZ]]</f>
        <v>F-sz 025</v>
      </c>
      <c r="D26" s="20">
        <f>Zasoby!C26</f>
        <v>85.5</v>
      </c>
      <c r="E26" s="204"/>
      <c r="F26" s="32"/>
      <c r="G26" s="32"/>
      <c r="H26" s="33"/>
      <c r="I26" s="33"/>
      <c r="J26" s="32"/>
      <c r="K26" s="32"/>
      <c r="L26" s="32"/>
      <c r="M26" s="32"/>
      <c r="N26" s="32"/>
      <c r="O26" s="33"/>
      <c r="P26" s="33"/>
      <c r="Q26" s="32"/>
      <c r="R26" s="32"/>
      <c r="S26" s="32"/>
      <c r="T26" s="32"/>
      <c r="U26" s="32"/>
      <c r="V26" s="33"/>
      <c r="W26" s="33"/>
      <c r="X26" s="32"/>
      <c r="Y26" s="32"/>
      <c r="Z26" s="32"/>
      <c r="AA26" s="32"/>
      <c r="AB26" s="32"/>
      <c r="AC26" s="33"/>
      <c r="AD26" s="33"/>
      <c r="AE26" s="32"/>
      <c r="AF26" s="32"/>
      <c r="AG26" s="32"/>
      <c r="AH26" s="34"/>
      <c r="AI26" s="35" t="s">
        <v>66</v>
      </c>
      <c r="AJ26" s="26" t="str">
        <f>Tabela13[[#This Row],[FUNKCJONARIUSZ]]</f>
        <v>F-sz 025</v>
      </c>
      <c r="AK26" s="27">
        <f t="shared" si="0"/>
        <v>-98.5</v>
      </c>
      <c r="AL26" s="28">
        <f t="shared" si="1"/>
        <v>0</v>
      </c>
      <c r="AM26">
        <f t="shared" si="2"/>
        <v>0</v>
      </c>
      <c r="AN26" s="29">
        <f t="shared" si="3"/>
        <v>0</v>
      </c>
      <c r="AO26" s="1">
        <f t="shared" si="4"/>
        <v>0</v>
      </c>
      <c r="AP26" s="1">
        <f t="shared" si="5"/>
        <v>0</v>
      </c>
    </row>
    <row r="27" spans="1:42" ht="16.3" thickBot="1">
      <c r="A27" s="1" t="s">
        <v>58</v>
      </c>
      <c r="B27" s="1" t="s">
        <v>93</v>
      </c>
      <c r="C27" s="198" t="str">
        <f>Tabela13[[#This Row],[FUNKCJONARIUSZ]]</f>
        <v>F-sz 026</v>
      </c>
      <c r="D27" s="20">
        <f>Zasoby!C27</f>
        <v>-82</v>
      </c>
      <c r="E27" s="204" t="s">
        <v>75</v>
      </c>
      <c r="F27" s="32" t="s">
        <v>75</v>
      </c>
      <c r="G27" s="32" t="s">
        <v>75</v>
      </c>
      <c r="H27" s="33" t="s">
        <v>66</v>
      </c>
      <c r="I27" s="33" t="s">
        <v>66</v>
      </c>
      <c r="J27" s="32" t="s">
        <v>75</v>
      </c>
      <c r="K27" s="32" t="s">
        <v>75</v>
      </c>
      <c r="L27" s="32" t="s">
        <v>75</v>
      </c>
      <c r="M27" s="32" t="s">
        <v>75</v>
      </c>
      <c r="N27" s="32" t="s">
        <v>75</v>
      </c>
      <c r="O27" s="33" t="s">
        <v>66</v>
      </c>
      <c r="P27" s="33" t="s">
        <v>66</v>
      </c>
      <c r="Q27" s="32" t="s">
        <v>61</v>
      </c>
      <c r="R27" s="32" t="s">
        <v>62</v>
      </c>
      <c r="S27" s="32" t="s">
        <v>62</v>
      </c>
      <c r="T27" s="32" t="s">
        <v>62</v>
      </c>
      <c r="U27" s="32" t="s">
        <v>62</v>
      </c>
      <c r="V27" s="33" t="s">
        <v>62</v>
      </c>
      <c r="W27" s="33" t="s">
        <v>62</v>
      </c>
      <c r="X27" s="32" t="s">
        <v>515</v>
      </c>
      <c r="Y27" s="32"/>
      <c r="Z27" s="32"/>
      <c r="AA27" s="32"/>
      <c r="AB27" s="32"/>
      <c r="AC27" s="33"/>
      <c r="AD27" s="33"/>
      <c r="AE27" s="32"/>
      <c r="AF27" s="32"/>
      <c r="AG27" s="32"/>
      <c r="AH27" s="34"/>
      <c r="AI27" s="35"/>
      <c r="AJ27" s="26" t="str">
        <f>Tabela13[[#This Row],[FUNKCJONARIUSZ]]</f>
        <v>F-sz 026</v>
      </c>
      <c r="AK27" s="27">
        <f t="shared" si="0"/>
        <v>-34</v>
      </c>
      <c r="AL27" s="28">
        <f t="shared" si="1"/>
        <v>0</v>
      </c>
      <c r="AM27">
        <f t="shared" si="2"/>
        <v>168</v>
      </c>
      <c r="AN27" s="29">
        <f t="shared" si="3"/>
        <v>64</v>
      </c>
      <c r="AO27" s="1">
        <f t="shared" si="4"/>
        <v>0</v>
      </c>
      <c r="AP27" s="1">
        <f t="shared" si="5"/>
        <v>0</v>
      </c>
    </row>
    <row r="28" spans="1:42" ht="16.3" thickBot="1">
      <c r="A28" s="1" t="s">
        <v>105</v>
      </c>
      <c r="B28" s="1" t="s">
        <v>59</v>
      </c>
      <c r="C28" s="198" t="str">
        <f>Tabela13[[#This Row],[FUNKCJONARIUSZ]]</f>
        <v>F-sz 027</v>
      </c>
      <c r="D28" s="20">
        <f>Zasoby!C28</f>
        <v>-1</v>
      </c>
      <c r="E28" s="204" t="s">
        <v>59</v>
      </c>
      <c r="F28" s="32"/>
      <c r="G28" s="32"/>
      <c r="H28" s="33"/>
      <c r="I28" s="33"/>
      <c r="J28" s="32"/>
      <c r="K28" s="32"/>
      <c r="L28" s="32"/>
      <c r="M28" s="32"/>
      <c r="N28" s="32"/>
      <c r="O28" s="33"/>
      <c r="P28" s="33"/>
      <c r="Q28" s="32"/>
      <c r="R28" s="32"/>
      <c r="S28" s="32"/>
      <c r="T28" s="32"/>
      <c r="U28" s="32"/>
      <c r="V28" s="33"/>
      <c r="W28" s="33" t="s">
        <v>59</v>
      </c>
      <c r="X28" s="32"/>
      <c r="Y28" s="32"/>
      <c r="Z28" s="32"/>
      <c r="AA28" s="32"/>
      <c r="AB28" s="32"/>
      <c r="AC28" s="33"/>
      <c r="AD28" s="33"/>
      <c r="AE28" s="32" t="s">
        <v>61</v>
      </c>
      <c r="AF28" s="32" t="s">
        <v>62</v>
      </c>
      <c r="AG28" s="32" t="s">
        <v>62</v>
      </c>
      <c r="AH28" s="34" t="s">
        <v>62</v>
      </c>
      <c r="AI28" s="35" t="s">
        <v>62</v>
      </c>
      <c r="AJ28" s="26" t="str">
        <f>Tabela13[[#This Row],[FUNKCJONARIUSZ]]</f>
        <v>F-sz 027</v>
      </c>
      <c r="AK28" s="27">
        <f t="shared" si="0"/>
        <v>-29</v>
      </c>
      <c r="AL28" s="28">
        <f t="shared" si="1"/>
        <v>48</v>
      </c>
      <c r="AM28">
        <f t="shared" si="2"/>
        <v>108</v>
      </c>
      <c r="AN28" s="29">
        <f t="shared" si="3"/>
        <v>0</v>
      </c>
      <c r="AO28" s="1">
        <f t="shared" si="4"/>
        <v>0</v>
      </c>
      <c r="AP28" s="1">
        <f t="shared" si="5"/>
        <v>0</v>
      </c>
    </row>
    <row r="29" spans="1:42" ht="16.3" thickBot="1">
      <c r="A29" s="1" t="s">
        <v>58</v>
      </c>
      <c r="B29" s="1" t="s">
        <v>73</v>
      </c>
      <c r="C29" s="198" t="str">
        <f>Tabela13[[#This Row],[FUNKCJONARIUSZ]]</f>
        <v>F-sz 028</v>
      </c>
      <c r="D29" s="20">
        <f>Zasoby!C29</f>
        <v>42.5</v>
      </c>
      <c r="E29" s="96"/>
      <c r="F29" s="51"/>
      <c r="G29" s="51"/>
      <c r="H29" s="52"/>
      <c r="I29" s="52"/>
      <c r="J29" s="51" t="s">
        <v>61</v>
      </c>
      <c r="K29" s="51" t="s">
        <v>62</v>
      </c>
      <c r="L29" s="51" t="s">
        <v>62</v>
      </c>
      <c r="M29" s="51" t="s">
        <v>62</v>
      </c>
      <c r="N29" s="51" t="s">
        <v>62</v>
      </c>
      <c r="O29" s="52" t="s">
        <v>62</v>
      </c>
      <c r="P29" s="52" t="s">
        <v>62</v>
      </c>
      <c r="Q29" s="51" t="s">
        <v>515</v>
      </c>
      <c r="R29" s="51"/>
      <c r="S29" s="51"/>
      <c r="T29" s="51"/>
      <c r="U29" s="51"/>
      <c r="V29" s="52"/>
      <c r="W29" s="52"/>
      <c r="X29" s="51"/>
      <c r="Y29" s="51"/>
      <c r="Z29" s="51"/>
      <c r="AA29" s="51"/>
      <c r="AB29" s="51"/>
      <c r="AC29" s="52"/>
      <c r="AD29" s="52"/>
      <c r="AE29" s="51"/>
      <c r="AF29" s="51"/>
      <c r="AG29" s="51"/>
      <c r="AH29" s="53"/>
      <c r="AI29" s="54"/>
      <c r="AJ29" s="26" t="str">
        <f>Tabela13[[#This Row],[FUNKCJONARIUSZ]]</f>
        <v>F-sz 028</v>
      </c>
      <c r="AK29" s="27">
        <f t="shared" si="0"/>
        <v>26.5</v>
      </c>
      <c r="AL29" s="28">
        <f t="shared" si="1"/>
        <v>0</v>
      </c>
      <c r="AM29">
        <f t="shared" si="2"/>
        <v>168</v>
      </c>
      <c r="AN29" s="29">
        <f t="shared" si="3"/>
        <v>0</v>
      </c>
      <c r="AO29" s="1">
        <f t="shared" si="4"/>
        <v>0</v>
      </c>
      <c r="AP29" s="1">
        <f t="shared" si="5"/>
        <v>0</v>
      </c>
    </row>
    <row r="30" spans="1:42" ht="16.3" thickBot="1">
      <c r="A30" s="55"/>
      <c r="B30" s="55"/>
      <c r="C30" s="56"/>
      <c r="D30" s="57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 t="s">
        <v>113</v>
      </c>
      <c r="AA30" s="58" t="s">
        <v>113</v>
      </c>
      <c r="AB30" s="58"/>
      <c r="AC30" s="58"/>
      <c r="AD30" s="58"/>
      <c r="AE30" s="58"/>
      <c r="AF30" s="58"/>
      <c r="AG30" s="59"/>
      <c r="AH30" s="27"/>
      <c r="AI30" s="27"/>
      <c r="AJ30" s="60"/>
      <c r="AK30" s="27">
        <f>SUM(AK2:AK29)</f>
        <v>-761.5</v>
      </c>
      <c r="AL30" s="28"/>
      <c r="AM30"/>
      <c r="AN30" s="29"/>
    </row>
    <row r="31" spans="1:42" ht="15.9">
      <c r="B31" s="61"/>
      <c r="C31" s="62" t="s">
        <v>120</v>
      </c>
      <c r="D31" s="63"/>
      <c r="E31" s="64">
        <f t="shared" ref="E31:AH31" si="6">COUNTIF(E2:E29,"D")</f>
        <v>1</v>
      </c>
      <c r="F31" s="64">
        <f t="shared" si="6"/>
        <v>1</v>
      </c>
      <c r="G31" s="64">
        <f t="shared" si="6"/>
        <v>1</v>
      </c>
      <c r="H31" s="64">
        <f t="shared" si="6"/>
        <v>1</v>
      </c>
      <c r="I31" s="64">
        <f t="shared" si="6"/>
        <v>1</v>
      </c>
      <c r="J31" s="64">
        <f t="shared" si="6"/>
        <v>1</v>
      </c>
      <c r="K31" s="64">
        <f t="shared" si="6"/>
        <v>1</v>
      </c>
      <c r="L31" s="64">
        <f t="shared" si="6"/>
        <v>1</v>
      </c>
      <c r="M31" s="64">
        <f t="shared" si="6"/>
        <v>1</v>
      </c>
      <c r="N31" s="64">
        <f t="shared" si="6"/>
        <v>1</v>
      </c>
      <c r="O31" s="64">
        <f t="shared" si="6"/>
        <v>1</v>
      </c>
      <c r="P31" s="64">
        <f t="shared" si="6"/>
        <v>1</v>
      </c>
      <c r="Q31" s="64">
        <f t="shared" si="6"/>
        <v>1</v>
      </c>
      <c r="R31" s="64">
        <f t="shared" si="6"/>
        <v>1</v>
      </c>
      <c r="S31" s="64">
        <f t="shared" si="6"/>
        <v>1</v>
      </c>
      <c r="T31" s="64">
        <f t="shared" si="6"/>
        <v>1</v>
      </c>
      <c r="U31" s="64">
        <f t="shared" si="6"/>
        <v>1</v>
      </c>
      <c r="V31" s="64">
        <f t="shared" si="6"/>
        <v>1</v>
      </c>
      <c r="W31" s="64">
        <f t="shared" si="6"/>
        <v>1</v>
      </c>
      <c r="X31" s="64">
        <f t="shared" si="6"/>
        <v>1</v>
      </c>
      <c r="Y31" s="64">
        <f t="shared" si="6"/>
        <v>1</v>
      </c>
      <c r="Z31" s="64">
        <f t="shared" si="6"/>
        <v>1</v>
      </c>
      <c r="AA31" s="64">
        <f t="shared" si="6"/>
        <v>1</v>
      </c>
      <c r="AB31" s="64">
        <f t="shared" si="6"/>
        <v>1</v>
      </c>
      <c r="AC31" s="64">
        <f t="shared" si="6"/>
        <v>1</v>
      </c>
      <c r="AD31" s="64">
        <f t="shared" si="6"/>
        <v>1</v>
      </c>
      <c r="AE31" s="64">
        <f t="shared" si="6"/>
        <v>1</v>
      </c>
      <c r="AF31" s="64">
        <f t="shared" si="6"/>
        <v>1</v>
      </c>
      <c r="AG31" s="64">
        <f t="shared" si="6"/>
        <v>1</v>
      </c>
      <c r="AH31" s="64">
        <f t="shared" si="6"/>
        <v>1</v>
      </c>
      <c r="AI31" s="64"/>
      <c r="AJ31"/>
      <c r="AK31" s="27"/>
      <c r="AL31" s="28"/>
      <c r="AM31"/>
      <c r="AN31" s="29"/>
    </row>
    <row r="32" spans="1:42">
      <c r="C32" s="67" t="s">
        <v>122</v>
      </c>
      <c r="D32" s="68"/>
      <c r="E32" s="592">
        <f>COUNTIF(E2:E29,"S")</f>
        <v>4</v>
      </c>
      <c r="F32" s="592">
        <f t="shared" ref="F32:AG32" si="7">COUNTIF(F2:F29,"S")</f>
        <v>4</v>
      </c>
      <c r="G32" s="592">
        <f t="shared" si="7"/>
        <v>4</v>
      </c>
      <c r="H32" s="592">
        <f t="shared" si="7"/>
        <v>4</v>
      </c>
      <c r="I32" s="592">
        <f t="shared" si="7"/>
        <v>4</v>
      </c>
      <c r="J32" s="592">
        <f t="shared" si="7"/>
        <v>0</v>
      </c>
      <c r="K32" s="592">
        <f t="shared" si="7"/>
        <v>4</v>
      </c>
      <c r="L32" s="592">
        <f t="shared" si="7"/>
        <v>4</v>
      </c>
      <c r="M32" s="592">
        <f t="shared" si="7"/>
        <v>4</v>
      </c>
      <c r="N32" s="592">
        <f t="shared" si="7"/>
        <v>4</v>
      </c>
      <c r="O32" s="592">
        <f t="shared" si="7"/>
        <v>4</v>
      </c>
      <c r="P32" s="592">
        <f t="shared" si="7"/>
        <v>4</v>
      </c>
      <c r="Q32" s="592">
        <f t="shared" si="7"/>
        <v>0</v>
      </c>
      <c r="R32" s="592">
        <f t="shared" si="7"/>
        <v>4</v>
      </c>
      <c r="S32" s="592">
        <f t="shared" si="7"/>
        <v>4</v>
      </c>
      <c r="T32" s="592">
        <f t="shared" si="7"/>
        <v>4</v>
      </c>
      <c r="U32" s="592">
        <f t="shared" si="7"/>
        <v>4</v>
      </c>
      <c r="V32" s="592">
        <f t="shared" si="7"/>
        <v>4</v>
      </c>
      <c r="W32" s="592">
        <f t="shared" si="7"/>
        <v>4</v>
      </c>
      <c r="X32" s="592">
        <f t="shared" si="7"/>
        <v>0</v>
      </c>
      <c r="Y32" s="592">
        <f t="shared" si="7"/>
        <v>4</v>
      </c>
      <c r="Z32" s="592">
        <f t="shared" si="7"/>
        <v>4</v>
      </c>
      <c r="AA32" s="592">
        <f t="shared" si="7"/>
        <v>4</v>
      </c>
      <c r="AB32" s="592">
        <f t="shared" si="7"/>
        <v>4</v>
      </c>
      <c r="AC32" s="592">
        <f t="shared" si="7"/>
        <v>4</v>
      </c>
      <c r="AD32" s="592">
        <f t="shared" si="7"/>
        <v>4</v>
      </c>
      <c r="AE32" s="592">
        <f t="shared" si="7"/>
        <v>0</v>
      </c>
      <c r="AF32" s="592">
        <f t="shared" si="7"/>
        <v>4</v>
      </c>
      <c r="AG32" s="592">
        <f t="shared" si="7"/>
        <v>4</v>
      </c>
      <c r="AH32" s="592">
        <f>COUNTIF(AH2:AH29,"S")</f>
        <v>4</v>
      </c>
      <c r="AI32" s="64"/>
      <c r="AJ32"/>
      <c r="AK32" s="27"/>
      <c r="AL32" s="28"/>
      <c r="AM32"/>
      <c r="AN32" s="29"/>
    </row>
    <row r="33" spans="3:42" ht="16.3" thickBot="1">
      <c r="C33" s="56"/>
      <c r="D33" s="57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2"/>
      <c r="AG33" s="72"/>
      <c r="AH33" s="72"/>
      <c r="AI33" s="27"/>
      <c r="AJ33"/>
      <c r="AK33" s="27"/>
      <c r="AL33" s="28"/>
      <c r="AM33"/>
      <c r="AN33" s="29"/>
    </row>
    <row r="34" spans="3:42" s="73" customFormat="1" ht="15" customHeight="1">
      <c r="C34" s="680" t="s">
        <v>122</v>
      </c>
      <c r="D34" s="680"/>
      <c r="E34" s="798" t="s">
        <v>129</v>
      </c>
      <c r="F34" s="798"/>
      <c r="G34" s="798"/>
      <c r="H34" s="798" t="s">
        <v>129</v>
      </c>
      <c r="I34" s="798"/>
      <c r="J34" s="798"/>
      <c r="K34" s="798" t="s">
        <v>173</v>
      </c>
      <c r="L34" s="798"/>
      <c r="M34" s="798"/>
      <c r="N34" s="798"/>
      <c r="O34" s="798" t="s">
        <v>173</v>
      </c>
      <c r="P34" s="798"/>
      <c r="Q34" s="798"/>
      <c r="R34" s="798" t="s">
        <v>438</v>
      </c>
      <c r="S34" s="798"/>
      <c r="T34" s="798"/>
      <c r="U34" s="799"/>
      <c r="V34" s="798" t="s">
        <v>130</v>
      </c>
      <c r="W34" s="798"/>
      <c r="X34" s="798"/>
      <c r="Y34" s="797" t="s">
        <v>393</v>
      </c>
      <c r="Z34" s="797"/>
      <c r="AA34" s="797"/>
      <c r="AB34" s="803"/>
      <c r="AC34" s="800" t="s">
        <v>125</v>
      </c>
      <c r="AD34" s="800"/>
      <c r="AE34" s="798"/>
      <c r="AF34" s="798" t="s">
        <v>124</v>
      </c>
      <c r="AG34" s="798"/>
      <c r="AH34" s="798"/>
      <c r="AI34" s="798"/>
      <c r="AJ34" s="80"/>
      <c r="AK34" s="573"/>
      <c r="AL34" s="28"/>
      <c r="AM34"/>
      <c r="AN34" s="29"/>
      <c r="AO34" s="1"/>
      <c r="AP34" s="1"/>
    </row>
    <row r="35" spans="3:42" s="73" customFormat="1">
      <c r="C35" s="680"/>
      <c r="D35" s="680"/>
      <c r="E35" s="798" t="s">
        <v>132</v>
      </c>
      <c r="F35" s="798"/>
      <c r="G35" s="798"/>
      <c r="H35" s="798" t="s">
        <v>371</v>
      </c>
      <c r="I35" s="798"/>
      <c r="J35" s="798"/>
      <c r="K35" s="798" t="s">
        <v>174</v>
      </c>
      <c r="L35" s="798"/>
      <c r="M35" s="798"/>
      <c r="N35" s="798"/>
      <c r="O35" s="798" t="s">
        <v>269</v>
      </c>
      <c r="P35" s="798"/>
      <c r="Q35" s="798"/>
      <c r="R35" s="801" t="s">
        <v>135</v>
      </c>
      <c r="S35" s="801"/>
      <c r="T35" s="801"/>
      <c r="U35" s="799"/>
      <c r="V35" s="798" t="s">
        <v>131</v>
      </c>
      <c r="W35" s="798"/>
      <c r="X35" s="798"/>
      <c r="Y35" s="798" t="s">
        <v>134</v>
      </c>
      <c r="Z35" s="798"/>
      <c r="AA35" s="798"/>
      <c r="AB35" s="803"/>
      <c r="AC35" s="800" t="s">
        <v>134</v>
      </c>
      <c r="AD35" s="800"/>
      <c r="AE35" s="798"/>
      <c r="AF35" s="802" t="s">
        <v>132</v>
      </c>
      <c r="AG35" s="802"/>
      <c r="AH35" s="802"/>
      <c r="AI35" s="802"/>
      <c r="AJ35" s="80"/>
      <c r="AK35" s="573"/>
      <c r="AL35" s="28"/>
      <c r="AM35"/>
      <c r="AN35" s="29"/>
      <c r="AO35" s="1"/>
      <c r="AP35" s="1"/>
    </row>
    <row r="36" spans="3:42" s="73" customFormat="1">
      <c r="C36" s="680"/>
      <c r="D36" s="680"/>
      <c r="E36" s="799" t="s">
        <v>198</v>
      </c>
      <c r="F36" s="799"/>
      <c r="G36" s="798"/>
      <c r="H36" s="804" t="s">
        <v>439</v>
      </c>
      <c r="I36" s="804"/>
      <c r="J36" s="798"/>
      <c r="K36" s="797" t="s">
        <v>135</v>
      </c>
      <c r="L36" s="797"/>
      <c r="M36" s="797"/>
      <c r="N36" s="798"/>
      <c r="O36" s="797" t="s">
        <v>440</v>
      </c>
      <c r="P36" s="797"/>
      <c r="Q36" s="798"/>
      <c r="R36" s="797" t="s">
        <v>210</v>
      </c>
      <c r="S36" s="797"/>
      <c r="T36" s="797"/>
      <c r="U36" s="799"/>
      <c r="V36" s="799" t="s">
        <v>143</v>
      </c>
      <c r="W36" s="799"/>
      <c r="X36" s="798"/>
      <c r="Y36" s="797" t="s">
        <v>267</v>
      </c>
      <c r="Z36" s="797"/>
      <c r="AA36" s="797"/>
      <c r="AB36" s="803"/>
      <c r="AC36" s="800" t="s">
        <v>381</v>
      </c>
      <c r="AD36" s="800"/>
      <c r="AE36" s="798"/>
      <c r="AF36" s="797" t="s">
        <v>298</v>
      </c>
      <c r="AG36" s="797"/>
      <c r="AH36" s="797"/>
      <c r="AI36" s="797"/>
      <c r="AJ36" s="80"/>
      <c r="AK36" s="573"/>
      <c r="AL36" s="28"/>
      <c r="AM36"/>
      <c r="AN36" s="29"/>
      <c r="AO36" s="1"/>
      <c r="AP36" s="1"/>
    </row>
    <row r="37" spans="3:42" s="73" customFormat="1">
      <c r="C37" s="680"/>
      <c r="D37" s="680"/>
      <c r="E37" s="798" t="s">
        <v>218</v>
      </c>
      <c r="F37" s="798"/>
      <c r="G37" s="798"/>
      <c r="H37" s="797" t="s">
        <v>271</v>
      </c>
      <c r="I37" s="797"/>
      <c r="J37" s="798"/>
      <c r="K37" s="797" t="s">
        <v>255</v>
      </c>
      <c r="L37" s="797"/>
      <c r="M37" s="797"/>
      <c r="N37" s="798"/>
      <c r="O37" s="798" t="s">
        <v>145</v>
      </c>
      <c r="P37" s="798"/>
      <c r="Q37" s="798"/>
      <c r="R37" s="799" t="s">
        <v>385</v>
      </c>
      <c r="S37" s="799"/>
      <c r="T37" s="799"/>
      <c r="U37" s="799"/>
      <c r="V37" s="797" t="s">
        <v>406</v>
      </c>
      <c r="W37" s="797"/>
      <c r="X37" s="798"/>
      <c r="Y37" s="798" t="s">
        <v>273</v>
      </c>
      <c r="Z37" s="798"/>
      <c r="AA37" s="798"/>
      <c r="AB37" s="803"/>
      <c r="AC37" s="800" t="s">
        <v>273</v>
      </c>
      <c r="AD37" s="800"/>
      <c r="AE37" s="798"/>
      <c r="AF37" s="798" t="s">
        <v>151</v>
      </c>
      <c r="AG37" s="798"/>
      <c r="AH37" s="798"/>
      <c r="AI37" s="798"/>
      <c r="AJ37" s="80"/>
      <c r="AK37" s="573"/>
      <c r="AL37" s="28"/>
      <c r="AM37"/>
      <c r="AN37" s="29"/>
      <c r="AO37" s="1"/>
      <c r="AP37" s="1"/>
    </row>
    <row r="38" spans="3:42" s="73" customFormat="1">
      <c r="C38" s="77"/>
      <c r="D38" s="77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"/>
      <c r="AH38" s="572"/>
      <c r="AI38" s="572"/>
      <c r="AJ38" s="80"/>
      <c r="AK38" s="27"/>
      <c r="AL38" s="28"/>
      <c r="AM38"/>
      <c r="AN38" s="29"/>
      <c r="AO38" s="1"/>
      <c r="AP38" s="1"/>
    </row>
  </sheetData>
  <mergeCells count="45">
    <mergeCell ref="C34:D37"/>
    <mergeCell ref="E34:F34"/>
    <mergeCell ref="G34:G37"/>
    <mergeCell ref="H34:I34"/>
    <mergeCell ref="J34:J37"/>
    <mergeCell ref="K34:M34"/>
    <mergeCell ref="N34:N37"/>
    <mergeCell ref="O34:P34"/>
    <mergeCell ref="Q34:Q37"/>
    <mergeCell ref="E36:F36"/>
    <mergeCell ref="H36:I36"/>
    <mergeCell ref="K36:M36"/>
    <mergeCell ref="O36:P36"/>
    <mergeCell ref="H37:I37"/>
    <mergeCell ref="K37:M37"/>
    <mergeCell ref="O37:P37"/>
    <mergeCell ref="AF34:AI34"/>
    <mergeCell ref="E35:F35"/>
    <mergeCell ref="H35:I35"/>
    <mergeCell ref="K35:M35"/>
    <mergeCell ref="O35:P35"/>
    <mergeCell ref="R35:T35"/>
    <mergeCell ref="V35:W35"/>
    <mergeCell ref="Y35:AA35"/>
    <mergeCell ref="AC35:AD35"/>
    <mergeCell ref="AF35:AI35"/>
    <mergeCell ref="R34:T34"/>
    <mergeCell ref="U34:U37"/>
    <mergeCell ref="V34:W34"/>
    <mergeCell ref="X34:X37"/>
    <mergeCell ref="Y34:AA34"/>
    <mergeCell ref="AB34:AB37"/>
    <mergeCell ref="AC34:AD34"/>
    <mergeCell ref="AE34:AE37"/>
    <mergeCell ref="R36:T36"/>
    <mergeCell ref="V36:W36"/>
    <mergeCell ref="Y36:AA36"/>
    <mergeCell ref="AC36:AD36"/>
    <mergeCell ref="AF36:AI36"/>
    <mergeCell ref="E37:F37"/>
    <mergeCell ref="R37:T37"/>
    <mergeCell ref="V37:W37"/>
    <mergeCell ref="Y37:AA37"/>
    <mergeCell ref="AC37:AD37"/>
    <mergeCell ref="AF37:AI37"/>
  </mergeCells>
  <phoneticPr fontId="22" type="noConversion"/>
  <conditionalFormatting sqref="A2:A30">
    <cfRule type="containsText" dxfId="62" priority="79" operator="containsText" text="SG007">
      <formula>NOT(ISERROR(SEARCH("SG007",A2)))</formula>
    </cfRule>
    <cfRule type="containsText" dxfId="61" priority="80" operator="containsText" text="SG068">
      <formula>NOT(ISERROR(SEARCH("SG068",A2)))</formula>
    </cfRule>
    <cfRule type="containsText" dxfId="60" priority="81" operator="containsText" text="SG214">
      <formula>NOT(ISERROR(SEARCH("SG214",A2)))</formula>
    </cfRule>
    <cfRule type="containsText" dxfId="59" priority="82" operator="containsText" text="SG212">
      <formula>NOT(ISERROR(SEARCH("SG212",A2)))</formula>
    </cfRule>
  </conditionalFormatting>
  <conditionalFormatting sqref="A5:A30">
    <cfRule type="containsText" dxfId="58" priority="83" operator="containsText" text="SG070">
      <formula>NOT(ISERROR(SEARCH("SG070",A5)))</formula>
    </cfRule>
  </conditionalFormatting>
  <conditionalFormatting sqref="E30:I30 L30:P30 S30:W30 Z30:AD30">
    <cfRule type="cellIs" dxfId="57" priority="65" operator="greaterThan">
      <formula>0</formula>
    </cfRule>
  </conditionalFormatting>
  <conditionalFormatting sqref="E2:P2 V2:W2 AC2:AD2 AF2:AH2 J3:AH9 E3:E28 J10:AD10 AE10:AH12 O11:P11 V11:AD12 J12:T14 X13:AH16 J15 O15:T15 J16:T16 J17:AH17 J18:W18 X18:AH19 R19:W19 J19:U21 V20:AH20 V21:W21 Y21:AD21 AE21:AH22 J22:AD22 P23:AH23 J24:AH28 E29:AH29">
    <cfRule type="containsText" dxfId="56" priority="107" operator="containsText" text="MOSG">
      <formula>NOT(ISERROR(SEARCH("MOSG",E2)))</formula>
    </cfRule>
  </conditionalFormatting>
  <conditionalFormatting sqref="E2:P2 V2:W2 AC2:AD2 AF2:AI2 J3:AI9 E3:E28 J10:AD10 AE10:AI12 O11:P11 V11:AD12 J12:L12 T12 O12:S17 J13:N14 T13:AI17 J15 J16:N20 O18:AI20 J21:S21 V21:W21 Y21:AD21 AE21:AI22 J22:AD22 P23:S23 V23:AI23 J24:AI28 E29:AI29">
    <cfRule type="containsText" dxfId="55" priority="103" operator="containsText" text="L4">
      <formula>NOT(ISERROR(SEARCH("L4",E2)))</formula>
    </cfRule>
  </conditionalFormatting>
  <conditionalFormatting sqref="E2:P2 V2:W2 AC2:AD2 AF2:AI2 J3:AI9 E3:E28 J10:AD10 AE10:AI12 O11:P11 V11:AD12 J12:L12 T12:T16 O12:S17 J13:N14 X13:AI16 J15 J16:N20 T17:AI17 O18:AI20 J21:S21 V21:W21 Y21:AD21 AE21:AI22 J22:AD22 P23:S23 V23:AI23 J24:AI28 E29:AI29">
    <cfRule type="containsText" dxfId="54" priority="106" operator="containsText" text="D">
      <formula>NOT(ISERROR(SEARCH("D",E2)))</formula>
    </cfRule>
    <cfRule type="containsText" dxfId="53" priority="105" operator="containsText" text="UW">
      <formula>NOT(ISERROR(SEARCH("UW",E2)))</formula>
    </cfRule>
    <cfRule type="containsText" dxfId="52" priority="104" operator="containsText" text="S">
      <formula>NOT(ISERROR(SEARCH("S",E2)))</formula>
    </cfRule>
  </conditionalFormatting>
  <conditionalFormatting sqref="E30:AF30">
    <cfRule type="containsText" dxfId="50" priority="32" operator="containsText" text="d">
      <formula>NOT(ISERROR(SEARCH("d",E30)))</formula>
    </cfRule>
    <cfRule type="containsText" dxfId="49" priority="31" operator="containsText" text="s">
      <formula>NOT(ISERROR(SEARCH("s",E30)))</formula>
    </cfRule>
    <cfRule type="containsText" dxfId="48" priority="30" operator="containsText" text="u">
      <formula>NOT(ISERROR(SEARCH("u",E30)))</formula>
    </cfRule>
    <cfRule type="containsText" dxfId="47" priority="29" operator="containsText" text="k">
      <formula>NOT(ISERROR(SEARCH("k",E30)))</formula>
    </cfRule>
    <cfRule type="containsText" dxfId="46" priority="28" operator="containsText" text="wse">
      <formula>NOT(ISERROR(SEARCH("wse",E30)))</formula>
    </cfRule>
    <cfRule type="containsText" dxfId="45" priority="25" operator="containsText" text="l4">
      <formula>NOT(ISERROR(SEARCH("l4",E30)))</formula>
    </cfRule>
    <cfRule type="containsText" dxfId="44" priority="26" operator="containsText" text="12g">
      <formula>NOT(ISERROR(SEARCH("12g",E30)))</formula>
    </cfRule>
  </conditionalFormatting>
  <conditionalFormatting sqref="E32:AH32">
    <cfRule type="cellIs" dxfId="43" priority="2" operator="greaterThan">
      <formula>3.5</formula>
    </cfRule>
  </conditionalFormatting>
  <conditionalFormatting sqref="E31:AI31">
    <cfRule type="cellIs" dxfId="42" priority="69" operator="greaterThan">
      <formula>1.5</formula>
    </cfRule>
    <cfRule type="cellIs" dxfId="41" priority="66" operator="between">
      <formula>0.5</formula>
      <formula>1.5</formula>
    </cfRule>
  </conditionalFormatting>
  <conditionalFormatting sqref="E31:AI32">
    <cfRule type="cellIs" dxfId="40" priority="1" operator="equal">
      <formula>0</formula>
    </cfRule>
  </conditionalFormatting>
  <conditionalFormatting sqref="F3:I28 M18">
    <cfRule type="containsText" dxfId="39" priority="128" operator="containsText" text="MOSG">
      <formula>NOT(ISERROR(SEARCH("MOSG",F3)))</formula>
    </cfRule>
    <cfRule type="containsText" dxfId="38" priority="124" operator="containsText" text="L4">
      <formula>NOT(ISERROR(SEARCH("L4",F3)))</formula>
    </cfRule>
    <cfRule type="containsText" dxfId="37" priority="125" operator="containsText" text="S">
      <formula>NOT(ISERROR(SEARCH("S",F3)))</formula>
    </cfRule>
    <cfRule type="containsText" dxfId="36" priority="126" operator="containsText" text="UW">
      <formula>NOT(ISERROR(SEARCH("UW",F3)))</formula>
    </cfRule>
    <cfRule type="containsText" dxfId="35" priority="127" operator="containsText" text="D">
      <formula>NOT(ISERROR(SEARCH("D",F3)))</formula>
    </cfRule>
  </conditionalFormatting>
  <conditionalFormatting sqref="J11">
    <cfRule type="containsText" dxfId="34" priority="136" operator="containsText" text="L4">
      <formula>NOT(ISERROR(SEARCH("L4",J11)))</formula>
    </cfRule>
    <cfRule type="containsText" dxfId="33" priority="137" operator="containsText" text="S">
      <formula>NOT(ISERROR(SEARCH("S",J11)))</formula>
    </cfRule>
    <cfRule type="containsText" dxfId="31" priority="138" operator="containsText" text="UW">
      <formula>NOT(ISERROR(SEARCH("UW",J11)))</formula>
    </cfRule>
    <cfRule type="containsText" dxfId="30" priority="139" operator="containsText" text="D">
      <formula>NOT(ISERROR(SEARCH("D",J11)))</formula>
    </cfRule>
    <cfRule type="containsText" dxfId="29" priority="140" operator="containsText" text="MOSG">
      <formula>NOT(ISERROR(SEARCH("MOSG",J11)))</formula>
    </cfRule>
  </conditionalFormatting>
  <conditionalFormatting sqref="U12">
    <cfRule type="containsText" dxfId="25" priority="118" operator="containsText" text="L4">
      <formula>NOT(ISERROR(SEARCH("L4",U12)))</formula>
    </cfRule>
    <cfRule type="containsText" dxfId="24" priority="119" operator="containsText" text="S">
      <formula>NOT(ISERROR(SEARCH("S",U12)))</formula>
    </cfRule>
    <cfRule type="containsText" dxfId="23" priority="120" operator="containsText" text="UW">
      <formula>NOT(ISERROR(SEARCH("UW",U12)))</formula>
    </cfRule>
    <cfRule type="containsText" dxfId="22" priority="121" operator="containsText" text="D">
      <formula>NOT(ISERROR(SEARCH("D",U12)))</formula>
    </cfRule>
    <cfRule type="containsText" dxfId="21" priority="122" operator="containsText" text="MOSG">
      <formula>NOT(ISERROR(SEARCH("MOSG",U12)))</formula>
    </cfRule>
  </conditionalFormatting>
  <conditionalFormatting sqref="U13:W16">
    <cfRule type="containsText" dxfId="20" priority="113" operator="containsText" text="S">
      <formula>NOT(ISERROR(SEARCH("S",U13)))</formula>
    </cfRule>
    <cfRule type="containsText" dxfId="19" priority="114" operator="containsText" text="UW">
      <formula>NOT(ISERROR(SEARCH("UW",U13)))</formula>
    </cfRule>
    <cfRule type="containsText" dxfId="18" priority="115" operator="containsText" text="D">
      <formula>NOT(ISERROR(SEARCH("D",U13)))</formula>
    </cfRule>
    <cfRule type="containsText" dxfId="17" priority="116" operator="containsText" text="MOSG">
      <formula>NOT(ISERROR(SEARCH("MOSG",U13)))</formula>
    </cfRule>
  </conditionalFormatting>
  <conditionalFormatting sqref="AI32">
    <cfRule type="cellIs" dxfId="15" priority="71" operator="greaterThan">
      <formula>3.5</formula>
    </cfRule>
  </conditionalFormatting>
  <conditionalFormatting sqref="AK1:AK1048576">
    <cfRule type="cellIs" dxfId="14" priority="108" operator="greaterThan">
      <formula>0</formula>
    </cfRule>
  </conditionalFormatting>
  <conditionalFormatting sqref="AQ5:AQ14">
    <cfRule type="containsText" dxfId="13" priority="15" operator="containsText" text="s">
      <formula>NOT(ISERROR(SEARCH("s",AQ5)))</formula>
    </cfRule>
    <cfRule type="containsText" dxfId="12" priority="14" operator="containsText" text="u">
      <formula>NOT(ISERROR(SEARCH("u",AQ5)))</formula>
    </cfRule>
    <cfRule type="containsText" dxfId="11" priority="13" operator="containsText" text="k">
      <formula>NOT(ISERROR(SEARCH("k",AQ5)))</formula>
    </cfRule>
    <cfRule type="containsText" dxfId="10" priority="16" operator="containsText" text="d">
      <formula>NOT(ISERROR(SEARCH("d",AQ5)))</formula>
    </cfRule>
    <cfRule type="containsText" dxfId="9" priority="12" operator="containsText" text="wse">
      <formula>NOT(ISERROR(SEARCH("wse",AQ5)))</formula>
    </cfRule>
    <cfRule type="containsText" dxfId="8" priority="11" operator="containsText" text="12g">
      <formula>NOT(ISERROR(SEARCH("12g",AQ5)))</formula>
    </cfRule>
  </conditionalFormatting>
  <conditionalFormatting sqref="AQ15">
    <cfRule type="containsText" dxfId="6" priority="21" operator="containsText" text="u">
      <formula>NOT(ISERROR(SEARCH("u",AQ15)))</formula>
    </cfRule>
    <cfRule type="containsText" dxfId="5" priority="20" operator="containsText" text="k">
      <formula>NOT(ISERROR(SEARCH("k",AQ15)))</formula>
    </cfRule>
    <cfRule type="containsText" dxfId="4" priority="19" operator="containsText" text="wse">
      <formula>NOT(ISERROR(SEARCH("wse",AQ15)))</formula>
    </cfRule>
    <cfRule type="containsText" dxfId="3" priority="18" operator="containsText" text="12g">
      <formula>NOT(ISERROR(SEARCH("12g",AQ15)))</formula>
    </cfRule>
    <cfRule type="containsText" dxfId="2" priority="17" operator="containsText" text="l4">
      <formula>NOT(ISERROR(SEARCH("l4",AQ15)))</formula>
    </cfRule>
    <cfRule type="containsText" dxfId="1" priority="23" operator="containsText" text="d">
      <formula>NOT(ISERROR(SEARCH("d",AQ15)))</formula>
    </cfRule>
    <cfRule type="containsText" dxfId="0" priority="22" operator="containsText" text="s">
      <formula>NOT(ISERROR(SEARCH("s",AQ15)))</formula>
    </cfRule>
  </conditionalFormatting>
  <pageMargins left="0" right="0" top="0" bottom="0" header="0.51180555555555496" footer="0.51180555555555496"/>
  <pageSetup paperSize="9" orientation="landscape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7" operator="containsText" id="{55667965-F25F-4572-AAC0-FF44AAC9F1BF}">
            <xm:f>NOT(ISERROR(SEARCH("-",E30)))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E30:AF30</xm:sqref>
        </x14:conditionalFormatting>
        <x14:conditionalFormatting xmlns:xm="http://schemas.microsoft.com/office/excel/2006/main">
          <x14:cfRule type="containsText" priority="135" operator="containsText" id="{AA6A7944-A027-42C7-AE71-F0FF509B64D0}">
            <xm:f>NOT(ISERROR(SEARCH("-",J11)))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J11</xm:sqref>
        </x14:conditionalFormatting>
        <x14:conditionalFormatting xmlns:xm="http://schemas.microsoft.com/office/excel/2006/main">
          <x14:cfRule type="containsText" priority="147" operator="containsText" id="{1B35A047-79FC-471B-A4D0-A01440CADC2F}">
            <xm:f>NOT(ISERROR(SEARCH("-",E2)))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J16:N20 E2:P2 V2:W2 AC2:AD2 AF2:AH2 J3:AH9 E3:E28 J10:AD10 AE10:AH12 O11:P11 W11:AD12 J12:L12 T12 V12:W12 O12:S20 J13:N14 J15 R20:AH20 J21:S21 V21:W21 Y21:AD21 AE21:AH22 J22:AD22 P23:S23 V23:AH23 J24:AH28 E29:AH29</xm:sqref>
        </x14:conditionalFormatting>
        <x14:conditionalFormatting xmlns:xm="http://schemas.microsoft.com/office/excel/2006/main">
          <x14:cfRule type="containsText" priority="123" operator="containsText" id="{2D10943A-4237-4B49-AD46-77644B9C53CB}">
            <xm:f>NOT(ISERROR(SEARCH("-",F3)))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M18 F3:I28</xm:sqref>
        </x14:conditionalFormatting>
        <x14:conditionalFormatting xmlns:xm="http://schemas.microsoft.com/office/excel/2006/main">
          <x14:cfRule type="containsText" priority="117" operator="containsText" id="{E0BD641A-A128-4216-943C-604A7BCA10A1}">
            <xm:f>NOT(ISERROR(SEARCH("-",U12)))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U12</xm:sqref>
        </x14:conditionalFormatting>
        <x14:conditionalFormatting xmlns:xm="http://schemas.microsoft.com/office/excel/2006/main">
          <x14:cfRule type="containsText" priority="111" operator="containsText" id="{19A97094-5639-4ED7-91C6-7C3F9DD26098}">
            <xm:f>NOT(ISERROR(SEARCH("-",T11)))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V11 T13:AH19 T19:U20</xm:sqref>
        </x14:conditionalFormatting>
        <x14:conditionalFormatting xmlns:xm="http://schemas.microsoft.com/office/excel/2006/main">
          <x14:cfRule type="containsText" priority="145" operator="containsText" id="{CE987077-F71D-4A4E-BC4A-11A52A639054}">
            <xm:f>NOT(ISERROR(SEARCH("-",AQ5)))</xm:f>
            <xm:f>"-"</xm:f>
            <x14:dxf>
              <font>
                <b val="0"/>
                <i/>
                <color rgb="FF9C0006"/>
              </font>
              <fill>
                <patternFill>
                  <bgColor rgb="FFF2DCDB"/>
                </patternFill>
              </fill>
            </x14:dxf>
          </x14:cfRule>
          <xm:sqref>AQ5:AQ15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zoomScale="80" zoomScaleNormal="80" workbookViewId="0">
      <selection activeCell="D11" sqref="D11"/>
    </sheetView>
  </sheetViews>
  <sheetFormatPr defaultColWidth="8.69140625" defaultRowHeight="14.6"/>
  <cols>
    <col min="1" max="2" width="5.4609375" customWidth="1"/>
    <col min="3" max="3" width="34.4609375" customWidth="1"/>
    <col min="4" max="4" width="39.4609375" customWidth="1"/>
    <col min="5" max="5" width="24.15234375" customWidth="1"/>
  </cols>
  <sheetData>
    <row r="1" spans="1:5" ht="27.75" customHeight="1">
      <c r="A1" s="786" t="s">
        <v>441</v>
      </c>
      <c r="B1" s="786"/>
      <c r="C1" s="787" t="s">
        <v>178</v>
      </c>
      <c r="D1" s="787"/>
      <c r="E1" s="787"/>
    </row>
    <row r="2" spans="1:5" ht="21.75" customHeight="1">
      <c r="A2" s="788">
        <v>44531</v>
      </c>
      <c r="B2" s="788"/>
      <c r="C2" s="180" t="s">
        <v>179</v>
      </c>
      <c r="D2" s="181" t="s">
        <v>180</v>
      </c>
      <c r="E2" s="181" t="s">
        <v>180</v>
      </c>
    </row>
    <row r="3" spans="1:5" ht="21.75" customHeight="1">
      <c r="A3" s="484">
        <v>1</v>
      </c>
      <c r="B3" s="485" t="s">
        <v>344</v>
      </c>
      <c r="C3" s="486" t="e">
        <f>VLOOKUP("D",GRUDZIEŃ!$E$30:$AJ$38,32,0)</f>
        <v>#N/A</v>
      </c>
      <c r="D3" s="486" t="e">
        <f>VLOOKUP("w",GRUDZIEŃ!$E$30:$AJ$38,32,0)</f>
        <v>#N/A</v>
      </c>
      <c r="E3" s="313"/>
    </row>
    <row r="4" spans="1:5" ht="21.75" customHeight="1">
      <c r="A4" s="487">
        <v>2</v>
      </c>
      <c r="B4" s="485" t="s">
        <v>338</v>
      </c>
      <c r="C4" s="486" t="e">
        <f>VLOOKUP("D",GRUDZIEŃ!$F$30:$AJ$38,31,0)</f>
        <v>#N/A</v>
      </c>
      <c r="D4" s="486" t="e">
        <f>VLOOKUP("w",GRUDZIEŃ!$F$30:$AJ$38,31,0)</f>
        <v>#N/A</v>
      </c>
      <c r="E4" s="315"/>
    </row>
    <row r="5" spans="1:5" ht="21.75" customHeight="1">
      <c r="A5" s="487">
        <v>3</v>
      </c>
      <c r="B5" s="485" t="s">
        <v>339</v>
      </c>
      <c r="C5" s="486" t="e">
        <f>VLOOKUP("D",GRUDZIEŃ!$G$30:$AJ$38,30,0)</f>
        <v>#N/A</v>
      </c>
      <c r="D5" s="486" t="e">
        <f>VLOOKUP("w",GRUDZIEŃ!$G$30:$AJ$38,30,0)</f>
        <v>#N/A</v>
      </c>
      <c r="E5" s="315"/>
    </row>
    <row r="6" spans="1:5" ht="21.75" customHeight="1">
      <c r="A6" s="487">
        <v>4</v>
      </c>
      <c r="B6" s="485" t="s">
        <v>340</v>
      </c>
      <c r="C6" s="486" t="e">
        <f>VLOOKUP("D",GRUDZIEŃ!$H$30:$AJ$38,29,0)</f>
        <v>#N/A</v>
      </c>
      <c r="D6" s="486" t="e">
        <f>VLOOKUP("w",GRUDZIEŃ!$H$30:$AJ$38,29,0)</f>
        <v>#N/A</v>
      </c>
      <c r="E6" s="315"/>
    </row>
    <row r="7" spans="1:5" ht="21.75" customHeight="1">
      <c r="A7" s="487">
        <v>5</v>
      </c>
      <c r="B7" s="485" t="s">
        <v>341</v>
      </c>
      <c r="C7" s="486" t="e">
        <f>VLOOKUP("D",GRUDZIEŃ!$I$30:$AJ$38,28,0)</f>
        <v>#N/A</v>
      </c>
      <c r="D7" s="486" t="e">
        <f>VLOOKUP("w",GRUDZIEŃ!$I$30:$AJ$38,28,0)</f>
        <v>#N/A</v>
      </c>
      <c r="E7" s="315"/>
    </row>
    <row r="8" spans="1:5" ht="21.75" customHeight="1">
      <c r="A8" s="487">
        <v>6</v>
      </c>
      <c r="B8" s="485" t="s">
        <v>342</v>
      </c>
      <c r="C8" s="486" t="e">
        <f>VLOOKUP("D",GRUDZIEŃ!$J$30:$AJ$38,27,0)</f>
        <v>#N/A</v>
      </c>
      <c r="D8" s="486" t="e">
        <f>VLOOKUP("w",GRUDZIEŃ!$J$30:$AJ$38,27,0)</f>
        <v>#N/A</v>
      </c>
      <c r="E8" s="315"/>
    </row>
    <row r="9" spans="1:5" ht="21.75" customHeight="1">
      <c r="A9" s="487">
        <v>7</v>
      </c>
      <c r="B9" s="485" t="s">
        <v>343</v>
      </c>
      <c r="C9" s="486" t="e">
        <f>VLOOKUP("D",GRUDZIEŃ!$K$30:$AJ$38,26,0)</f>
        <v>#N/A</v>
      </c>
      <c r="D9" s="486" t="e">
        <f>VLOOKUP("w",GRUDZIEŃ!$K$30:$AJ$38,26,0)</f>
        <v>#N/A</v>
      </c>
      <c r="E9" s="315"/>
    </row>
    <row r="10" spans="1:5" ht="21.75" customHeight="1">
      <c r="A10" s="487">
        <v>8</v>
      </c>
      <c r="B10" s="485" t="s">
        <v>344</v>
      </c>
      <c r="C10" s="486" t="e">
        <f>VLOOKUP("D",GRUDZIEŃ!$L$30:$AJ$38,25,0)</f>
        <v>#N/A</v>
      </c>
      <c r="D10" s="486" t="e">
        <f>VLOOKUP("w",GRUDZIEŃ!$L$30:$AJ$38,25,0)</f>
        <v>#N/A</v>
      </c>
      <c r="E10" s="315"/>
    </row>
    <row r="11" spans="1:5" ht="21.75" customHeight="1">
      <c r="A11" s="487">
        <v>9</v>
      </c>
      <c r="B11" s="485" t="s">
        <v>338</v>
      </c>
      <c r="C11" s="486" t="e">
        <f>VLOOKUP("D",GRUDZIEŃ!$M$30:$AJ$38,24,0)</f>
        <v>#N/A</v>
      </c>
      <c r="D11" s="486" t="e">
        <f>VLOOKUP("w",GRUDZIEŃ!$M$30:$AJ$38,24,0)</f>
        <v>#N/A</v>
      </c>
      <c r="E11" s="315"/>
    </row>
    <row r="12" spans="1:5" ht="21.75" customHeight="1">
      <c r="A12" s="487">
        <v>10</v>
      </c>
      <c r="B12" s="485" t="s">
        <v>339</v>
      </c>
      <c r="C12" s="486" t="e">
        <f>VLOOKUP("D",GRUDZIEŃ!$N$30:$AJ$38,23,0)</f>
        <v>#N/A</v>
      </c>
      <c r="D12" s="486" t="e">
        <f>VLOOKUP("w",GRUDZIEŃ!$N$30:$AJ$38,23,0)</f>
        <v>#N/A</v>
      </c>
      <c r="E12" s="315"/>
    </row>
    <row r="13" spans="1:5" ht="21.75" customHeight="1">
      <c r="A13" s="576">
        <v>11</v>
      </c>
      <c r="B13" s="577" t="s">
        <v>340</v>
      </c>
      <c r="C13" s="578" t="e">
        <f>VLOOKUP("D",GRUDZIEŃ!$O$30:$AJ$38,22,0)</f>
        <v>#N/A</v>
      </c>
      <c r="D13" s="578" t="e">
        <f>VLOOKUP("w",GRUDZIEŃ!$O$30:$AJ$38,22,0)</f>
        <v>#N/A</v>
      </c>
      <c r="E13" s="315"/>
    </row>
    <row r="14" spans="1:5" ht="21.75" customHeight="1">
      <c r="A14" s="576">
        <v>12</v>
      </c>
      <c r="B14" s="577" t="s">
        <v>341</v>
      </c>
      <c r="C14" s="578" t="e">
        <f>VLOOKUP("D",GRUDZIEŃ!$P$30:$AJ$38,21,0)</f>
        <v>#N/A</v>
      </c>
      <c r="D14" s="578" t="e">
        <f>VLOOKUP("w",GRUDZIEŃ!$P$30:$AJ$38,21,0)</f>
        <v>#N/A</v>
      </c>
      <c r="E14" s="315"/>
    </row>
    <row r="15" spans="1:5" ht="21.75" customHeight="1">
      <c r="A15" s="487">
        <v>13</v>
      </c>
      <c r="B15" s="485" t="s">
        <v>342</v>
      </c>
      <c r="C15" s="486" t="e">
        <f>VLOOKUP("D",GRUDZIEŃ!$Q$30:$AJ$38,20,0)</f>
        <v>#N/A</v>
      </c>
      <c r="D15" s="486" t="e">
        <f>VLOOKUP("w",GRUDZIEŃ!$Q$30:$AJ$38,20,0)</f>
        <v>#N/A</v>
      </c>
      <c r="E15" s="315"/>
    </row>
    <row r="16" spans="1:5" ht="21.75" customHeight="1">
      <c r="A16" s="487">
        <v>14</v>
      </c>
      <c r="B16" s="485" t="s">
        <v>343</v>
      </c>
      <c r="C16" s="486" t="s">
        <v>443</v>
      </c>
      <c r="D16" s="486" t="e">
        <f>VLOOKUP("w",GRUDZIEŃ!$R$30:$AJ$38,19,0)</f>
        <v>#N/A</v>
      </c>
      <c r="E16" s="315"/>
    </row>
    <row r="17" spans="1:5" ht="21.75" customHeight="1">
      <c r="A17" s="487">
        <v>15</v>
      </c>
      <c r="B17" s="485" t="s">
        <v>344</v>
      </c>
      <c r="C17" s="486" t="s">
        <v>435</v>
      </c>
      <c r="D17" s="486" t="e">
        <f>VLOOKUP("w",GRUDZIEŃ!$S$30:$AJ$38,18,0)</f>
        <v>#N/A</v>
      </c>
      <c r="E17" s="315"/>
    </row>
    <row r="18" spans="1:5" ht="21.75" customHeight="1">
      <c r="A18" s="487">
        <v>16</v>
      </c>
      <c r="B18" s="485" t="s">
        <v>338</v>
      </c>
      <c r="C18" s="486" t="e">
        <f>VLOOKUP("D",GRUDZIEŃ!$T$30:$AJ$38,17,0)</f>
        <v>#N/A</v>
      </c>
      <c r="D18" s="486" t="e">
        <f>VLOOKUP("w",GRUDZIEŃ!$T$30:$AJ$38,17,0)</f>
        <v>#N/A</v>
      </c>
      <c r="E18" s="315"/>
    </row>
    <row r="19" spans="1:5" ht="21.75" customHeight="1">
      <c r="A19" s="487">
        <v>17</v>
      </c>
      <c r="B19" s="485" t="s">
        <v>339</v>
      </c>
      <c r="C19" s="486" t="s">
        <v>214</v>
      </c>
      <c r="D19" s="486" t="e">
        <f>VLOOKUP("w",GRUDZIEŃ!$U$30:$AJ$38,16,0)</f>
        <v>#N/A</v>
      </c>
      <c r="E19" s="315"/>
    </row>
    <row r="20" spans="1:5" ht="21.75" customHeight="1">
      <c r="A20" s="576">
        <v>18</v>
      </c>
      <c r="B20" s="577" t="s">
        <v>340</v>
      </c>
      <c r="C20" s="578" t="e">
        <f>VLOOKUP("D",GRUDZIEŃ!$V$30:$AJ$38,15,0)</f>
        <v>#N/A</v>
      </c>
      <c r="D20" s="578" t="e">
        <f>VLOOKUP("w",GRUDZIEŃ!$V$30:$AJ$38,15,0)</f>
        <v>#N/A</v>
      </c>
      <c r="E20" s="315"/>
    </row>
    <row r="21" spans="1:5" ht="21.75" customHeight="1">
      <c r="A21" s="576">
        <v>19</v>
      </c>
      <c r="B21" s="577" t="s">
        <v>341</v>
      </c>
      <c r="C21" s="578" t="e">
        <f>VLOOKUP("D",GRUDZIEŃ!$W$30:$AJ$38,14,0)</f>
        <v>#N/A</v>
      </c>
      <c r="D21" s="578" t="e">
        <f>VLOOKUP("w",GRUDZIEŃ!$W$30:$AJ$38,14,0)</f>
        <v>#N/A</v>
      </c>
      <c r="E21" s="315"/>
    </row>
    <row r="22" spans="1:5" ht="21.75" customHeight="1">
      <c r="A22" s="487">
        <v>20</v>
      </c>
      <c r="B22" s="485" t="s">
        <v>342</v>
      </c>
      <c r="C22" s="486" t="s">
        <v>146</v>
      </c>
      <c r="D22" s="486" t="s">
        <v>15</v>
      </c>
      <c r="E22" s="315"/>
    </row>
    <row r="23" spans="1:5" ht="21.75" customHeight="1">
      <c r="A23" s="487">
        <v>21</v>
      </c>
      <c r="B23" s="485" t="s">
        <v>343</v>
      </c>
      <c r="C23" s="486" t="e">
        <f>VLOOKUP("D",GRUDZIEŃ!$Y$30:$AJ$38,12,0)</f>
        <v>#N/A</v>
      </c>
      <c r="D23" s="486" t="s">
        <v>435</v>
      </c>
      <c r="E23" s="315"/>
    </row>
    <row r="24" spans="1:5" ht="21.75" customHeight="1">
      <c r="A24" s="487">
        <v>22</v>
      </c>
      <c r="B24" s="485" t="s">
        <v>344</v>
      </c>
      <c r="C24" s="486" t="s">
        <v>354</v>
      </c>
      <c r="D24" s="486" t="e">
        <f>VLOOKUP("w",GRUDZIEŃ!$Z$30:$AJ$38,11,0)</f>
        <v>#N/A</v>
      </c>
      <c r="E24" s="315"/>
    </row>
    <row r="25" spans="1:5" ht="21.75" customHeight="1">
      <c r="A25" s="487">
        <v>23</v>
      </c>
      <c r="B25" s="485" t="s">
        <v>338</v>
      </c>
      <c r="C25" s="486" t="s">
        <v>442</v>
      </c>
      <c r="D25" s="486" t="e">
        <f>VLOOKUP("w",GRUDZIEŃ!$AA$30:$AJ$38,10,0)</f>
        <v>#N/A</v>
      </c>
      <c r="E25" s="315"/>
    </row>
    <row r="26" spans="1:5" ht="21.75" customHeight="1">
      <c r="A26" s="487">
        <v>24</v>
      </c>
      <c r="B26" s="485" t="s">
        <v>339</v>
      </c>
      <c r="C26" s="486" t="e">
        <f>VLOOKUP("D",GRUDZIEŃ!$AB$30:$AJ$38,9,0)</f>
        <v>#N/A</v>
      </c>
      <c r="D26" s="486" t="e">
        <f>VLOOKUP("w",GRUDZIEŃ!$AB$30:$AJ$38,9,0)</f>
        <v>#N/A</v>
      </c>
      <c r="E26" s="315"/>
    </row>
    <row r="27" spans="1:5" ht="21.75" customHeight="1">
      <c r="A27" s="576">
        <v>25</v>
      </c>
      <c r="B27" s="577" t="s">
        <v>340</v>
      </c>
      <c r="C27" s="578" t="e">
        <f>VLOOKUP("D",GRUDZIEŃ!$AC$30:$AJ$38,8,0)</f>
        <v>#N/A</v>
      </c>
      <c r="D27" s="578" t="e">
        <f>VLOOKUP("w",GRUDZIEŃ!$AC$30:$AJ$38,8,0)</f>
        <v>#N/A</v>
      </c>
      <c r="E27" s="315"/>
    </row>
    <row r="28" spans="1:5" ht="21.75" customHeight="1">
      <c r="A28" s="576">
        <v>26</v>
      </c>
      <c r="B28" s="577" t="s">
        <v>341</v>
      </c>
      <c r="C28" s="578" t="e">
        <f>VLOOKUP("D",GRUDZIEŃ!$AD$30:$AJ$38,7,0)</f>
        <v>#N/A</v>
      </c>
      <c r="D28" s="578" t="e">
        <f>VLOOKUP("w",GRUDZIEŃ!$AD$30:$AJ$38,7,0)</f>
        <v>#N/A</v>
      </c>
      <c r="E28" s="315"/>
    </row>
    <row r="29" spans="1:5" ht="21.75" customHeight="1">
      <c r="A29" s="487">
        <v>27</v>
      </c>
      <c r="B29" s="485" t="s">
        <v>342</v>
      </c>
      <c r="C29" s="486" t="e">
        <f>VLOOKUP("D",GRUDZIEŃ!$AE$30:$AJ$38,6,0)</f>
        <v>#N/A</v>
      </c>
      <c r="D29" s="486" t="e">
        <f>VLOOKUP("w",GRUDZIEŃ!$AE$30:$AJ$38,6,0)</f>
        <v>#N/A</v>
      </c>
      <c r="E29" s="315"/>
    </row>
    <row r="30" spans="1:5" ht="21.75" customHeight="1">
      <c r="A30" s="487">
        <v>28</v>
      </c>
      <c r="B30" s="485" t="s">
        <v>343</v>
      </c>
      <c r="C30" s="486" t="e">
        <f>VLOOKUP("D",GRUDZIEŃ!$AF$30:$AJ$38,5,0)</f>
        <v>#N/A</v>
      </c>
      <c r="D30" s="486" t="e">
        <f>VLOOKUP("w",GRUDZIEŃ!$AF$30:$AJ$38,5,0)</f>
        <v>#N/A</v>
      </c>
      <c r="E30" s="315"/>
    </row>
    <row r="31" spans="1:5" ht="21.75" customHeight="1">
      <c r="A31" s="487">
        <v>29</v>
      </c>
      <c r="B31" s="485" t="s">
        <v>344</v>
      </c>
      <c r="C31" s="486" t="s">
        <v>435</v>
      </c>
      <c r="D31" s="486" t="e">
        <f>VLOOKUP("w",GRUDZIEŃ!$AG$30:$AJ$38,4,0)</f>
        <v>#N/A</v>
      </c>
      <c r="E31" s="315"/>
    </row>
    <row r="32" spans="1:5" ht="21.75" customHeight="1">
      <c r="A32" s="487">
        <v>30</v>
      </c>
      <c r="B32" s="485" t="s">
        <v>338</v>
      </c>
      <c r="C32" s="486" t="e">
        <f>VLOOKUP("D",GRUDZIEŃ!$AH$30:$AJ$38,3,0)</f>
        <v>#N/A</v>
      </c>
      <c r="D32" s="486" t="e">
        <f>VLOOKUP("w",GRUDZIEŃ!$AH$30:$AJ$38,3,0)</f>
        <v>#N/A</v>
      </c>
      <c r="E32" s="315"/>
    </row>
    <row r="33" spans="1:5" ht="21.75" customHeight="1">
      <c r="A33" s="489">
        <v>31</v>
      </c>
      <c r="B33" s="485" t="s">
        <v>339</v>
      </c>
      <c r="C33" s="486" t="e">
        <f>VLOOKUP("D",GRUDZIEŃ!$AI$30:$AJ$38,2,0)</f>
        <v>#N/A</v>
      </c>
      <c r="D33" s="486" t="e">
        <f>VLOOKUP("w",GRUDZIEŃ!$AI$32:$AJ$38,2,0)</f>
        <v>#N/A</v>
      </c>
      <c r="E33" s="317"/>
    </row>
  </sheetData>
  <mergeCells count="3">
    <mergeCell ref="A1:B1"/>
    <mergeCell ref="C1:E1"/>
    <mergeCell ref="A2:B2"/>
  </mergeCells>
  <pageMargins left="0.25" right="0.25" top="0.75" bottom="0.75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36</vt:i4>
      </vt:variant>
      <vt:variant>
        <vt:lpstr>Nazwane zakresy</vt:lpstr>
      </vt:variant>
      <vt:variant>
        <vt:i4>5</vt:i4>
      </vt:variant>
    </vt:vector>
  </HeadingPairs>
  <TitlesOfParts>
    <vt:vector size="41" baseType="lpstr">
      <vt:lpstr>LISTOPAD (2)</vt:lpstr>
      <vt:lpstr>Swiadectwa</vt:lpstr>
      <vt:lpstr>Jednostki</vt:lpstr>
      <vt:lpstr>Zalogi</vt:lpstr>
      <vt:lpstr>Zasoby</vt:lpstr>
      <vt:lpstr>KAT II</vt:lpstr>
      <vt:lpstr>KAT III</vt:lpstr>
      <vt:lpstr>KAT IV</vt:lpstr>
      <vt:lpstr>STYCZEŃ</vt:lpstr>
      <vt:lpstr>służby druk</vt:lpstr>
      <vt:lpstr>LUTY</vt:lpstr>
      <vt:lpstr>służby druk luty</vt:lpstr>
      <vt:lpstr>MARZEC</vt:lpstr>
      <vt:lpstr>służby druk marzec</vt:lpstr>
      <vt:lpstr>KWIECIEŃ</vt:lpstr>
      <vt:lpstr>służby druk kwiecień</vt:lpstr>
      <vt:lpstr>MAJ</vt:lpstr>
      <vt:lpstr>służby druk maj</vt:lpstr>
      <vt:lpstr>CZERWIEC</vt:lpstr>
      <vt:lpstr>służby druk czerwiec</vt:lpstr>
      <vt:lpstr>wachta K-g</vt:lpstr>
      <vt:lpstr>LIPIEC</vt:lpstr>
      <vt:lpstr>służby druk lipiec</vt:lpstr>
      <vt:lpstr>wachta K-g (2)</vt:lpstr>
      <vt:lpstr>SIERPIEŃ</vt:lpstr>
      <vt:lpstr>służby druk lipiec (2)</vt:lpstr>
      <vt:lpstr>wachta K-g (3)</vt:lpstr>
      <vt:lpstr>WRZESIEŃ</vt:lpstr>
      <vt:lpstr>służby druk wrzesien</vt:lpstr>
      <vt:lpstr>PAŹDZIERNIK</vt:lpstr>
      <vt:lpstr>służby druk pazdziernik</vt:lpstr>
      <vt:lpstr>wachta K-g (4)</vt:lpstr>
      <vt:lpstr>służby listopad</vt:lpstr>
      <vt:lpstr>LISTOPAD</vt:lpstr>
      <vt:lpstr>GRUDZIEŃ</vt:lpstr>
      <vt:lpstr>sluzby grudzien</vt:lpstr>
      <vt:lpstr>KWIECIEŃ!_FiltrujBazeDanych</vt:lpstr>
      <vt:lpstr>LUTY!_FiltrujBazeDanych</vt:lpstr>
      <vt:lpstr>SIERPIEŃ!_FiltrujBazeDanych</vt:lpstr>
      <vt:lpstr>STYCZEŃ!_FiltrujBazeDanych</vt:lpstr>
      <vt:lpstr>imie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Artur Zakens</dc:creator>
  <dc:description/>
  <cp:lastModifiedBy>Artur Zakens</cp:lastModifiedBy>
  <cp:revision>3</cp:revision>
  <cp:lastPrinted>2024-10-07T18:49:19Z</cp:lastPrinted>
  <dcterms:created xsi:type="dcterms:W3CDTF">2006-09-22T13:37:51Z</dcterms:created>
  <dcterms:modified xsi:type="dcterms:W3CDTF">2026-02-08T20:28:12Z</dcterms:modified>
  <dc:language>pl-PL</dc:language>
</cp:coreProperties>
</file>